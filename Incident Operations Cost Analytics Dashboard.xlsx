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wuma\Downloads\"/>
    </mc:Choice>
  </mc:AlternateContent>
  <xr:revisionPtr revIDLastSave="0" documentId="8_{55F5C51E-5EDD-4DC1-97D1-1FCBB2E3DDCB}" xr6:coauthVersionLast="47" xr6:coauthVersionMax="47" xr10:uidLastSave="{00000000-0000-0000-0000-000000000000}"/>
  <bookViews>
    <workbookView xWindow="10680" yWindow="2925" windowWidth="26490" windowHeight="11385" activeTab="2" xr2:uid="{9D0D21F1-D56F-4D93-8580-7B2C5C23922E}"/>
  </bookViews>
  <sheets>
    <sheet name="Incident_Data" sheetId="1" r:id="rId1"/>
    <sheet name="LookupSystem" sheetId="2" r:id="rId2"/>
    <sheet name="Dashboard" sheetId="3" r:id="rId3"/>
  </sheets>
  <definedNames>
    <definedName name="AnalystList">AnalystLookup[Analyst]</definedName>
    <definedName name="DepartmentList">DepartmentLookup[Department]</definedName>
    <definedName name="IssueTypeList">IssueLookup[Issue]</definedName>
    <definedName name="PriorityList">PriorityLookup[Priority]</definedName>
    <definedName name="RegionList">RegionLookup[Region]</definedName>
    <definedName name="RootCauseList">RootCauseLookup[Root Cause]</definedName>
    <definedName name="SeverityList">SeverityLookup[Severity]</definedName>
    <definedName name="Slicer_Assigned_Analyst">#N/A</definedName>
    <definedName name="Slicer_Priority">#N/A</definedName>
    <definedName name="Slicer_Region">#N/A</definedName>
    <definedName name="Slicer_Status">#N/A</definedName>
    <definedName name="Slicer_System">#N/A</definedName>
    <definedName name="SystemList">SystemLookup[System]</definedName>
  </definedNames>
  <calcPr calcId="191029"/>
  <pivotCaches>
    <pivotCache cacheId="168"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 i="1" l="1"/>
  <c r="M2" i="1" a="1"/>
  <c r="M2" i="1" s="1"/>
  <c r="M3" i="1" a="1"/>
  <c r="M3" i="1" s="1"/>
  <c r="M4" i="1" a="1"/>
  <c r="M4" i="1" s="1"/>
  <c r="M5" i="1" a="1"/>
  <c r="M5" i="1" s="1"/>
  <c r="M6" i="1" a="1"/>
  <c r="M6" i="1" s="1"/>
  <c r="M7" i="1" a="1"/>
  <c r="M7" i="1" s="1"/>
  <c r="M8" i="1" a="1"/>
  <c r="M8" i="1" s="1"/>
  <c r="M9" i="1" a="1"/>
  <c r="M9" i="1" s="1"/>
  <c r="M10" i="1" a="1"/>
  <c r="M10" i="1" s="1"/>
  <c r="M11" i="1" a="1"/>
  <c r="M11" i="1" s="1"/>
  <c r="M12" i="1" a="1"/>
  <c r="M12" i="1" s="1"/>
  <c r="M13" i="1" a="1"/>
  <c r="M13" i="1" s="1"/>
  <c r="M14" i="1" a="1"/>
  <c r="M14" i="1" s="1"/>
  <c r="M15" i="1" a="1"/>
  <c r="M15" i="1" s="1"/>
  <c r="M16" i="1" a="1"/>
  <c r="M16" i="1" s="1"/>
  <c r="M17" i="1" a="1"/>
  <c r="M17" i="1" s="1"/>
  <c r="M18" i="1" a="1"/>
  <c r="M18" i="1" s="1"/>
  <c r="M19" i="1" a="1"/>
  <c r="M19" i="1" s="1"/>
  <c r="M20" i="1" a="1"/>
  <c r="M20" i="1" s="1"/>
  <c r="M21" i="1" a="1"/>
  <c r="M21" i="1" s="1"/>
  <c r="M22" i="1" a="1"/>
  <c r="M22" i="1" s="1"/>
  <c r="M23" i="1" a="1"/>
  <c r="M23" i="1" s="1"/>
  <c r="M24" i="1" a="1"/>
  <c r="M24" i="1" s="1"/>
  <c r="M25" i="1" a="1"/>
  <c r="M25" i="1" s="1"/>
  <c r="M26" i="1" a="1"/>
  <c r="M26" i="1" s="1"/>
  <c r="M27" i="1" a="1"/>
  <c r="M27" i="1" s="1"/>
  <c r="M28" i="1" a="1"/>
  <c r="M28" i="1" s="1"/>
  <c r="M29" i="1" a="1"/>
  <c r="M29" i="1" s="1"/>
  <c r="M30" i="1" a="1"/>
  <c r="M30" i="1" s="1"/>
  <c r="M31" i="1" a="1"/>
  <c r="M31" i="1" s="1"/>
  <c r="M32" i="1" a="1"/>
  <c r="M32" i="1" s="1"/>
  <c r="M33" i="1" a="1"/>
  <c r="M33" i="1" s="1"/>
  <c r="M34" i="1" a="1"/>
  <c r="M34" i="1" s="1"/>
  <c r="M35" i="1" a="1"/>
  <c r="M35" i="1" s="1"/>
  <c r="M36" i="1" a="1"/>
  <c r="M36" i="1" s="1"/>
  <c r="M37" i="1" a="1"/>
  <c r="M37" i="1" s="1"/>
  <c r="M38" i="1" a="1"/>
  <c r="M38" i="1" s="1"/>
  <c r="M39" i="1" a="1"/>
  <c r="M39" i="1" s="1"/>
  <c r="M40" i="1" a="1"/>
  <c r="M40" i="1" s="1"/>
  <c r="M41" i="1" a="1"/>
  <c r="M41" i="1" s="1"/>
  <c r="M42" i="1" a="1"/>
  <c r="M42" i="1" s="1"/>
  <c r="M43" i="1" a="1"/>
  <c r="M43" i="1" s="1"/>
  <c r="M44" i="1" a="1"/>
  <c r="M44" i="1" s="1"/>
  <c r="M45" i="1" a="1"/>
  <c r="M45" i="1" s="1"/>
  <c r="M46" i="1" a="1"/>
  <c r="M46" i="1" s="1"/>
  <c r="M47" i="1" a="1"/>
  <c r="M47" i="1" s="1"/>
  <c r="M48" i="1" a="1"/>
  <c r="M48" i="1" s="1"/>
  <c r="M49" i="1" a="1"/>
  <c r="M49" i="1" s="1"/>
  <c r="M50" i="1" a="1"/>
  <c r="M50" i="1" s="1"/>
  <c r="M51" i="1" a="1"/>
  <c r="M51" i="1" s="1"/>
  <c r="M52" i="1" a="1"/>
  <c r="M52" i="1" s="1"/>
  <c r="M53" i="1" a="1"/>
  <c r="M53" i="1" s="1"/>
  <c r="M54" i="1" a="1"/>
  <c r="M54" i="1" s="1"/>
  <c r="M55" i="1" a="1"/>
  <c r="M55" i="1" s="1"/>
  <c r="M56" i="1" a="1"/>
  <c r="M56" i="1" s="1"/>
  <c r="M57" i="1" a="1"/>
  <c r="M57" i="1" s="1"/>
  <c r="M58" i="1" a="1"/>
  <c r="M58" i="1" s="1"/>
  <c r="M59" i="1" a="1"/>
  <c r="M59" i="1" s="1"/>
  <c r="M60" i="1" a="1"/>
  <c r="M60" i="1" s="1"/>
  <c r="M61" i="1" a="1"/>
  <c r="M61" i="1" s="1"/>
  <c r="M62" i="1" a="1"/>
  <c r="M62" i="1" s="1"/>
  <c r="M63" i="1" a="1"/>
  <c r="M63" i="1" s="1"/>
  <c r="M64" i="1" a="1"/>
  <c r="M64" i="1" s="1"/>
  <c r="M65" i="1" a="1"/>
  <c r="M65" i="1" s="1"/>
  <c r="M66" i="1" a="1"/>
  <c r="M66" i="1" s="1"/>
  <c r="M67" i="1" a="1"/>
  <c r="M67" i="1" s="1"/>
  <c r="M68" i="1" a="1"/>
  <c r="M68" i="1" s="1"/>
  <c r="M69" i="1" a="1"/>
  <c r="M69" i="1" s="1"/>
  <c r="M70" i="1" a="1"/>
  <c r="M70" i="1" s="1"/>
  <c r="M71" i="1" a="1"/>
  <c r="M71" i="1" s="1"/>
  <c r="M72" i="1" a="1"/>
  <c r="M72" i="1" s="1"/>
  <c r="M73" i="1" a="1"/>
  <c r="M73" i="1" s="1"/>
  <c r="M74" i="1" a="1"/>
  <c r="M74" i="1" s="1"/>
  <c r="M75" i="1" a="1"/>
  <c r="M75" i="1" s="1"/>
  <c r="M76" i="1" a="1"/>
  <c r="M76" i="1" s="1"/>
  <c r="M77" i="1" a="1"/>
  <c r="M77" i="1" s="1"/>
  <c r="M78" i="1" a="1"/>
  <c r="M78" i="1" s="1"/>
  <c r="M79" i="1" a="1"/>
  <c r="M79" i="1" s="1"/>
  <c r="M80" i="1" a="1"/>
  <c r="M80" i="1" s="1"/>
  <c r="M81" i="1" a="1"/>
  <c r="M81" i="1" s="1"/>
  <c r="M82" i="1" a="1"/>
  <c r="M82" i="1" s="1"/>
  <c r="M83" i="1" a="1"/>
  <c r="M83" i="1" s="1"/>
  <c r="M84" i="1" a="1"/>
  <c r="M84" i="1" s="1"/>
  <c r="M85" i="1" a="1"/>
  <c r="M85" i="1" s="1"/>
  <c r="M86" i="1" a="1"/>
  <c r="M86" i="1" s="1"/>
  <c r="M87" i="1" a="1"/>
  <c r="M87" i="1" s="1"/>
  <c r="M88" i="1" a="1"/>
  <c r="M88" i="1" s="1"/>
  <c r="M89" i="1" a="1"/>
  <c r="M89" i="1" s="1"/>
  <c r="M90" i="1" a="1"/>
  <c r="M90" i="1" s="1"/>
  <c r="M91" i="1" a="1"/>
  <c r="M91" i="1" s="1"/>
  <c r="M92" i="1" a="1"/>
  <c r="M92" i="1" s="1"/>
  <c r="M93" i="1" a="1"/>
  <c r="M93" i="1" s="1"/>
  <c r="M94" i="1" a="1"/>
  <c r="M94" i="1" s="1"/>
  <c r="M95" i="1" a="1"/>
  <c r="M95" i="1" s="1"/>
  <c r="M96" i="1" a="1"/>
  <c r="M96" i="1" s="1"/>
  <c r="M97" i="1" a="1"/>
  <c r="M97" i="1" s="1"/>
  <c r="M98" i="1" a="1"/>
  <c r="M98" i="1" s="1"/>
  <c r="M99" i="1" a="1"/>
  <c r="M99" i="1" s="1"/>
  <c r="M100" i="1" a="1"/>
  <c r="M100" i="1" s="1"/>
  <c r="M101" i="1" a="1"/>
  <c r="M101" i="1" s="1"/>
  <c r="M102" i="1" a="1"/>
  <c r="M102" i="1" s="1"/>
  <c r="M103" i="1" a="1"/>
  <c r="M103" i="1" s="1"/>
  <c r="M104" i="1" a="1"/>
  <c r="M104" i="1" s="1"/>
  <c r="M105" i="1" a="1"/>
  <c r="M105" i="1" s="1"/>
  <c r="M106" i="1" a="1"/>
  <c r="M106" i="1" s="1"/>
  <c r="M107" i="1" a="1"/>
  <c r="M107" i="1" s="1"/>
  <c r="M108" i="1" a="1"/>
  <c r="M108" i="1" s="1"/>
  <c r="M109" i="1" a="1"/>
  <c r="M109" i="1" s="1"/>
  <c r="M110" i="1" a="1"/>
  <c r="M110" i="1" s="1"/>
  <c r="M111" i="1" a="1"/>
  <c r="M111" i="1" s="1"/>
  <c r="M112" i="1" a="1"/>
  <c r="M112" i="1" s="1"/>
  <c r="M113" i="1" a="1"/>
  <c r="M113" i="1" s="1"/>
  <c r="M114" i="1" a="1"/>
  <c r="M114" i="1" s="1"/>
  <c r="M115" i="1" a="1"/>
  <c r="M115" i="1" s="1"/>
  <c r="M116" i="1" a="1"/>
  <c r="M116" i="1" s="1"/>
  <c r="M117" i="1" a="1"/>
  <c r="M117" i="1" s="1"/>
  <c r="M118" i="1" a="1"/>
  <c r="M118" i="1" s="1"/>
  <c r="M119" i="1" a="1"/>
  <c r="M119" i="1" s="1"/>
  <c r="M120" i="1" a="1"/>
  <c r="M120" i="1" s="1"/>
  <c r="M121" i="1" a="1"/>
  <c r="M121" i="1" s="1"/>
  <c r="M122" i="1" a="1"/>
  <c r="M122" i="1" s="1"/>
  <c r="M123" i="1" a="1"/>
  <c r="M123" i="1" s="1"/>
  <c r="M124" i="1" a="1"/>
  <c r="M124" i="1" s="1"/>
  <c r="M125" i="1" a="1"/>
  <c r="M125" i="1" s="1"/>
  <c r="M126" i="1" a="1"/>
  <c r="M126" i="1" s="1"/>
  <c r="M127" i="1" a="1"/>
  <c r="M127" i="1" s="1"/>
  <c r="M128" i="1" a="1"/>
  <c r="M128" i="1" s="1"/>
  <c r="M129" i="1" a="1"/>
  <c r="M129" i="1" s="1"/>
  <c r="M130" i="1" a="1"/>
  <c r="M130" i="1" s="1"/>
  <c r="M131" i="1" a="1"/>
  <c r="M131" i="1" s="1"/>
  <c r="M132" i="1" a="1"/>
  <c r="M132" i="1" s="1"/>
  <c r="M133" i="1" a="1"/>
  <c r="M133" i="1" s="1"/>
  <c r="M134" i="1" a="1"/>
  <c r="M134" i="1" s="1"/>
  <c r="M135" i="1" a="1"/>
  <c r="M135" i="1" s="1"/>
  <c r="M136" i="1" a="1"/>
  <c r="M136" i="1" s="1"/>
  <c r="M137" i="1" a="1"/>
  <c r="M137" i="1" s="1"/>
  <c r="M138" i="1" a="1"/>
  <c r="M138" i="1" s="1"/>
  <c r="M139" i="1" a="1"/>
  <c r="M139" i="1" s="1"/>
  <c r="M140" i="1" a="1"/>
  <c r="M140" i="1" s="1"/>
  <c r="M141" i="1" a="1"/>
  <c r="M141" i="1" s="1"/>
  <c r="M142" i="1" a="1"/>
  <c r="M142" i="1" s="1"/>
  <c r="M143" i="1" a="1"/>
  <c r="M143" i="1" s="1"/>
  <c r="M144" i="1" a="1"/>
  <c r="M144" i="1" s="1"/>
  <c r="M145" i="1" a="1"/>
  <c r="M145" i="1" s="1"/>
  <c r="M146" i="1" a="1"/>
  <c r="M146" i="1" s="1"/>
  <c r="M147" i="1" a="1"/>
  <c r="M147" i="1" s="1"/>
  <c r="M148" i="1" a="1"/>
  <c r="M148" i="1" s="1"/>
  <c r="M149" i="1" a="1"/>
  <c r="M149" i="1" s="1"/>
  <c r="M150" i="1" a="1"/>
  <c r="M150" i="1" s="1"/>
  <c r="M151" i="1" a="1"/>
  <c r="M151" i="1" s="1"/>
  <c r="M152" i="1" a="1"/>
  <c r="M152" i="1" s="1"/>
  <c r="M153" i="1" a="1"/>
  <c r="M153" i="1" s="1"/>
  <c r="M154" i="1" a="1"/>
  <c r="M154" i="1" s="1"/>
  <c r="M155" i="1" a="1"/>
  <c r="M155" i="1" s="1"/>
  <c r="M156" i="1" a="1"/>
  <c r="M156" i="1" s="1"/>
  <c r="M157" i="1" a="1"/>
  <c r="M157" i="1" s="1"/>
  <c r="M158" i="1" a="1"/>
  <c r="M158" i="1" s="1"/>
  <c r="M159" i="1" a="1"/>
  <c r="M159" i="1" s="1"/>
  <c r="M160" i="1" a="1"/>
  <c r="M160" i="1" s="1"/>
  <c r="M161" i="1" a="1"/>
  <c r="M161" i="1" s="1"/>
  <c r="M162" i="1" a="1"/>
  <c r="M162" i="1" s="1"/>
  <c r="M163" i="1" a="1"/>
  <c r="M163" i="1" s="1"/>
  <c r="M164" i="1" a="1"/>
  <c r="M164" i="1" s="1"/>
  <c r="M165" i="1" a="1"/>
  <c r="M165" i="1" s="1"/>
  <c r="M166" i="1" a="1"/>
  <c r="M166" i="1" s="1"/>
  <c r="M167" i="1" a="1"/>
  <c r="M167" i="1" s="1"/>
  <c r="M168" i="1" a="1"/>
  <c r="M168" i="1" s="1"/>
  <c r="M169" i="1" a="1"/>
  <c r="M169" i="1" s="1"/>
  <c r="M170" i="1" a="1"/>
  <c r="M170" i="1" s="1"/>
  <c r="M171" i="1" a="1"/>
  <c r="M171" i="1" s="1"/>
  <c r="M172" i="1" a="1"/>
  <c r="M172" i="1" s="1"/>
  <c r="M173" i="1" a="1"/>
  <c r="M173" i="1" s="1"/>
  <c r="M174" i="1" a="1"/>
  <c r="M174" i="1" s="1"/>
  <c r="M175" i="1" a="1"/>
  <c r="M175" i="1" s="1"/>
  <c r="M176" i="1" a="1"/>
  <c r="M176" i="1" s="1"/>
  <c r="M177" i="1" a="1"/>
  <c r="M177" i="1" s="1"/>
  <c r="M178" i="1" a="1"/>
  <c r="M178" i="1" s="1"/>
  <c r="M179" i="1" a="1"/>
  <c r="M179" i="1" s="1"/>
  <c r="M180" i="1" a="1"/>
  <c r="M180" i="1" s="1"/>
  <c r="M181" i="1" a="1"/>
  <c r="M181" i="1" s="1"/>
  <c r="M182" i="1" a="1"/>
  <c r="M182" i="1" s="1"/>
  <c r="M183" i="1" a="1"/>
  <c r="M183" i="1" s="1"/>
  <c r="M184" i="1" a="1"/>
  <c r="M184" i="1" s="1"/>
  <c r="M185" i="1" a="1"/>
  <c r="M185" i="1" s="1"/>
  <c r="M186" i="1" a="1"/>
  <c r="M186" i="1" s="1"/>
  <c r="M187" i="1" a="1"/>
  <c r="M187" i="1" s="1"/>
  <c r="M188" i="1" a="1"/>
  <c r="M188" i="1" s="1"/>
  <c r="M189" i="1" a="1"/>
  <c r="M189" i="1" s="1"/>
  <c r="M190" i="1" a="1"/>
  <c r="M190" i="1" s="1"/>
  <c r="M191" i="1" a="1"/>
  <c r="M191" i="1" s="1"/>
  <c r="M192" i="1" a="1"/>
  <c r="M192" i="1" s="1"/>
  <c r="M193" i="1" a="1"/>
  <c r="M193" i="1" s="1"/>
  <c r="M194" i="1" a="1"/>
  <c r="M194" i="1" s="1"/>
  <c r="M195" i="1" a="1"/>
  <c r="M195" i="1" s="1"/>
  <c r="M196" i="1" a="1"/>
  <c r="M196" i="1" s="1"/>
  <c r="M197" i="1" a="1"/>
  <c r="M197" i="1" s="1"/>
  <c r="M198" i="1" a="1"/>
  <c r="M198" i="1" s="1"/>
  <c r="M199" i="1" a="1"/>
  <c r="M199" i="1" s="1"/>
  <c r="M200" i="1" a="1"/>
  <c r="M200" i="1" s="1"/>
  <c r="M201" i="1" a="1"/>
  <c r="M201" i="1" s="1"/>
  <c r="M202" i="1" a="1"/>
  <c r="M202" i="1" s="1"/>
  <c r="M203" i="1" a="1"/>
  <c r="M203" i="1" s="1"/>
  <c r="M204" i="1" a="1"/>
  <c r="M204" i="1" s="1"/>
  <c r="M205" i="1" a="1"/>
  <c r="M205" i="1" s="1"/>
  <c r="M206" i="1" a="1"/>
  <c r="M206" i="1" s="1"/>
  <c r="M207" i="1" a="1"/>
  <c r="M207" i="1" s="1"/>
  <c r="M208" i="1" a="1"/>
  <c r="M208" i="1" s="1"/>
  <c r="M209" i="1" a="1"/>
  <c r="M209" i="1" s="1"/>
  <c r="M210" i="1" a="1"/>
  <c r="M210" i="1" s="1"/>
  <c r="M211" i="1" a="1"/>
  <c r="M211" i="1" s="1"/>
  <c r="M212" i="1" a="1"/>
  <c r="M212" i="1" s="1"/>
  <c r="M213" i="1" a="1"/>
  <c r="M213" i="1" s="1"/>
  <c r="M214" i="1" a="1"/>
  <c r="M214" i="1" s="1"/>
  <c r="M215" i="1" a="1"/>
  <c r="M215" i="1" s="1"/>
  <c r="M216" i="1" a="1"/>
  <c r="M216" i="1" s="1"/>
  <c r="M217" i="1" a="1"/>
  <c r="M217" i="1" s="1"/>
  <c r="M218" i="1" a="1"/>
  <c r="M218" i="1" s="1"/>
  <c r="M219" i="1" a="1"/>
  <c r="M219" i="1" s="1"/>
  <c r="M220" i="1" a="1"/>
  <c r="M220" i="1" s="1"/>
  <c r="M221" i="1" a="1"/>
  <c r="M221" i="1" s="1"/>
  <c r="M222" i="1" a="1"/>
  <c r="M222" i="1" s="1"/>
  <c r="M223" i="1" a="1"/>
  <c r="M223" i="1" s="1"/>
  <c r="M224" i="1" a="1"/>
  <c r="M224" i="1" s="1"/>
  <c r="M225" i="1" a="1"/>
  <c r="M225" i="1" s="1"/>
  <c r="M226" i="1" a="1"/>
  <c r="M226" i="1" s="1"/>
  <c r="M227" i="1" a="1"/>
  <c r="M227" i="1" s="1"/>
  <c r="M228" i="1" a="1"/>
  <c r="M228" i="1" s="1"/>
  <c r="M229" i="1" a="1"/>
  <c r="M229" i="1" s="1"/>
  <c r="M230" i="1" a="1"/>
  <c r="M230" i="1" s="1"/>
  <c r="M231" i="1" a="1"/>
  <c r="M231" i="1" s="1"/>
  <c r="M232" i="1" a="1"/>
  <c r="M232" i="1" s="1"/>
  <c r="M233" i="1" a="1"/>
  <c r="M233" i="1" s="1"/>
  <c r="M234" i="1" a="1"/>
  <c r="M234" i="1" s="1"/>
  <c r="M235" i="1" a="1"/>
  <c r="M235" i="1" s="1"/>
  <c r="M236" i="1" a="1"/>
  <c r="M236" i="1" s="1"/>
  <c r="M237" i="1" a="1"/>
  <c r="M237" i="1" s="1"/>
  <c r="M238" i="1" a="1"/>
  <c r="M238" i="1" s="1"/>
  <c r="M239" i="1" a="1"/>
  <c r="M239" i="1" s="1"/>
  <c r="M240" i="1" a="1"/>
  <c r="M240" i="1" s="1"/>
  <c r="M241" i="1" a="1"/>
  <c r="M241" i="1" s="1"/>
  <c r="M242" i="1" a="1"/>
  <c r="M242" i="1" s="1"/>
  <c r="M243" i="1" a="1"/>
  <c r="M243" i="1" s="1"/>
  <c r="M244" i="1" a="1"/>
  <c r="M244" i="1" s="1"/>
  <c r="M245" i="1" a="1"/>
  <c r="M245" i="1" s="1"/>
  <c r="M246" i="1" a="1"/>
  <c r="M246" i="1" s="1"/>
  <c r="M247" i="1" a="1"/>
  <c r="M247" i="1" s="1"/>
  <c r="M248" i="1" a="1"/>
  <c r="M248" i="1" s="1"/>
  <c r="M249" i="1" a="1"/>
  <c r="M249" i="1" s="1"/>
  <c r="M250" i="1" a="1"/>
  <c r="M250" i="1" s="1"/>
  <c r="M251" i="1" a="1"/>
  <c r="M251" i="1" s="1"/>
  <c r="M252" i="1" a="1"/>
  <c r="M252" i="1" s="1"/>
  <c r="M253" i="1" a="1"/>
  <c r="M253" i="1" s="1"/>
  <c r="M254" i="1" a="1"/>
  <c r="M254" i="1" s="1"/>
  <c r="M255" i="1" a="1"/>
  <c r="M255" i="1" s="1"/>
  <c r="M256" i="1" a="1"/>
  <c r="M256" i="1" s="1"/>
  <c r="M257" i="1" a="1"/>
  <c r="M257" i="1" s="1"/>
  <c r="M258" i="1" a="1"/>
  <c r="M258" i="1" s="1"/>
  <c r="M259" i="1" a="1"/>
  <c r="M259" i="1" s="1"/>
  <c r="M260" i="1" a="1"/>
  <c r="M260" i="1" s="1"/>
  <c r="M261" i="1" a="1"/>
  <c r="M261" i="1" s="1"/>
  <c r="M262" i="1" a="1"/>
  <c r="M262" i="1" s="1"/>
  <c r="M263" i="1" a="1"/>
  <c r="M263" i="1" s="1"/>
  <c r="M264" i="1" a="1"/>
  <c r="M264" i="1" s="1"/>
  <c r="M265" i="1" a="1"/>
  <c r="M265" i="1" s="1"/>
  <c r="M266" i="1" a="1"/>
  <c r="M266" i="1" s="1"/>
  <c r="M267" i="1" a="1"/>
  <c r="M267" i="1" s="1"/>
  <c r="M268" i="1" a="1"/>
  <c r="M268" i="1" s="1"/>
  <c r="M269" i="1" a="1"/>
  <c r="M269" i="1" s="1"/>
  <c r="M270" i="1" a="1"/>
  <c r="M270" i="1" s="1"/>
  <c r="M271" i="1" a="1"/>
  <c r="M271" i="1" s="1"/>
  <c r="M272" i="1" a="1"/>
  <c r="M272" i="1" s="1"/>
  <c r="M273" i="1" a="1"/>
  <c r="M273" i="1" s="1"/>
  <c r="M274" i="1" a="1"/>
  <c r="M274" i="1" s="1"/>
  <c r="M275" i="1" a="1"/>
  <c r="M275" i="1" s="1"/>
  <c r="M276" i="1" a="1"/>
  <c r="M276" i="1" s="1"/>
  <c r="M277" i="1" a="1"/>
  <c r="M277" i="1" s="1"/>
  <c r="M278" i="1" a="1"/>
  <c r="M278" i="1" s="1"/>
  <c r="M279" i="1" a="1"/>
  <c r="M279" i="1" s="1"/>
  <c r="M280" i="1" a="1"/>
  <c r="M280" i="1" s="1"/>
  <c r="M281" i="1" a="1"/>
  <c r="M281" i="1" s="1"/>
  <c r="M282" i="1" a="1"/>
  <c r="M282" i="1" s="1"/>
  <c r="M283" i="1" a="1"/>
  <c r="M283" i="1" s="1"/>
  <c r="M284" i="1" a="1"/>
  <c r="M284" i="1" s="1"/>
  <c r="M285" i="1" a="1"/>
  <c r="M285" i="1" s="1"/>
  <c r="M286" i="1" a="1"/>
  <c r="M286" i="1" s="1"/>
  <c r="M287" i="1" a="1"/>
  <c r="M287" i="1" s="1"/>
  <c r="M288" i="1" a="1"/>
  <c r="M288" i="1" s="1"/>
  <c r="M289" i="1" a="1"/>
  <c r="M289" i="1" s="1"/>
  <c r="M290" i="1" a="1"/>
  <c r="M290" i="1" s="1"/>
  <c r="M291" i="1" a="1"/>
  <c r="M291" i="1" s="1"/>
  <c r="M292" i="1" a="1"/>
  <c r="M292" i="1" s="1"/>
  <c r="M293" i="1" a="1"/>
  <c r="M293" i="1" s="1"/>
  <c r="M294" i="1" a="1"/>
  <c r="M294" i="1" s="1"/>
  <c r="M295" i="1" a="1"/>
  <c r="M295" i="1" s="1"/>
  <c r="M296" i="1" a="1"/>
  <c r="M296" i="1" s="1"/>
  <c r="M297" i="1" a="1"/>
  <c r="M297" i="1" s="1"/>
  <c r="M298" i="1" a="1"/>
  <c r="M298" i="1" s="1"/>
  <c r="M299" i="1" a="1"/>
  <c r="M299" i="1" s="1"/>
  <c r="M300" i="1" a="1"/>
  <c r="M300" i="1" s="1"/>
  <c r="M301" i="1" a="1"/>
  <c r="M301" i="1" s="1"/>
  <c r="M302" i="1" a="1"/>
  <c r="M302" i="1" s="1"/>
  <c r="M303" i="1" a="1"/>
  <c r="M303" i="1" s="1"/>
  <c r="M304" i="1" a="1"/>
  <c r="M304" i="1" s="1"/>
  <c r="M305" i="1" a="1"/>
  <c r="M305" i="1" s="1"/>
  <c r="M306" i="1" a="1"/>
  <c r="M306" i="1" s="1"/>
  <c r="M307" i="1" a="1"/>
  <c r="M307" i="1" s="1"/>
  <c r="M308" i="1" a="1"/>
  <c r="M308" i="1" s="1"/>
  <c r="M309" i="1" a="1"/>
  <c r="M309" i="1" s="1"/>
  <c r="M310" i="1" a="1"/>
  <c r="M310" i="1" s="1"/>
  <c r="M311" i="1" a="1"/>
  <c r="M311" i="1" s="1"/>
  <c r="M312" i="1" a="1"/>
  <c r="M312" i="1" s="1"/>
  <c r="M313" i="1" a="1"/>
  <c r="M313" i="1" s="1"/>
  <c r="M314" i="1" a="1"/>
  <c r="M314" i="1" s="1"/>
  <c r="M315" i="1" a="1"/>
  <c r="M315" i="1" s="1"/>
  <c r="M316" i="1" a="1"/>
  <c r="M316" i="1" s="1"/>
  <c r="M317" i="1" a="1"/>
  <c r="M317" i="1" s="1"/>
  <c r="M318" i="1" a="1"/>
  <c r="M318" i="1" s="1"/>
  <c r="M319" i="1" a="1"/>
  <c r="M319" i="1" s="1"/>
  <c r="M320" i="1" a="1"/>
  <c r="M320" i="1" s="1"/>
  <c r="M321" i="1" a="1"/>
  <c r="M321" i="1" s="1"/>
  <c r="M322" i="1" a="1"/>
  <c r="M322" i="1" s="1"/>
  <c r="M323" i="1" a="1"/>
  <c r="M323" i="1" s="1"/>
  <c r="M324" i="1" a="1"/>
  <c r="M324" i="1" s="1"/>
  <c r="M325" i="1" a="1"/>
  <c r="M325" i="1" s="1"/>
  <c r="M326" i="1" a="1"/>
  <c r="M326" i="1" s="1"/>
  <c r="M327" i="1" a="1"/>
  <c r="M327" i="1" s="1"/>
  <c r="M328" i="1" a="1"/>
  <c r="M328" i="1" s="1"/>
  <c r="M329" i="1" a="1"/>
  <c r="M329" i="1" s="1"/>
  <c r="M330" i="1" a="1"/>
  <c r="M330" i="1" s="1"/>
  <c r="M331" i="1" a="1"/>
  <c r="M331" i="1" s="1"/>
  <c r="M332" i="1" a="1"/>
  <c r="M332" i="1" s="1"/>
  <c r="M333" i="1" a="1"/>
  <c r="M333" i="1" s="1"/>
  <c r="M334" i="1" a="1"/>
  <c r="M334" i="1" s="1"/>
  <c r="M335" i="1" a="1"/>
  <c r="M335" i="1" s="1"/>
  <c r="M336" i="1" a="1"/>
  <c r="M336" i="1" s="1"/>
  <c r="M337" i="1" a="1"/>
  <c r="M337" i="1" s="1"/>
  <c r="M338" i="1" a="1"/>
  <c r="M338" i="1" s="1"/>
  <c r="M339" i="1" a="1"/>
  <c r="M339" i="1" s="1"/>
  <c r="M340" i="1" a="1"/>
  <c r="M340" i="1" s="1"/>
  <c r="M341" i="1" a="1"/>
  <c r="M341" i="1" s="1"/>
  <c r="M342" i="1" a="1"/>
  <c r="M342" i="1" s="1"/>
  <c r="M343" i="1" a="1"/>
  <c r="M343" i="1" s="1"/>
  <c r="M344" i="1" a="1"/>
  <c r="M344" i="1" s="1"/>
  <c r="M345" i="1" a="1"/>
  <c r="M345" i="1" s="1"/>
  <c r="M346" i="1" a="1"/>
  <c r="M346" i="1" s="1"/>
  <c r="M347" i="1" a="1"/>
  <c r="M347" i="1" s="1"/>
  <c r="M348" i="1" a="1"/>
  <c r="M348" i="1" s="1"/>
  <c r="M349" i="1" a="1"/>
  <c r="M349" i="1" s="1"/>
  <c r="M350" i="1" a="1"/>
  <c r="M350" i="1" s="1"/>
  <c r="M351" i="1" a="1"/>
  <c r="M351" i="1" s="1"/>
  <c r="M352" i="1" a="1"/>
  <c r="M352" i="1" s="1"/>
  <c r="M353" i="1" a="1"/>
  <c r="M353" i="1" s="1"/>
  <c r="M354" i="1" a="1"/>
  <c r="M354" i="1" s="1"/>
  <c r="M355" i="1" a="1"/>
  <c r="M355" i="1" s="1"/>
  <c r="M356" i="1" a="1"/>
  <c r="M356" i="1" s="1"/>
  <c r="M357" i="1" a="1"/>
  <c r="M357" i="1" s="1"/>
  <c r="M358" i="1" a="1"/>
  <c r="M358" i="1" s="1"/>
  <c r="M359" i="1" a="1"/>
  <c r="M359" i="1" s="1"/>
  <c r="M360" i="1" a="1"/>
  <c r="M360" i="1" s="1"/>
  <c r="M361" i="1" a="1"/>
  <c r="M361" i="1" s="1"/>
  <c r="M362" i="1" a="1"/>
  <c r="M362" i="1" s="1"/>
  <c r="M363" i="1" a="1"/>
  <c r="M363" i="1" s="1"/>
  <c r="M364" i="1" a="1"/>
  <c r="M364" i="1" s="1"/>
  <c r="M365" i="1" a="1"/>
  <c r="M365" i="1" s="1"/>
  <c r="M366" i="1" a="1"/>
  <c r="M366" i="1" s="1"/>
  <c r="M367" i="1" a="1"/>
  <c r="M367" i="1" s="1"/>
  <c r="M368" i="1" a="1"/>
  <c r="M368" i="1" s="1"/>
  <c r="M369" i="1" a="1"/>
  <c r="M369" i="1" s="1"/>
  <c r="M370" i="1" a="1"/>
  <c r="M370" i="1" s="1"/>
  <c r="M371" i="1" a="1"/>
  <c r="M371" i="1" s="1"/>
  <c r="M372" i="1" a="1"/>
  <c r="M372" i="1" s="1"/>
  <c r="M373" i="1" a="1"/>
  <c r="M373" i="1" s="1"/>
  <c r="M374" i="1" a="1"/>
  <c r="M374" i="1" s="1"/>
  <c r="M375" i="1" a="1"/>
  <c r="M375" i="1" s="1"/>
  <c r="M376" i="1" a="1"/>
  <c r="M376" i="1" s="1"/>
  <c r="M377" i="1" a="1"/>
  <c r="M377" i="1" s="1"/>
  <c r="M378" i="1" a="1"/>
  <c r="M378" i="1" s="1"/>
  <c r="M379" i="1" a="1"/>
  <c r="M379" i="1" s="1"/>
  <c r="M380" i="1" a="1"/>
  <c r="M380" i="1" s="1"/>
  <c r="M381" i="1" a="1"/>
  <c r="M381" i="1" s="1"/>
  <c r="M382" i="1" a="1"/>
  <c r="M382" i="1" s="1"/>
  <c r="M383" i="1" a="1"/>
  <c r="M383" i="1" s="1"/>
  <c r="M384" i="1" a="1"/>
  <c r="M384" i="1" s="1"/>
  <c r="M385" i="1" a="1"/>
  <c r="M385" i="1" s="1"/>
  <c r="M386" i="1" a="1"/>
  <c r="M386" i="1" s="1"/>
  <c r="M387" i="1" a="1"/>
  <c r="M387" i="1" s="1"/>
  <c r="M388" i="1" a="1"/>
  <c r="M388" i="1" s="1"/>
  <c r="M389" i="1" a="1"/>
  <c r="M389" i="1" s="1"/>
  <c r="M390" i="1" a="1"/>
  <c r="M390" i="1" s="1"/>
  <c r="M391" i="1" a="1"/>
  <c r="M391" i="1" s="1"/>
  <c r="M392" i="1" a="1"/>
  <c r="M392" i="1" s="1"/>
  <c r="M393" i="1" a="1"/>
  <c r="M393" i="1" s="1"/>
  <c r="M394" i="1" a="1"/>
  <c r="M394" i="1" s="1"/>
  <c r="M395" i="1" a="1"/>
  <c r="M395" i="1" s="1"/>
  <c r="M396" i="1" a="1"/>
  <c r="M396" i="1" s="1"/>
  <c r="M397" i="1" a="1"/>
  <c r="M397" i="1" s="1"/>
  <c r="M398" i="1" a="1"/>
  <c r="M398" i="1" s="1"/>
  <c r="M399" i="1" a="1"/>
  <c r="M399" i="1" s="1"/>
  <c r="M400" i="1" a="1"/>
  <c r="M400" i="1" s="1"/>
  <c r="M401" i="1" a="1"/>
  <c r="M401" i="1" s="1"/>
  <c r="M402" i="1" a="1"/>
  <c r="M402" i="1" s="1"/>
  <c r="M403" i="1" a="1"/>
  <c r="M403" i="1" s="1"/>
  <c r="M404" i="1" a="1"/>
  <c r="M404" i="1" s="1"/>
  <c r="M405" i="1" a="1"/>
  <c r="M405" i="1" s="1"/>
  <c r="M406" i="1" a="1"/>
  <c r="M406" i="1" s="1"/>
  <c r="M407" i="1" a="1"/>
  <c r="M407" i="1" s="1"/>
  <c r="M408" i="1" a="1"/>
  <c r="M408" i="1" s="1"/>
  <c r="M409" i="1" a="1"/>
  <c r="M409" i="1" s="1"/>
  <c r="M410" i="1" a="1"/>
  <c r="M410" i="1" s="1"/>
  <c r="M411" i="1" a="1"/>
  <c r="M411" i="1" s="1"/>
  <c r="M412" i="1" a="1"/>
  <c r="M412" i="1" s="1"/>
  <c r="M413" i="1" a="1"/>
  <c r="M413" i="1" s="1"/>
  <c r="M414" i="1" a="1"/>
  <c r="M414" i="1" s="1"/>
  <c r="M415" i="1" a="1"/>
  <c r="M415" i="1" s="1"/>
  <c r="M416" i="1" a="1"/>
  <c r="M416" i="1" s="1"/>
  <c r="M417" i="1" a="1"/>
  <c r="M417" i="1" s="1"/>
  <c r="M418" i="1" a="1"/>
  <c r="M418" i="1" s="1"/>
  <c r="M419" i="1" a="1"/>
  <c r="M419" i="1" s="1"/>
  <c r="M420" i="1" a="1"/>
  <c r="M420" i="1" s="1"/>
  <c r="M421" i="1" a="1"/>
  <c r="M421" i="1" s="1"/>
  <c r="M422" i="1" a="1"/>
  <c r="M422" i="1" s="1"/>
  <c r="M423" i="1" a="1"/>
  <c r="M423" i="1" s="1"/>
  <c r="M424" i="1" a="1"/>
  <c r="M424" i="1" s="1"/>
  <c r="M425" i="1" a="1"/>
  <c r="M425" i="1" s="1"/>
  <c r="M426" i="1" a="1"/>
  <c r="M426" i="1" s="1"/>
  <c r="M427" i="1" a="1"/>
  <c r="M427" i="1" s="1"/>
  <c r="M428" i="1" a="1"/>
  <c r="M428" i="1" s="1"/>
  <c r="M429" i="1" a="1"/>
  <c r="M429" i="1" s="1"/>
  <c r="M430" i="1" a="1"/>
  <c r="M430" i="1" s="1"/>
  <c r="M431" i="1" a="1"/>
  <c r="M431" i="1" s="1"/>
  <c r="M432" i="1" a="1"/>
  <c r="M432" i="1" s="1"/>
  <c r="M433" i="1" a="1"/>
  <c r="M433" i="1" s="1"/>
  <c r="M434" i="1" a="1"/>
  <c r="M434" i="1" s="1"/>
  <c r="M435" i="1" a="1"/>
  <c r="M435" i="1" s="1"/>
  <c r="M436" i="1" a="1"/>
  <c r="M436" i="1" s="1"/>
  <c r="M437" i="1" a="1"/>
  <c r="M437" i="1" s="1"/>
  <c r="M438" i="1" a="1"/>
  <c r="M438" i="1" s="1"/>
  <c r="M439" i="1" a="1"/>
  <c r="M439" i="1" s="1"/>
  <c r="M440" i="1" a="1"/>
  <c r="M440" i="1" s="1"/>
  <c r="M441" i="1" a="1"/>
  <c r="M441" i="1" s="1"/>
  <c r="M442" i="1" a="1"/>
  <c r="M442" i="1" s="1"/>
  <c r="M443" i="1" a="1"/>
  <c r="M443" i="1" s="1"/>
  <c r="M444" i="1" a="1"/>
  <c r="M444" i="1" s="1"/>
  <c r="M445" i="1" a="1"/>
  <c r="M445" i="1" s="1"/>
  <c r="M446" i="1" a="1"/>
  <c r="M446" i="1" s="1"/>
  <c r="M447" i="1" a="1"/>
  <c r="M447" i="1" s="1"/>
  <c r="M448" i="1" a="1"/>
  <c r="M448" i="1" s="1"/>
  <c r="M449" i="1" a="1"/>
  <c r="M449" i="1" s="1"/>
  <c r="M450" i="1" a="1"/>
  <c r="M450" i="1" s="1"/>
  <c r="M451" i="1" a="1"/>
  <c r="M451" i="1" s="1"/>
  <c r="M452" i="1" a="1"/>
  <c r="M452" i="1" s="1"/>
  <c r="M453" i="1" a="1"/>
  <c r="M453" i="1" s="1"/>
  <c r="M454" i="1" a="1"/>
  <c r="M454" i="1" s="1"/>
  <c r="M455" i="1" a="1"/>
  <c r="M455" i="1" s="1"/>
  <c r="M456" i="1" a="1"/>
  <c r="M456" i="1" s="1"/>
  <c r="M457" i="1" a="1"/>
  <c r="M457" i="1" s="1"/>
  <c r="M458" i="1" a="1"/>
  <c r="M458" i="1" s="1"/>
  <c r="M459" i="1" a="1"/>
  <c r="M459" i="1" s="1"/>
  <c r="M460" i="1" a="1"/>
  <c r="M460" i="1" s="1"/>
  <c r="M461" i="1" a="1"/>
  <c r="M461" i="1" s="1"/>
  <c r="M462" i="1" a="1"/>
  <c r="M462" i="1" s="1"/>
  <c r="M463" i="1" a="1"/>
  <c r="M463" i="1" s="1"/>
  <c r="M464" i="1" a="1"/>
  <c r="M464" i="1" s="1"/>
  <c r="M465" i="1" a="1"/>
  <c r="M465" i="1" s="1"/>
  <c r="M466" i="1" a="1"/>
  <c r="M466" i="1" s="1"/>
  <c r="M467" i="1" a="1"/>
  <c r="M467" i="1" s="1"/>
  <c r="M468" i="1" a="1"/>
  <c r="M468" i="1" s="1"/>
  <c r="M469" i="1" a="1"/>
  <c r="M469" i="1" s="1"/>
  <c r="M470" i="1" a="1"/>
  <c r="M470" i="1" s="1"/>
  <c r="M471" i="1" a="1"/>
  <c r="M471" i="1" s="1"/>
  <c r="M472" i="1" a="1"/>
  <c r="M472" i="1" s="1"/>
  <c r="M473" i="1" a="1"/>
  <c r="M473" i="1" s="1"/>
  <c r="M474" i="1" a="1"/>
  <c r="M474" i="1" s="1"/>
  <c r="M475" i="1" a="1"/>
  <c r="M475" i="1" s="1"/>
  <c r="M476" i="1" a="1"/>
  <c r="M476" i="1" s="1"/>
  <c r="M477" i="1" a="1"/>
  <c r="M477" i="1" s="1"/>
  <c r="M478" i="1" a="1"/>
  <c r="M478" i="1" s="1"/>
  <c r="M479" i="1" a="1"/>
  <c r="M479" i="1" s="1"/>
  <c r="M480" i="1" a="1"/>
  <c r="M480" i="1" s="1"/>
  <c r="M481" i="1" a="1"/>
  <c r="M481" i="1" s="1"/>
  <c r="M482" i="1" a="1"/>
  <c r="M482" i="1" s="1"/>
  <c r="M483" i="1" a="1"/>
  <c r="M483" i="1" s="1"/>
  <c r="M484" i="1" a="1"/>
  <c r="M484" i="1" s="1"/>
  <c r="M485" i="1" a="1"/>
  <c r="M485" i="1" s="1"/>
  <c r="M486" i="1" a="1"/>
  <c r="M486" i="1" s="1"/>
  <c r="M487" i="1" a="1"/>
  <c r="M487" i="1" s="1"/>
  <c r="M488" i="1" a="1"/>
  <c r="M488" i="1" s="1"/>
  <c r="M489" i="1" a="1"/>
  <c r="M489" i="1" s="1"/>
  <c r="M490" i="1" a="1"/>
  <c r="M490" i="1" s="1"/>
  <c r="M491" i="1" a="1"/>
  <c r="M491" i="1" s="1"/>
  <c r="M492" i="1" a="1"/>
  <c r="M492" i="1" s="1"/>
  <c r="M493" i="1" a="1"/>
  <c r="M493" i="1" s="1"/>
  <c r="M494" i="1" a="1"/>
  <c r="M494" i="1" s="1"/>
  <c r="M495" i="1" a="1"/>
  <c r="M495" i="1" s="1"/>
  <c r="M496" i="1" a="1"/>
  <c r="M496" i="1" s="1"/>
  <c r="M497" i="1" a="1"/>
  <c r="M497" i="1" s="1"/>
  <c r="M498" i="1" a="1"/>
  <c r="M498" i="1" s="1"/>
  <c r="M499" i="1" a="1"/>
  <c r="M499" i="1" s="1"/>
  <c r="M500" i="1" a="1"/>
  <c r="M500" i="1" s="1"/>
  <c r="B3" i="3"/>
  <c r="K2" i="1"/>
  <c r="J2" i="1" s="1"/>
  <c r="K3" i="1"/>
  <c r="J3" i="1" s="1"/>
  <c r="K4" i="1"/>
  <c r="J4" i="1" s="1"/>
  <c r="K5" i="1"/>
  <c r="J5" i="1" s="1"/>
  <c r="K6" i="1"/>
  <c r="K7" i="1"/>
  <c r="K9" i="1"/>
  <c r="J9" i="1" s="1"/>
  <c r="K10" i="1"/>
  <c r="K11" i="1"/>
  <c r="J11" i="1" s="1"/>
  <c r="K12" i="1"/>
  <c r="J12" i="1" s="1"/>
  <c r="K13" i="1"/>
  <c r="J13" i="1" s="1"/>
  <c r="K14" i="1"/>
  <c r="J14" i="1" s="1"/>
  <c r="K15" i="1"/>
  <c r="J15" i="1" s="1"/>
  <c r="K16" i="1"/>
  <c r="J16" i="1" s="1"/>
  <c r="K17" i="1"/>
  <c r="J17" i="1" s="1"/>
  <c r="K18" i="1"/>
  <c r="J18" i="1" s="1"/>
  <c r="K19" i="1"/>
  <c r="J19" i="1" s="1"/>
  <c r="K20" i="1"/>
  <c r="J20" i="1" s="1"/>
  <c r="K21" i="1"/>
  <c r="J21" i="1" s="1"/>
  <c r="K22" i="1"/>
  <c r="J22" i="1" s="1"/>
  <c r="K23" i="1"/>
  <c r="J23" i="1" s="1"/>
  <c r="K24" i="1"/>
  <c r="J24" i="1" s="1"/>
  <c r="K25" i="1"/>
  <c r="J25" i="1" s="1"/>
  <c r="K26" i="1"/>
  <c r="K27" i="1"/>
  <c r="J27" i="1" s="1"/>
  <c r="K28" i="1"/>
  <c r="J28" i="1" s="1"/>
  <c r="K29" i="1"/>
  <c r="J29" i="1" s="1"/>
  <c r="K30" i="1"/>
  <c r="J30" i="1" s="1"/>
  <c r="K31" i="1"/>
  <c r="J31" i="1" s="1"/>
  <c r="K32" i="1"/>
  <c r="J32" i="1" s="1"/>
  <c r="K33" i="1"/>
  <c r="J33" i="1" s="1"/>
  <c r="K34" i="1"/>
  <c r="J34" i="1" s="1"/>
  <c r="K35" i="1"/>
  <c r="J35" i="1" s="1"/>
  <c r="K36" i="1"/>
  <c r="J36" i="1" s="1"/>
  <c r="K37" i="1"/>
  <c r="J37" i="1" s="1"/>
  <c r="K38" i="1"/>
  <c r="J38" i="1" s="1"/>
  <c r="K39" i="1"/>
  <c r="K40" i="1"/>
  <c r="K41" i="1"/>
  <c r="J41" i="1" s="1"/>
  <c r="K42" i="1"/>
  <c r="K43" i="1"/>
  <c r="J43" i="1" s="1"/>
  <c r="K44" i="1"/>
  <c r="J44" i="1" s="1"/>
  <c r="K45" i="1"/>
  <c r="J45" i="1" s="1"/>
  <c r="K46" i="1"/>
  <c r="J46" i="1" s="1"/>
  <c r="K47" i="1"/>
  <c r="J47" i="1" s="1"/>
  <c r="K48" i="1"/>
  <c r="J48" i="1" s="1"/>
  <c r="K49" i="1"/>
  <c r="J49" i="1" s="1"/>
  <c r="K50" i="1"/>
  <c r="J50" i="1" s="1"/>
  <c r="K51" i="1"/>
  <c r="J51" i="1" s="1"/>
  <c r="K52" i="1"/>
  <c r="J52" i="1" s="1"/>
  <c r="K53" i="1"/>
  <c r="J53" i="1" s="1"/>
  <c r="K54" i="1"/>
  <c r="J54" i="1" s="1"/>
  <c r="K55" i="1"/>
  <c r="K56" i="1"/>
  <c r="K57" i="1"/>
  <c r="J57" i="1" s="1"/>
  <c r="K58" i="1"/>
  <c r="K59" i="1"/>
  <c r="J59" i="1" s="1"/>
  <c r="K60" i="1"/>
  <c r="J60" i="1" s="1"/>
  <c r="K61" i="1"/>
  <c r="J61" i="1" s="1"/>
  <c r="K62" i="1"/>
  <c r="J62" i="1" s="1"/>
  <c r="K63" i="1"/>
  <c r="J63" i="1" s="1"/>
  <c r="K64" i="1"/>
  <c r="J64" i="1" s="1"/>
  <c r="K65" i="1"/>
  <c r="J65" i="1" s="1"/>
  <c r="K66" i="1"/>
  <c r="J66" i="1" s="1"/>
  <c r="K67" i="1"/>
  <c r="J67" i="1" s="1"/>
  <c r="K68" i="1"/>
  <c r="J68" i="1" s="1"/>
  <c r="K69" i="1"/>
  <c r="J69" i="1" s="1"/>
  <c r="K70" i="1"/>
  <c r="J70" i="1" s="1"/>
  <c r="K71" i="1"/>
  <c r="K72" i="1"/>
  <c r="J72" i="1" s="1"/>
  <c r="K73" i="1"/>
  <c r="J73" i="1" s="1"/>
  <c r="K74" i="1"/>
  <c r="K75" i="1"/>
  <c r="J75" i="1" s="1"/>
  <c r="K76" i="1"/>
  <c r="J76" i="1" s="1"/>
  <c r="K77" i="1"/>
  <c r="J77" i="1" s="1"/>
  <c r="K78" i="1"/>
  <c r="J78" i="1" s="1"/>
  <c r="K79" i="1"/>
  <c r="J79" i="1" s="1"/>
  <c r="K80" i="1"/>
  <c r="J80" i="1" s="1"/>
  <c r="K81" i="1"/>
  <c r="J81" i="1" s="1"/>
  <c r="K82" i="1"/>
  <c r="J82" i="1" s="1"/>
  <c r="K83" i="1"/>
  <c r="J83" i="1" s="1"/>
  <c r="K84" i="1"/>
  <c r="J84" i="1" s="1"/>
  <c r="K85" i="1"/>
  <c r="J85" i="1" s="1"/>
  <c r="K86" i="1"/>
  <c r="J86" i="1" s="1"/>
  <c r="K87" i="1"/>
  <c r="J87" i="1" s="1"/>
  <c r="K88" i="1"/>
  <c r="J88" i="1" s="1"/>
  <c r="K89" i="1"/>
  <c r="J89" i="1" s="1"/>
  <c r="K90" i="1"/>
  <c r="K91" i="1"/>
  <c r="J91" i="1" s="1"/>
  <c r="K92" i="1"/>
  <c r="J92" i="1" s="1"/>
  <c r="K93" i="1"/>
  <c r="J93" i="1" s="1"/>
  <c r="K94" i="1"/>
  <c r="J94" i="1" s="1"/>
  <c r="K95" i="1"/>
  <c r="J95" i="1" s="1"/>
  <c r="K96" i="1"/>
  <c r="J96" i="1" s="1"/>
  <c r="K97" i="1"/>
  <c r="J97" i="1" s="1"/>
  <c r="K98" i="1"/>
  <c r="J98" i="1" s="1"/>
  <c r="K99" i="1"/>
  <c r="J99" i="1" s="1"/>
  <c r="K100" i="1"/>
  <c r="J100" i="1" s="1"/>
  <c r="K101" i="1"/>
  <c r="J101" i="1" s="1"/>
  <c r="K102" i="1"/>
  <c r="J102" i="1" s="1"/>
  <c r="K103" i="1"/>
  <c r="J103" i="1" s="1"/>
  <c r="K104" i="1"/>
  <c r="J104" i="1" s="1"/>
  <c r="K105" i="1"/>
  <c r="J105" i="1" s="1"/>
  <c r="K106" i="1"/>
  <c r="J106" i="1" s="1"/>
  <c r="K107" i="1"/>
  <c r="J107" i="1" s="1"/>
  <c r="K108" i="1"/>
  <c r="J108" i="1" s="1"/>
  <c r="K109" i="1"/>
  <c r="J109" i="1" s="1"/>
  <c r="K110" i="1"/>
  <c r="J110" i="1" s="1"/>
  <c r="K111" i="1"/>
  <c r="J111" i="1" s="1"/>
  <c r="K112" i="1"/>
  <c r="J112" i="1" s="1"/>
  <c r="K113" i="1"/>
  <c r="J113" i="1" s="1"/>
  <c r="K114" i="1"/>
  <c r="J114" i="1" s="1"/>
  <c r="K115" i="1"/>
  <c r="J115" i="1" s="1"/>
  <c r="K116" i="1"/>
  <c r="J116" i="1" s="1"/>
  <c r="K117" i="1"/>
  <c r="J117" i="1" s="1"/>
  <c r="K118" i="1"/>
  <c r="J118" i="1" s="1"/>
  <c r="K119" i="1"/>
  <c r="J119" i="1" s="1"/>
  <c r="K120" i="1"/>
  <c r="J120" i="1" s="1"/>
  <c r="K121" i="1"/>
  <c r="J121" i="1" s="1"/>
  <c r="K122" i="1"/>
  <c r="K123" i="1"/>
  <c r="J123" i="1" s="1"/>
  <c r="K124" i="1"/>
  <c r="J124" i="1" s="1"/>
  <c r="K125" i="1"/>
  <c r="J125" i="1" s="1"/>
  <c r="K126" i="1"/>
  <c r="J126" i="1" s="1"/>
  <c r="K127" i="1"/>
  <c r="J127" i="1" s="1"/>
  <c r="K128" i="1"/>
  <c r="J128" i="1" s="1"/>
  <c r="K129" i="1"/>
  <c r="J129" i="1" s="1"/>
  <c r="K130" i="1"/>
  <c r="J130" i="1" s="1"/>
  <c r="K131" i="1"/>
  <c r="J131" i="1" s="1"/>
  <c r="K132" i="1"/>
  <c r="J132" i="1" s="1"/>
  <c r="K133" i="1"/>
  <c r="J133" i="1" s="1"/>
  <c r="K134" i="1"/>
  <c r="J134" i="1" s="1"/>
  <c r="K135" i="1"/>
  <c r="K136" i="1"/>
  <c r="J136" i="1" s="1"/>
  <c r="K137" i="1"/>
  <c r="J137" i="1" s="1"/>
  <c r="K138" i="1"/>
  <c r="K139" i="1"/>
  <c r="J139" i="1" s="1"/>
  <c r="K140" i="1"/>
  <c r="J140" i="1" s="1"/>
  <c r="K141" i="1"/>
  <c r="J141" i="1" s="1"/>
  <c r="K142" i="1"/>
  <c r="J142" i="1" s="1"/>
  <c r="K143" i="1"/>
  <c r="J143" i="1" s="1"/>
  <c r="K144" i="1"/>
  <c r="J144" i="1" s="1"/>
  <c r="K145" i="1"/>
  <c r="J145" i="1" s="1"/>
  <c r="K146" i="1"/>
  <c r="J146" i="1" s="1"/>
  <c r="K147" i="1"/>
  <c r="J147" i="1" s="1"/>
  <c r="K148" i="1"/>
  <c r="J148" i="1" s="1"/>
  <c r="K149" i="1"/>
  <c r="J149" i="1" s="1"/>
  <c r="K150" i="1"/>
  <c r="J150" i="1" s="1"/>
  <c r="K151" i="1"/>
  <c r="J151" i="1" s="1"/>
  <c r="K152" i="1"/>
  <c r="K153" i="1"/>
  <c r="J153" i="1" s="1"/>
  <c r="K154" i="1"/>
  <c r="J154" i="1" s="1"/>
  <c r="K155" i="1"/>
  <c r="J155" i="1" s="1"/>
  <c r="K156" i="1"/>
  <c r="J156" i="1" s="1"/>
  <c r="K157" i="1"/>
  <c r="J157" i="1" s="1"/>
  <c r="K158" i="1"/>
  <c r="J158" i="1" s="1"/>
  <c r="K159" i="1"/>
  <c r="J159" i="1" s="1"/>
  <c r="K160" i="1"/>
  <c r="J160" i="1" s="1"/>
  <c r="K161" i="1"/>
  <c r="J161" i="1" s="1"/>
  <c r="K162" i="1"/>
  <c r="J162" i="1" s="1"/>
  <c r="K163" i="1"/>
  <c r="J163" i="1" s="1"/>
  <c r="K164" i="1"/>
  <c r="J164" i="1" s="1"/>
  <c r="K165" i="1"/>
  <c r="J165" i="1" s="1"/>
  <c r="K166" i="1"/>
  <c r="J166" i="1" s="1"/>
  <c r="K167" i="1"/>
  <c r="K168" i="1"/>
  <c r="K169" i="1"/>
  <c r="J169" i="1" s="1"/>
  <c r="K170" i="1"/>
  <c r="J170" i="1" s="1"/>
  <c r="K171" i="1"/>
  <c r="J171" i="1" s="1"/>
  <c r="K172" i="1"/>
  <c r="J172" i="1" s="1"/>
  <c r="K173" i="1"/>
  <c r="J173" i="1" s="1"/>
  <c r="K174" i="1"/>
  <c r="J174" i="1" s="1"/>
  <c r="K175" i="1"/>
  <c r="J175" i="1" s="1"/>
  <c r="K176" i="1"/>
  <c r="J176" i="1" s="1"/>
  <c r="K177" i="1"/>
  <c r="J177" i="1" s="1"/>
  <c r="K178" i="1"/>
  <c r="J178" i="1" s="1"/>
  <c r="K179" i="1"/>
  <c r="J179" i="1" s="1"/>
  <c r="K180" i="1"/>
  <c r="J180" i="1" s="1"/>
  <c r="K181" i="1"/>
  <c r="J181" i="1" s="1"/>
  <c r="K182" i="1"/>
  <c r="J182" i="1" s="1"/>
  <c r="K183" i="1"/>
  <c r="K184" i="1"/>
  <c r="K185" i="1"/>
  <c r="J185" i="1" s="1"/>
  <c r="K186" i="1"/>
  <c r="K187" i="1"/>
  <c r="J187" i="1" s="1"/>
  <c r="K188" i="1"/>
  <c r="J188" i="1" s="1"/>
  <c r="K189" i="1"/>
  <c r="J189" i="1" s="1"/>
  <c r="K190" i="1"/>
  <c r="J190" i="1" s="1"/>
  <c r="K191" i="1"/>
  <c r="J191" i="1" s="1"/>
  <c r="K192" i="1"/>
  <c r="J192" i="1" s="1"/>
  <c r="K193" i="1"/>
  <c r="J193" i="1" s="1"/>
  <c r="K194" i="1"/>
  <c r="J194" i="1" s="1"/>
  <c r="K195" i="1"/>
  <c r="J195" i="1" s="1"/>
  <c r="K196" i="1"/>
  <c r="J196" i="1" s="1"/>
  <c r="K197" i="1"/>
  <c r="J197" i="1" s="1"/>
  <c r="K198" i="1"/>
  <c r="J198" i="1" s="1"/>
  <c r="K199" i="1"/>
  <c r="J199" i="1" s="1"/>
  <c r="K200" i="1"/>
  <c r="K201" i="1"/>
  <c r="J201" i="1" s="1"/>
  <c r="K202" i="1"/>
  <c r="K203" i="1"/>
  <c r="J203" i="1" s="1"/>
  <c r="K204" i="1"/>
  <c r="J204" i="1" s="1"/>
  <c r="K205" i="1"/>
  <c r="J205" i="1" s="1"/>
  <c r="K206" i="1"/>
  <c r="J206" i="1" s="1"/>
  <c r="K207" i="1"/>
  <c r="J207" i="1" s="1"/>
  <c r="K208" i="1"/>
  <c r="J208" i="1" s="1"/>
  <c r="K209" i="1"/>
  <c r="J209" i="1" s="1"/>
  <c r="K210" i="1"/>
  <c r="J210" i="1" s="1"/>
  <c r="K211" i="1"/>
  <c r="J211" i="1" s="1"/>
  <c r="K212" i="1"/>
  <c r="J212" i="1" s="1"/>
  <c r="K213" i="1"/>
  <c r="J213" i="1" s="1"/>
  <c r="K214" i="1"/>
  <c r="J214" i="1" s="1"/>
  <c r="K215" i="1"/>
  <c r="K216" i="1"/>
  <c r="J216" i="1" s="1"/>
  <c r="K217" i="1"/>
  <c r="J217" i="1" s="1"/>
  <c r="K218" i="1"/>
  <c r="J218" i="1" s="1"/>
  <c r="K219" i="1"/>
  <c r="J219" i="1" s="1"/>
  <c r="K220" i="1"/>
  <c r="J220" i="1" s="1"/>
  <c r="K221" i="1"/>
  <c r="J221" i="1" s="1"/>
  <c r="K222" i="1"/>
  <c r="J222" i="1" s="1"/>
  <c r="K223" i="1"/>
  <c r="J223" i="1" s="1"/>
  <c r="K224" i="1"/>
  <c r="J224" i="1" s="1"/>
  <c r="K225" i="1"/>
  <c r="J225" i="1" s="1"/>
  <c r="K226" i="1"/>
  <c r="J226" i="1" s="1"/>
  <c r="K227" i="1"/>
  <c r="J227" i="1" s="1"/>
  <c r="K228" i="1"/>
  <c r="J228" i="1" s="1"/>
  <c r="K229" i="1"/>
  <c r="J229" i="1" s="1"/>
  <c r="K230" i="1"/>
  <c r="J230" i="1" s="1"/>
  <c r="K231" i="1"/>
  <c r="J231" i="1" s="1"/>
  <c r="K232" i="1"/>
  <c r="K233" i="1"/>
  <c r="J233" i="1" s="1"/>
  <c r="K234" i="1"/>
  <c r="K235" i="1"/>
  <c r="J235" i="1" s="1"/>
  <c r="K236" i="1"/>
  <c r="J236" i="1" s="1"/>
  <c r="K237" i="1"/>
  <c r="J237" i="1" s="1"/>
  <c r="K238" i="1"/>
  <c r="J238" i="1" s="1"/>
  <c r="K239" i="1"/>
  <c r="J239" i="1" s="1"/>
  <c r="K240" i="1"/>
  <c r="J240" i="1" s="1"/>
  <c r="K241" i="1"/>
  <c r="J241" i="1" s="1"/>
  <c r="K242" i="1"/>
  <c r="J242" i="1" s="1"/>
  <c r="K243" i="1"/>
  <c r="J243" i="1" s="1"/>
  <c r="K244" i="1"/>
  <c r="J244" i="1" s="1"/>
  <c r="K245" i="1"/>
  <c r="J245" i="1" s="1"/>
  <c r="K246" i="1"/>
  <c r="J246" i="1" s="1"/>
  <c r="K247" i="1"/>
  <c r="J247" i="1" s="1"/>
  <c r="K248" i="1"/>
  <c r="J248" i="1" s="1"/>
  <c r="K249" i="1"/>
  <c r="J249" i="1" s="1"/>
  <c r="K250" i="1"/>
  <c r="K251" i="1"/>
  <c r="J251" i="1" s="1"/>
  <c r="K252" i="1"/>
  <c r="J252" i="1" s="1"/>
  <c r="K253" i="1"/>
  <c r="J253" i="1" s="1"/>
  <c r="K254" i="1"/>
  <c r="J254" i="1" s="1"/>
  <c r="K255" i="1"/>
  <c r="J255" i="1" s="1"/>
  <c r="K256" i="1"/>
  <c r="J256" i="1" s="1"/>
  <c r="K257" i="1"/>
  <c r="J257" i="1" s="1"/>
  <c r="K258" i="1"/>
  <c r="J258" i="1" s="1"/>
  <c r="K259" i="1"/>
  <c r="J259" i="1" s="1"/>
  <c r="K260" i="1"/>
  <c r="J260" i="1" s="1"/>
  <c r="K261" i="1"/>
  <c r="J261" i="1" s="1"/>
  <c r="K262" i="1"/>
  <c r="J262" i="1" s="1"/>
  <c r="K263" i="1"/>
  <c r="K264" i="1"/>
  <c r="K265" i="1"/>
  <c r="J265" i="1" s="1"/>
  <c r="K266" i="1"/>
  <c r="J266" i="1" s="1"/>
  <c r="K267" i="1"/>
  <c r="J267" i="1" s="1"/>
  <c r="K268" i="1"/>
  <c r="J268" i="1" s="1"/>
  <c r="K269" i="1"/>
  <c r="J269" i="1" s="1"/>
  <c r="K270" i="1"/>
  <c r="J270" i="1" s="1"/>
  <c r="K271" i="1"/>
  <c r="J271" i="1" s="1"/>
  <c r="K272" i="1"/>
  <c r="J272" i="1" s="1"/>
  <c r="K273" i="1"/>
  <c r="J273" i="1" s="1"/>
  <c r="K274" i="1"/>
  <c r="J274" i="1" s="1"/>
  <c r="K275" i="1"/>
  <c r="J275" i="1" s="1"/>
  <c r="K276" i="1"/>
  <c r="J276" i="1" s="1"/>
  <c r="K277" i="1"/>
  <c r="J277" i="1" s="1"/>
  <c r="K278" i="1"/>
  <c r="J278" i="1" s="1"/>
  <c r="K279" i="1"/>
  <c r="K280" i="1"/>
  <c r="J280" i="1" s="1"/>
  <c r="K281" i="1"/>
  <c r="J281" i="1" s="1"/>
  <c r="K282" i="1"/>
  <c r="J282" i="1" s="1"/>
  <c r="K283" i="1"/>
  <c r="J283" i="1" s="1"/>
  <c r="K284" i="1"/>
  <c r="J284" i="1" s="1"/>
  <c r="K285" i="1"/>
  <c r="J285" i="1" s="1"/>
  <c r="K286" i="1"/>
  <c r="J286" i="1" s="1"/>
  <c r="K287" i="1"/>
  <c r="J287" i="1" s="1"/>
  <c r="K288" i="1"/>
  <c r="J288" i="1" s="1"/>
  <c r="K289" i="1"/>
  <c r="J289" i="1" s="1"/>
  <c r="K290" i="1"/>
  <c r="J290" i="1" s="1"/>
  <c r="K291" i="1"/>
  <c r="J291" i="1" s="1"/>
  <c r="K292" i="1"/>
  <c r="J292" i="1" s="1"/>
  <c r="K293" i="1"/>
  <c r="J293" i="1" s="1"/>
  <c r="K294" i="1"/>
  <c r="J294" i="1" s="1"/>
  <c r="K295" i="1"/>
  <c r="K296" i="1"/>
  <c r="J296" i="1" s="1"/>
  <c r="K297" i="1"/>
  <c r="J297" i="1" s="1"/>
  <c r="K298" i="1"/>
  <c r="K299" i="1"/>
  <c r="J299" i="1" s="1"/>
  <c r="K300" i="1"/>
  <c r="J300" i="1" s="1"/>
  <c r="K301" i="1"/>
  <c r="J301" i="1" s="1"/>
  <c r="K302" i="1"/>
  <c r="J302" i="1" s="1"/>
  <c r="K303" i="1"/>
  <c r="J303" i="1" s="1"/>
  <c r="K304" i="1"/>
  <c r="J304" i="1" s="1"/>
  <c r="K305" i="1"/>
  <c r="J305" i="1" s="1"/>
  <c r="K306" i="1"/>
  <c r="J306" i="1" s="1"/>
  <c r="K307" i="1"/>
  <c r="J307" i="1" s="1"/>
  <c r="K308" i="1"/>
  <c r="J308" i="1" s="1"/>
  <c r="K309" i="1"/>
  <c r="J309" i="1" s="1"/>
  <c r="K310" i="1"/>
  <c r="J310" i="1" s="1"/>
  <c r="K311" i="1"/>
  <c r="K312" i="1"/>
  <c r="K313" i="1"/>
  <c r="J313" i="1" s="1"/>
  <c r="K314" i="1"/>
  <c r="K315" i="1"/>
  <c r="J315" i="1" s="1"/>
  <c r="K316" i="1"/>
  <c r="J316" i="1" s="1"/>
  <c r="K317" i="1"/>
  <c r="J317" i="1" s="1"/>
  <c r="K318" i="1"/>
  <c r="J318" i="1" s="1"/>
  <c r="K319" i="1"/>
  <c r="J319" i="1" s="1"/>
  <c r="K320" i="1"/>
  <c r="J320" i="1" s="1"/>
  <c r="K321" i="1"/>
  <c r="J321" i="1" s="1"/>
  <c r="K322" i="1"/>
  <c r="J322" i="1" s="1"/>
  <c r="K323" i="1"/>
  <c r="J323" i="1" s="1"/>
  <c r="K324" i="1"/>
  <c r="J324" i="1" s="1"/>
  <c r="K325" i="1"/>
  <c r="J325" i="1" s="1"/>
  <c r="K326" i="1"/>
  <c r="J326" i="1" s="1"/>
  <c r="K327" i="1"/>
  <c r="K328" i="1"/>
  <c r="J328" i="1" s="1"/>
  <c r="K329" i="1"/>
  <c r="J329" i="1" s="1"/>
  <c r="K330" i="1"/>
  <c r="J330" i="1" s="1"/>
  <c r="K331" i="1"/>
  <c r="J331" i="1" s="1"/>
  <c r="K332" i="1"/>
  <c r="J332" i="1" s="1"/>
  <c r="K333" i="1"/>
  <c r="J333" i="1" s="1"/>
  <c r="K334" i="1"/>
  <c r="J334" i="1" s="1"/>
  <c r="K335" i="1"/>
  <c r="J335" i="1" s="1"/>
  <c r="K336" i="1"/>
  <c r="J336" i="1" s="1"/>
  <c r="K337" i="1"/>
  <c r="J337" i="1" s="1"/>
  <c r="K338" i="1"/>
  <c r="J338" i="1" s="1"/>
  <c r="K339" i="1"/>
  <c r="J339" i="1" s="1"/>
  <c r="K340" i="1"/>
  <c r="J340" i="1" s="1"/>
  <c r="K341" i="1"/>
  <c r="J341" i="1" s="1"/>
  <c r="K342" i="1"/>
  <c r="J342" i="1" s="1"/>
  <c r="K343" i="1"/>
  <c r="J343" i="1" s="1"/>
  <c r="K344" i="1"/>
  <c r="J344" i="1" s="1"/>
  <c r="K345" i="1"/>
  <c r="J345" i="1" s="1"/>
  <c r="K346" i="1"/>
  <c r="K347" i="1"/>
  <c r="J347" i="1" s="1"/>
  <c r="K348" i="1"/>
  <c r="J348" i="1" s="1"/>
  <c r="K349" i="1"/>
  <c r="J349" i="1" s="1"/>
  <c r="K350" i="1"/>
  <c r="J350" i="1" s="1"/>
  <c r="K351" i="1"/>
  <c r="J351" i="1" s="1"/>
  <c r="K352" i="1"/>
  <c r="J352" i="1" s="1"/>
  <c r="K353" i="1"/>
  <c r="J353" i="1" s="1"/>
  <c r="K354" i="1"/>
  <c r="J354" i="1" s="1"/>
  <c r="K355" i="1"/>
  <c r="J355" i="1" s="1"/>
  <c r="K356" i="1"/>
  <c r="J356" i="1" s="1"/>
  <c r="K357" i="1"/>
  <c r="J357" i="1" s="1"/>
  <c r="K358" i="1"/>
  <c r="J358" i="1" s="1"/>
  <c r="K359" i="1"/>
  <c r="K360" i="1"/>
  <c r="K361" i="1"/>
  <c r="J361" i="1" s="1"/>
  <c r="K362" i="1"/>
  <c r="K363" i="1"/>
  <c r="J363" i="1" s="1"/>
  <c r="K364" i="1"/>
  <c r="J364" i="1" s="1"/>
  <c r="K365" i="1"/>
  <c r="J365" i="1" s="1"/>
  <c r="K366" i="1"/>
  <c r="J366" i="1" s="1"/>
  <c r="K367" i="1"/>
  <c r="J367" i="1" s="1"/>
  <c r="K368" i="1"/>
  <c r="J368" i="1" s="1"/>
  <c r="K369" i="1"/>
  <c r="J369" i="1" s="1"/>
  <c r="K370" i="1"/>
  <c r="J370" i="1" s="1"/>
  <c r="K371" i="1"/>
  <c r="J371" i="1" s="1"/>
  <c r="K372" i="1"/>
  <c r="J372" i="1" s="1"/>
  <c r="K373" i="1"/>
  <c r="J373" i="1" s="1"/>
  <c r="K374" i="1"/>
  <c r="J374" i="1" s="1"/>
  <c r="K375" i="1"/>
  <c r="K376" i="1"/>
  <c r="J376" i="1" s="1"/>
  <c r="K377" i="1"/>
  <c r="J377" i="1" s="1"/>
  <c r="K378" i="1"/>
  <c r="J378" i="1" s="1"/>
  <c r="K379" i="1"/>
  <c r="J379" i="1" s="1"/>
  <c r="K380" i="1"/>
  <c r="J380" i="1" s="1"/>
  <c r="K381" i="1"/>
  <c r="J381" i="1" s="1"/>
  <c r="K382" i="1"/>
  <c r="J382" i="1" s="1"/>
  <c r="K383" i="1"/>
  <c r="J383" i="1" s="1"/>
  <c r="K384" i="1"/>
  <c r="J384" i="1" s="1"/>
  <c r="K385" i="1"/>
  <c r="J385" i="1" s="1"/>
  <c r="K386" i="1"/>
  <c r="J386" i="1" s="1"/>
  <c r="K387" i="1"/>
  <c r="J387" i="1" s="1"/>
  <c r="K388" i="1"/>
  <c r="J388" i="1" s="1"/>
  <c r="K389" i="1"/>
  <c r="J389" i="1" s="1"/>
  <c r="K390" i="1"/>
  <c r="J390" i="1" s="1"/>
  <c r="K391" i="1"/>
  <c r="K392" i="1"/>
  <c r="K393" i="1"/>
  <c r="J393" i="1" s="1"/>
  <c r="K394" i="1"/>
  <c r="K395" i="1"/>
  <c r="J395" i="1" s="1"/>
  <c r="K396" i="1"/>
  <c r="J396" i="1" s="1"/>
  <c r="K397" i="1"/>
  <c r="J397" i="1" s="1"/>
  <c r="K398" i="1"/>
  <c r="J398" i="1" s="1"/>
  <c r="K399" i="1"/>
  <c r="J399" i="1" s="1"/>
  <c r="K400" i="1"/>
  <c r="J400" i="1" s="1"/>
  <c r="K401" i="1"/>
  <c r="J401" i="1" s="1"/>
  <c r="K402" i="1"/>
  <c r="J402" i="1" s="1"/>
  <c r="K403" i="1"/>
  <c r="J403" i="1" s="1"/>
  <c r="K404" i="1"/>
  <c r="J404" i="1" s="1"/>
  <c r="K405" i="1"/>
  <c r="J405" i="1" s="1"/>
  <c r="K406" i="1"/>
  <c r="J406" i="1" s="1"/>
  <c r="K407" i="1"/>
  <c r="K408" i="1"/>
  <c r="K409" i="1"/>
  <c r="J409" i="1" s="1"/>
  <c r="K410" i="1"/>
  <c r="K411" i="1"/>
  <c r="J411" i="1" s="1"/>
  <c r="K412" i="1"/>
  <c r="J412" i="1" s="1"/>
  <c r="K413" i="1"/>
  <c r="J413" i="1" s="1"/>
  <c r="K414" i="1"/>
  <c r="J414" i="1" s="1"/>
  <c r="K415" i="1"/>
  <c r="J415" i="1" s="1"/>
  <c r="K416" i="1"/>
  <c r="J416" i="1" s="1"/>
  <c r="K417" i="1"/>
  <c r="J417" i="1" s="1"/>
  <c r="K418" i="1"/>
  <c r="J418" i="1" s="1"/>
  <c r="K419" i="1"/>
  <c r="J419" i="1" s="1"/>
  <c r="K420" i="1"/>
  <c r="J420" i="1" s="1"/>
  <c r="K421" i="1"/>
  <c r="J421" i="1" s="1"/>
  <c r="K422" i="1"/>
  <c r="J422" i="1" s="1"/>
  <c r="K423" i="1"/>
  <c r="K424" i="1"/>
  <c r="J424" i="1" s="1"/>
  <c r="K425" i="1"/>
  <c r="J425" i="1" s="1"/>
  <c r="K426" i="1"/>
  <c r="K427" i="1"/>
  <c r="J427" i="1" s="1"/>
  <c r="K428" i="1"/>
  <c r="J428" i="1" s="1"/>
  <c r="K429" i="1"/>
  <c r="J429" i="1" s="1"/>
  <c r="K430" i="1"/>
  <c r="J430" i="1" s="1"/>
  <c r="K431" i="1"/>
  <c r="J431" i="1" s="1"/>
  <c r="K432" i="1"/>
  <c r="J432" i="1" s="1"/>
  <c r="K433" i="1"/>
  <c r="J433" i="1" s="1"/>
  <c r="K434" i="1"/>
  <c r="J434" i="1" s="1"/>
  <c r="K435" i="1"/>
  <c r="J435" i="1" s="1"/>
  <c r="K436" i="1"/>
  <c r="J436" i="1" s="1"/>
  <c r="K437" i="1"/>
  <c r="J437" i="1" s="1"/>
  <c r="K438" i="1"/>
  <c r="J438" i="1" s="1"/>
  <c r="K439" i="1"/>
  <c r="J439" i="1" s="1"/>
  <c r="K440" i="1"/>
  <c r="K441" i="1"/>
  <c r="J441" i="1" s="1"/>
  <c r="K442" i="1"/>
  <c r="K443" i="1"/>
  <c r="J443" i="1" s="1"/>
  <c r="K444" i="1"/>
  <c r="J444" i="1" s="1"/>
  <c r="K445" i="1"/>
  <c r="J445" i="1" s="1"/>
  <c r="K446" i="1"/>
  <c r="J446" i="1" s="1"/>
  <c r="K447" i="1"/>
  <c r="J447" i="1" s="1"/>
  <c r="K448" i="1"/>
  <c r="J448" i="1" s="1"/>
  <c r="K449" i="1"/>
  <c r="J449" i="1" s="1"/>
  <c r="K450" i="1"/>
  <c r="J450" i="1" s="1"/>
  <c r="K451" i="1"/>
  <c r="J451" i="1" s="1"/>
  <c r="K452" i="1"/>
  <c r="J452" i="1" s="1"/>
  <c r="K453" i="1"/>
  <c r="J453" i="1" s="1"/>
  <c r="K454" i="1"/>
  <c r="J454" i="1" s="1"/>
  <c r="K455" i="1"/>
  <c r="K456" i="1"/>
  <c r="K457" i="1"/>
  <c r="J457" i="1" s="1"/>
  <c r="K458" i="1"/>
  <c r="K459" i="1"/>
  <c r="J459" i="1" s="1"/>
  <c r="K460" i="1"/>
  <c r="J460" i="1" s="1"/>
  <c r="K461" i="1"/>
  <c r="J461" i="1" s="1"/>
  <c r="K462" i="1"/>
  <c r="J462" i="1" s="1"/>
  <c r="K463" i="1"/>
  <c r="J463" i="1" s="1"/>
  <c r="K464" i="1"/>
  <c r="J464" i="1" s="1"/>
  <c r="K465" i="1"/>
  <c r="J465" i="1" s="1"/>
  <c r="K466" i="1"/>
  <c r="J466" i="1" s="1"/>
  <c r="K467" i="1"/>
  <c r="J467" i="1" s="1"/>
  <c r="K468" i="1"/>
  <c r="J468" i="1" s="1"/>
  <c r="K469" i="1"/>
  <c r="J469" i="1" s="1"/>
  <c r="K470" i="1"/>
  <c r="J470" i="1" s="1"/>
  <c r="K471" i="1"/>
  <c r="J471" i="1" s="1"/>
  <c r="K472" i="1"/>
  <c r="J472" i="1" s="1"/>
  <c r="K473" i="1"/>
  <c r="J473" i="1" s="1"/>
  <c r="K474" i="1"/>
  <c r="J474" i="1" s="1"/>
  <c r="K475" i="1"/>
  <c r="J475" i="1" s="1"/>
  <c r="K476" i="1"/>
  <c r="J476" i="1" s="1"/>
  <c r="K477" i="1"/>
  <c r="J477" i="1" s="1"/>
  <c r="K478" i="1"/>
  <c r="J478" i="1" s="1"/>
  <c r="K479" i="1"/>
  <c r="J479" i="1" s="1"/>
  <c r="K480" i="1"/>
  <c r="J480" i="1" s="1"/>
  <c r="K481" i="1"/>
  <c r="J481" i="1" s="1"/>
  <c r="K482" i="1"/>
  <c r="J482" i="1" s="1"/>
  <c r="K483" i="1"/>
  <c r="J483" i="1" s="1"/>
  <c r="K484" i="1"/>
  <c r="J484" i="1" s="1"/>
  <c r="K485" i="1"/>
  <c r="J485" i="1" s="1"/>
  <c r="K486" i="1"/>
  <c r="J486" i="1" s="1"/>
  <c r="K487" i="1"/>
  <c r="K488" i="1"/>
  <c r="J488" i="1" s="1"/>
  <c r="K489" i="1"/>
  <c r="J489" i="1" s="1"/>
  <c r="K490" i="1"/>
  <c r="K491" i="1"/>
  <c r="J491" i="1" s="1"/>
  <c r="K492" i="1"/>
  <c r="J492" i="1" s="1"/>
  <c r="K493" i="1"/>
  <c r="J493" i="1" s="1"/>
  <c r="K494" i="1"/>
  <c r="J494" i="1" s="1"/>
  <c r="K495" i="1"/>
  <c r="J495" i="1" s="1"/>
  <c r="K496" i="1"/>
  <c r="J496" i="1" s="1"/>
  <c r="K497" i="1"/>
  <c r="J497" i="1" s="1"/>
  <c r="K498" i="1"/>
  <c r="J498" i="1" s="1"/>
  <c r="K499" i="1"/>
  <c r="J499" i="1" s="1"/>
  <c r="K500" i="1"/>
  <c r="J500" i="1" s="1"/>
  <c r="L2" i="1" a="1"/>
  <c r="L2" i="1" s="1"/>
  <c r="L3" i="1" a="1"/>
  <c r="L3" i="1" s="1"/>
  <c r="L4" i="1" a="1"/>
  <c r="L4" i="1" s="1"/>
  <c r="L5" i="1" a="1"/>
  <c r="L5" i="1" s="1"/>
  <c r="L6" i="1" a="1"/>
  <c r="L6" i="1" s="1"/>
  <c r="L7" i="1" a="1"/>
  <c r="L7" i="1" s="1"/>
  <c r="L8" i="1" a="1"/>
  <c r="L8" i="1" s="1"/>
  <c r="L9" i="1" a="1"/>
  <c r="L9" i="1" s="1"/>
  <c r="L10" i="1" a="1"/>
  <c r="L10" i="1" s="1"/>
  <c r="L11" i="1" a="1"/>
  <c r="L11" i="1" s="1"/>
  <c r="L12" i="1" a="1"/>
  <c r="L12" i="1" s="1"/>
  <c r="L13" i="1" a="1"/>
  <c r="L13" i="1" s="1"/>
  <c r="L14" i="1" a="1"/>
  <c r="L14" i="1" s="1"/>
  <c r="L15" i="1" a="1"/>
  <c r="L15" i="1" s="1"/>
  <c r="L16" i="1" a="1"/>
  <c r="L16" i="1" s="1"/>
  <c r="L17" i="1" a="1"/>
  <c r="L17" i="1" s="1"/>
  <c r="L18" i="1" a="1"/>
  <c r="L18" i="1" s="1"/>
  <c r="L19" i="1" a="1"/>
  <c r="L19" i="1" s="1"/>
  <c r="L20" i="1" a="1"/>
  <c r="L20" i="1" s="1"/>
  <c r="L21" i="1" a="1"/>
  <c r="L21" i="1" s="1"/>
  <c r="L22" i="1" a="1"/>
  <c r="L22" i="1" s="1"/>
  <c r="L23" i="1" a="1"/>
  <c r="L23" i="1" s="1"/>
  <c r="L24" i="1" a="1"/>
  <c r="L24" i="1" s="1"/>
  <c r="L25" i="1" a="1"/>
  <c r="L25" i="1" s="1"/>
  <c r="L26" i="1" a="1"/>
  <c r="L26" i="1" s="1"/>
  <c r="L27" i="1" a="1"/>
  <c r="L27" i="1" s="1"/>
  <c r="L28" i="1" a="1"/>
  <c r="L28" i="1" s="1"/>
  <c r="L29" i="1" a="1"/>
  <c r="L29" i="1" s="1"/>
  <c r="L30" i="1" a="1"/>
  <c r="L30" i="1" s="1"/>
  <c r="L31" i="1" a="1"/>
  <c r="L31" i="1" s="1"/>
  <c r="L32" i="1" a="1"/>
  <c r="L32" i="1" s="1"/>
  <c r="L33" i="1" a="1"/>
  <c r="L33" i="1" s="1"/>
  <c r="L34" i="1" a="1"/>
  <c r="L34" i="1" s="1"/>
  <c r="L35" i="1" a="1"/>
  <c r="L35" i="1" s="1"/>
  <c r="L36" i="1" a="1"/>
  <c r="L36" i="1" s="1"/>
  <c r="L37" i="1" a="1"/>
  <c r="L37" i="1" s="1"/>
  <c r="L38" i="1" a="1"/>
  <c r="L38" i="1" s="1"/>
  <c r="L39" i="1" a="1"/>
  <c r="L39" i="1" s="1"/>
  <c r="L40" i="1" a="1"/>
  <c r="L40" i="1" s="1"/>
  <c r="L41" i="1" a="1"/>
  <c r="L41" i="1" s="1"/>
  <c r="L42" i="1" a="1"/>
  <c r="L42" i="1" s="1"/>
  <c r="L43" i="1" a="1"/>
  <c r="L43" i="1" s="1"/>
  <c r="L44" i="1" a="1"/>
  <c r="L44" i="1" s="1"/>
  <c r="L45" i="1" a="1"/>
  <c r="L45" i="1" s="1"/>
  <c r="L46" i="1" a="1"/>
  <c r="L46" i="1" s="1"/>
  <c r="L47" i="1" a="1"/>
  <c r="L47" i="1" s="1"/>
  <c r="L48" i="1" a="1"/>
  <c r="L48" i="1" s="1"/>
  <c r="L49" i="1" a="1"/>
  <c r="L49" i="1" s="1"/>
  <c r="L50" i="1" a="1"/>
  <c r="L50" i="1" s="1"/>
  <c r="L51" i="1" a="1"/>
  <c r="L51" i="1" s="1"/>
  <c r="L52" i="1" a="1"/>
  <c r="L52" i="1" s="1"/>
  <c r="L53" i="1" a="1"/>
  <c r="L53" i="1" s="1"/>
  <c r="L54" i="1" a="1"/>
  <c r="L54" i="1" s="1"/>
  <c r="L55" i="1" a="1"/>
  <c r="L55" i="1" s="1"/>
  <c r="L56" i="1" a="1"/>
  <c r="L56" i="1" s="1"/>
  <c r="L57" i="1" a="1"/>
  <c r="L57" i="1" s="1"/>
  <c r="L58" i="1" a="1"/>
  <c r="L58" i="1" s="1"/>
  <c r="L59" i="1" a="1"/>
  <c r="L59" i="1" s="1"/>
  <c r="L60" i="1" a="1"/>
  <c r="L60" i="1" s="1"/>
  <c r="L61" i="1" a="1"/>
  <c r="L61" i="1" s="1"/>
  <c r="L62" i="1" a="1"/>
  <c r="L62" i="1" s="1"/>
  <c r="L63" i="1" a="1"/>
  <c r="L63" i="1" s="1"/>
  <c r="L64" i="1" a="1"/>
  <c r="L64" i="1" s="1"/>
  <c r="L65" i="1" a="1"/>
  <c r="L65" i="1" s="1"/>
  <c r="L66" i="1" a="1"/>
  <c r="L66" i="1" s="1"/>
  <c r="L67" i="1" a="1"/>
  <c r="L67" i="1" s="1"/>
  <c r="L68" i="1" a="1"/>
  <c r="L68" i="1" s="1"/>
  <c r="L69" i="1" a="1"/>
  <c r="L69" i="1" s="1"/>
  <c r="L70" i="1" a="1"/>
  <c r="L70" i="1" s="1"/>
  <c r="L71" i="1" a="1"/>
  <c r="L71" i="1" s="1"/>
  <c r="L72" i="1" a="1"/>
  <c r="L72" i="1" s="1"/>
  <c r="L73" i="1" a="1"/>
  <c r="L73" i="1" s="1"/>
  <c r="L74" i="1" a="1"/>
  <c r="L74" i="1" s="1"/>
  <c r="L75" i="1" a="1"/>
  <c r="L75" i="1" s="1"/>
  <c r="L76" i="1" a="1"/>
  <c r="L76" i="1" s="1"/>
  <c r="L77" i="1" a="1"/>
  <c r="L77" i="1" s="1"/>
  <c r="L78" i="1" a="1"/>
  <c r="L78" i="1" s="1"/>
  <c r="L79" i="1" a="1"/>
  <c r="L79" i="1" s="1"/>
  <c r="L80" i="1" a="1"/>
  <c r="L80" i="1" s="1"/>
  <c r="L81" i="1" a="1"/>
  <c r="L81" i="1" s="1"/>
  <c r="L82" i="1" a="1"/>
  <c r="L82" i="1" s="1"/>
  <c r="L83" i="1" a="1"/>
  <c r="L83" i="1" s="1"/>
  <c r="L84" i="1" a="1"/>
  <c r="L84" i="1" s="1"/>
  <c r="L85" i="1" a="1"/>
  <c r="L85" i="1" s="1"/>
  <c r="L86" i="1" a="1"/>
  <c r="L86" i="1" s="1"/>
  <c r="L87" i="1" a="1"/>
  <c r="L87" i="1" s="1"/>
  <c r="L88" i="1" a="1"/>
  <c r="L88" i="1" s="1"/>
  <c r="L89" i="1" a="1"/>
  <c r="L89" i="1" s="1"/>
  <c r="L90" i="1" a="1"/>
  <c r="L90" i="1" s="1"/>
  <c r="L91" i="1" a="1"/>
  <c r="L91" i="1" s="1"/>
  <c r="L92" i="1" a="1"/>
  <c r="L92" i="1" s="1"/>
  <c r="L93" i="1" a="1"/>
  <c r="L93" i="1" s="1"/>
  <c r="L94" i="1" a="1"/>
  <c r="L94" i="1" s="1"/>
  <c r="L95" i="1" a="1"/>
  <c r="L95" i="1" s="1"/>
  <c r="L96" i="1" a="1"/>
  <c r="L96" i="1" s="1"/>
  <c r="L97" i="1" a="1"/>
  <c r="L97" i="1" s="1"/>
  <c r="L98" i="1" a="1"/>
  <c r="L98" i="1" s="1"/>
  <c r="L99" i="1" a="1"/>
  <c r="L99" i="1" s="1"/>
  <c r="L100" i="1" a="1"/>
  <c r="L100" i="1" s="1"/>
  <c r="L101" i="1" a="1"/>
  <c r="L101" i="1" s="1"/>
  <c r="L102" i="1" a="1"/>
  <c r="L102" i="1" s="1"/>
  <c r="L103" i="1" a="1"/>
  <c r="L103" i="1" s="1"/>
  <c r="L104" i="1" a="1"/>
  <c r="L104" i="1" s="1"/>
  <c r="L105" i="1" a="1"/>
  <c r="L105" i="1" s="1"/>
  <c r="L106" i="1" a="1"/>
  <c r="L106" i="1" s="1"/>
  <c r="L107" i="1" a="1"/>
  <c r="L107" i="1" s="1"/>
  <c r="L108" i="1" a="1"/>
  <c r="L108" i="1" s="1"/>
  <c r="L109" i="1" a="1"/>
  <c r="L109" i="1" s="1"/>
  <c r="L110" i="1" a="1"/>
  <c r="L110" i="1" s="1"/>
  <c r="L111" i="1" a="1"/>
  <c r="L111" i="1" s="1"/>
  <c r="L112" i="1" a="1"/>
  <c r="L112" i="1" s="1"/>
  <c r="L113" i="1" a="1"/>
  <c r="L113" i="1" s="1"/>
  <c r="L114" i="1" a="1"/>
  <c r="L114" i="1" s="1"/>
  <c r="L115" i="1" a="1"/>
  <c r="L115" i="1" s="1"/>
  <c r="L116" i="1" a="1"/>
  <c r="L116" i="1" s="1"/>
  <c r="L117" i="1" a="1"/>
  <c r="L117" i="1" s="1"/>
  <c r="L118" i="1" a="1"/>
  <c r="L118" i="1" s="1"/>
  <c r="L119" i="1" a="1"/>
  <c r="L119" i="1" s="1"/>
  <c r="L120" i="1" a="1"/>
  <c r="L120" i="1" s="1"/>
  <c r="L121" i="1" a="1"/>
  <c r="L121" i="1" s="1"/>
  <c r="L122" i="1" a="1"/>
  <c r="L122" i="1" s="1"/>
  <c r="L123" i="1" a="1"/>
  <c r="L123" i="1" s="1"/>
  <c r="L124" i="1" a="1"/>
  <c r="L124" i="1" s="1"/>
  <c r="L125" i="1" a="1"/>
  <c r="L125" i="1" s="1"/>
  <c r="L126" i="1" a="1"/>
  <c r="L126" i="1" s="1"/>
  <c r="L127" i="1" a="1"/>
  <c r="L127" i="1" s="1"/>
  <c r="L128" i="1" a="1"/>
  <c r="L128" i="1" s="1"/>
  <c r="L129" i="1" a="1"/>
  <c r="L129" i="1" s="1"/>
  <c r="L130" i="1" a="1"/>
  <c r="L130" i="1" s="1"/>
  <c r="L131" i="1" a="1"/>
  <c r="L131" i="1" s="1"/>
  <c r="L132" i="1" a="1"/>
  <c r="L132" i="1" s="1"/>
  <c r="L133" i="1" a="1"/>
  <c r="L133" i="1" s="1"/>
  <c r="L134" i="1" a="1"/>
  <c r="L134" i="1" s="1"/>
  <c r="L135" i="1" a="1"/>
  <c r="L135" i="1" s="1"/>
  <c r="L136" i="1" a="1"/>
  <c r="L136" i="1" s="1"/>
  <c r="L137" i="1" a="1"/>
  <c r="L137" i="1" s="1"/>
  <c r="L138" i="1" a="1"/>
  <c r="L138" i="1" s="1"/>
  <c r="L139" i="1" a="1"/>
  <c r="L139" i="1" s="1"/>
  <c r="L140" i="1" a="1"/>
  <c r="L140" i="1" s="1"/>
  <c r="L141" i="1" a="1"/>
  <c r="L141" i="1" s="1"/>
  <c r="L142" i="1" a="1"/>
  <c r="L142" i="1" s="1"/>
  <c r="L143" i="1" a="1"/>
  <c r="L143" i="1" s="1"/>
  <c r="L144" i="1" a="1"/>
  <c r="L144" i="1" s="1"/>
  <c r="L145" i="1" a="1"/>
  <c r="L145" i="1" s="1"/>
  <c r="L146" i="1" a="1"/>
  <c r="L146" i="1" s="1"/>
  <c r="L147" i="1" a="1"/>
  <c r="L147" i="1" s="1"/>
  <c r="L148" i="1" a="1"/>
  <c r="L148" i="1" s="1"/>
  <c r="L149" i="1" a="1"/>
  <c r="L149" i="1" s="1"/>
  <c r="L150" i="1" a="1"/>
  <c r="L150" i="1" s="1"/>
  <c r="L151" i="1" a="1"/>
  <c r="L151" i="1" s="1"/>
  <c r="L152" i="1" a="1"/>
  <c r="L152" i="1" s="1"/>
  <c r="L153" i="1" a="1"/>
  <c r="L153" i="1" s="1"/>
  <c r="L154" i="1" a="1"/>
  <c r="L154" i="1" s="1"/>
  <c r="L155" i="1" a="1"/>
  <c r="L155" i="1" s="1"/>
  <c r="L156" i="1" a="1"/>
  <c r="L156" i="1" s="1"/>
  <c r="L157" i="1" a="1"/>
  <c r="L157" i="1" s="1"/>
  <c r="L158" i="1" a="1"/>
  <c r="L158" i="1" s="1"/>
  <c r="L159" i="1" a="1"/>
  <c r="L159" i="1" s="1"/>
  <c r="L160" i="1" a="1"/>
  <c r="L160" i="1" s="1"/>
  <c r="L161" i="1" a="1"/>
  <c r="L161" i="1" s="1"/>
  <c r="L162" i="1" a="1"/>
  <c r="L162" i="1" s="1"/>
  <c r="L163" i="1" a="1"/>
  <c r="L163" i="1" s="1"/>
  <c r="L164" i="1" a="1"/>
  <c r="L164" i="1" s="1"/>
  <c r="L165" i="1" a="1"/>
  <c r="L165" i="1" s="1"/>
  <c r="L166" i="1" a="1"/>
  <c r="L166" i="1" s="1"/>
  <c r="L167" i="1" a="1"/>
  <c r="L167" i="1" s="1"/>
  <c r="L168" i="1" a="1"/>
  <c r="L168" i="1" s="1"/>
  <c r="L169" i="1" a="1"/>
  <c r="L169" i="1" s="1"/>
  <c r="L170" i="1" a="1"/>
  <c r="L170" i="1" s="1"/>
  <c r="L171" i="1" a="1"/>
  <c r="L171" i="1" s="1"/>
  <c r="L172" i="1" a="1"/>
  <c r="L172" i="1" s="1"/>
  <c r="L173" i="1" a="1"/>
  <c r="L173" i="1" s="1"/>
  <c r="L174" i="1" a="1"/>
  <c r="L174" i="1" s="1"/>
  <c r="L175" i="1" a="1"/>
  <c r="L175" i="1" s="1"/>
  <c r="L176" i="1" a="1"/>
  <c r="L176" i="1" s="1"/>
  <c r="L177" i="1" a="1"/>
  <c r="L177" i="1" s="1"/>
  <c r="L178" i="1" a="1"/>
  <c r="L178" i="1" s="1"/>
  <c r="L179" i="1" a="1"/>
  <c r="L179" i="1" s="1"/>
  <c r="L180" i="1" a="1"/>
  <c r="L180" i="1" s="1"/>
  <c r="L181" i="1" a="1"/>
  <c r="L181" i="1" s="1"/>
  <c r="L182" i="1" a="1"/>
  <c r="L182" i="1" s="1"/>
  <c r="L183" i="1" a="1"/>
  <c r="L183" i="1" s="1"/>
  <c r="L184" i="1" a="1"/>
  <c r="L184" i="1" s="1"/>
  <c r="L185" i="1" a="1"/>
  <c r="L185" i="1" s="1"/>
  <c r="L186" i="1" a="1"/>
  <c r="L186" i="1" s="1"/>
  <c r="L187" i="1" a="1"/>
  <c r="L187" i="1" s="1"/>
  <c r="L188" i="1" a="1"/>
  <c r="L188" i="1" s="1"/>
  <c r="L189" i="1" a="1"/>
  <c r="L189" i="1" s="1"/>
  <c r="L190" i="1" a="1"/>
  <c r="L190" i="1" s="1"/>
  <c r="L191" i="1" a="1"/>
  <c r="L191" i="1" s="1"/>
  <c r="L192" i="1" a="1"/>
  <c r="L192" i="1" s="1"/>
  <c r="L193" i="1" a="1"/>
  <c r="L193" i="1" s="1"/>
  <c r="L194" i="1" a="1"/>
  <c r="L194" i="1" s="1"/>
  <c r="L195" i="1" a="1"/>
  <c r="L195" i="1" s="1"/>
  <c r="L196" i="1" a="1"/>
  <c r="L196" i="1" s="1"/>
  <c r="L197" i="1" a="1"/>
  <c r="L197" i="1" s="1"/>
  <c r="L198" i="1" a="1"/>
  <c r="L198" i="1" s="1"/>
  <c r="L199" i="1" a="1"/>
  <c r="L199" i="1" s="1"/>
  <c r="L200" i="1" a="1"/>
  <c r="L200" i="1" s="1"/>
  <c r="L201" i="1" a="1"/>
  <c r="L201" i="1" s="1"/>
  <c r="L202" i="1" a="1"/>
  <c r="L202" i="1" s="1"/>
  <c r="L203" i="1" a="1"/>
  <c r="L203" i="1" s="1"/>
  <c r="L204" i="1" a="1"/>
  <c r="L204" i="1" s="1"/>
  <c r="L205" i="1" a="1"/>
  <c r="L205" i="1" s="1"/>
  <c r="L206" i="1" a="1"/>
  <c r="L206" i="1" s="1"/>
  <c r="L207" i="1" a="1"/>
  <c r="L207" i="1" s="1"/>
  <c r="L208" i="1" a="1"/>
  <c r="L208" i="1" s="1"/>
  <c r="L209" i="1" a="1"/>
  <c r="L209" i="1" s="1"/>
  <c r="L210" i="1" a="1"/>
  <c r="L210" i="1" s="1"/>
  <c r="L211" i="1" a="1"/>
  <c r="L211" i="1" s="1"/>
  <c r="L212" i="1" a="1"/>
  <c r="L212" i="1" s="1"/>
  <c r="L213" i="1" a="1"/>
  <c r="L213" i="1" s="1"/>
  <c r="L214" i="1" a="1"/>
  <c r="L214" i="1" s="1"/>
  <c r="L215" i="1" a="1"/>
  <c r="L215" i="1" s="1"/>
  <c r="L216" i="1" a="1"/>
  <c r="L216" i="1" s="1"/>
  <c r="L217" i="1" a="1"/>
  <c r="L217" i="1" s="1"/>
  <c r="L218" i="1" a="1"/>
  <c r="L218" i="1" s="1"/>
  <c r="L219" i="1" a="1"/>
  <c r="L219" i="1" s="1"/>
  <c r="L220" i="1" a="1"/>
  <c r="L220" i="1" s="1"/>
  <c r="L221" i="1" a="1"/>
  <c r="L221" i="1" s="1"/>
  <c r="L222" i="1" a="1"/>
  <c r="L222" i="1" s="1"/>
  <c r="L223" i="1" a="1"/>
  <c r="L223" i="1" s="1"/>
  <c r="L224" i="1" a="1"/>
  <c r="L224" i="1" s="1"/>
  <c r="L225" i="1" a="1"/>
  <c r="L225" i="1" s="1"/>
  <c r="L226" i="1" a="1"/>
  <c r="L226" i="1" s="1"/>
  <c r="L227" i="1" a="1"/>
  <c r="L227" i="1" s="1"/>
  <c r="L228" i="1" a="1"/>
  <c r="L228" i="1" s="1"/>
  <c r="L229" i="1" a="1"/>
  <c r="L229" i="1" s="1"/>
  <c r="L230" i="1" a="1"/>
  <c r="L230" i="1" s="1"/>
  <c r="L231" i="1" a="1"/>
  <c r="L231" i="1" s="1"/>
  <c r="L232" i="1" a="1"/>
  <c r="L232" i="1" s="1"/>
  <c r="L233" i="1" a="1"/>
  <c r="L233" i="1" s="1"/>
  <c r="L234" i="1" a="1"/>
  <c r="L234" i="1" s="1"/>
  <c r="L235" i="1" a="1"/>
  <c r="L235" i="1" s="1"/>
  <c r="L236" i="1" a="1"/>
  <c r="L236" i="1" s="1"/>
  <c r="L237" i="1" a="1"/>
  <c r="L237" i="1" s="1"/>
  <c r="L238" i="1" a="1"/>
  <c r="L238" i="1" s="1"/>
  <c r="L239" i="1" a="1"/>
  <c r="L239" i="1" s="1"/>
  <c r="L240" i="1" a="1"/>
  <c r="L240" i="1" s="1"/>
  <c r="L241" i="1" a="1"/>
  <c r="L241" i="1" s="1"/>
  <c r="L242" i="1" a="1"/>
  <c r="L242" i="1" s="1"/>
  <c r="L243" i="1" a="1"/>
  <c r="L243" i="1" s="1"/>
  <c r="L244" i="1" a="1"/>
  <c r="L244" i="1" s="1"/>
  <c r="L245" i="1" a="1"/>
  <c r="L245" i="1" s="1"/>
  <c r="L246" i="1" a="1"/>
  <c r="L246" i="1" s="1"/>
  <c r="L247" i="1" a="1"/>
  <c r="L247" i="1" s="1"/>
  <c r="L248" i="1" a="1"/>
  <c r="L248" i="1" s="1"/>
  <c r="L249" i="1" a="1"/>
  <c r="L249" i="1" s="1"/>
  <c r="L250" i="1" a="1"/>
  <c r="L250" i="1" s="1"/>
  <c r="L251" i="1" a="1"/>
  <c r="L251" i="1" s="1"/>
  <c r="L252" i="1" a="1"/>
  <c r="L252" i="1" s="1"/>
  <c r="L253" i="1" a="1"/>
  <c r="L253" i="1" s="1"/>
  <c r="L254" i="1" a="1"/>
  <c r="L254" i="1" s="1"/>
  <c r="L255" i="1" a="1"/>
  <c r="L255" i="1" s="1"/>
  <c r="L256" i="1" a="1"/>
  <c r="L256" i="1" s="1"/>
  <c r="L257" i="1" a="1"/>
  <c r="L257" i="1" s="1"/>
  <c r="L258" i="1" a="1"/>
  <c r="L258" i="1" s="1"/>
  <c r="L259" i="1" a="1"/>
  <c r="L259" i="1" s="1"/>
  <c r="L260" i="1" a="1"/>
  <c r="L260" i="1" s="1"/>
  <c r="L261" i="1" a="1"/>
  <c r="L261" i="1" s="1"/>
  <c r="L262" i="1" a="1"/>
  <c r="L262" i="1" s="1"/>
  <c r="L263" i="1" a="1"/>
  <c r="L263" i="1" s="1"/>
  <c r="L264" i="1" a="1"/>
  <c r="L264" i="1" s="1"/>
  <c r="L265" i="1" a="1"/>
  <c r="L265" i="1" s="1"/>
  <c r="L266" i="1" a="1"/>
  <c r="L266" i="1" s="1"/>
  <c r="L267" i="1" a="1"/>
  <c r="L267" i="1" s="1"/>
  <c r="L268" i="1" a="1"/>
  <c r="L268" i="1" s="1"/>
  <c r="L269" i="1" a="1"/>
  <c r="L269" i="1" s="1"/>
  <c r="L270" i="1" a="1"/>
  <c r="L270" i="1" s="1"/>
  <c r="L271" i="1" a="1"/>
  <c r="L271" i="1" s="1"/>
  <c r="L272" i="1" a="1"/>
  <c r="L272" i="1" s="1"/>
  <c r="L273" i="1" a="1"/>
  <c r="L273" i="1" s="1"/>
  <c r="L274" i="1" a="1"/>
  <c r="L274" i="1" s="1"/>
  <c r="L275" i="1" a="1"/>
  <c r="L275" i="1" s="1"/>
  <c r="L276" i="1" a="1"/>
  <c r="L276" i="1" s="1"/>
  <c r="L277" i="1" a="1"/>
  <c r="L277" i="1" s="1"/>
  <c r="L278" i="1" a="1"/>
  <c r="L278" i="1" s="1"/>
  <c r="L279" i="1" a="1"/>
  <c r="L279" i="1" s="1"/>
  <c r="L280" i="1" a="1"/>
  <c r="L280" i="1" s="1"/>
  <c r="L281" i="1" a="1"/>
  <c r="L281" i="1" s="1"/>
  <c r="L282" i="1" a="1"/>
  <c r="L282" i="1" s="1"/>
  <c r="L283" i="1" a="1"/>
  <c r="L283" i="1" s="1"/>
  <c r="L284" i="1" a="1"/>
  <c r="L284" i="1" s="1"/>
  <c r="L285" i="1" a="1"/>
  <c r="L285" i="1" s="1"/>
  <c r="L286" i="1" a="1"/>
  <c r="L286" i="1" s="1"/>
  <c r="L287" i="1" a="1"/>
  <c r="L287" i="1" s="1"/>
  <c r="L288" i="1" a="1"/>
  <c r="L288" i="1" s="1"/>
  <c r="L289" i="1" a="1"/>
  <c r="L289" i="1" s="1"/>
  <c r="L290" i="1" a="1"/>
  <c r="L290" i="1" s="1"/>
  <c r="L291" i="1" a="1"/>
  <c r="L291" i="1" s="1"/>
  <c r="L292" i="1" a="1"/>
  <c r="L292" i="1" s="1"/>
  <c r="L293" i="1" a="1"/>
  <c r="L293" i="1" s="1"/>
  <c r="L294" i="1" a="1"/>
  <c r="L294" i="1" s="1"/>
  <c r="L295" i="1" a="1"/>
  <c r="L295" i="1" s="1"/>
  <c r="L296" i="1" a="1"/>
  <c r="L296" i="1" s="1"/>
  <c r="L297" i="1" a="1"/>
  <c r="L297" i="1" s="1"/>
  <c r="L298" i="1" a="1"/>
  <c r="L298" i="1" s="1"/>
  <c r="L299" i="1" a="1"/>
  <c r="L299" i="1" s="1"/>
  <c r="L300" i="1" a="1"/>
  <c r="L300" i="1" s="1"/>
  <c r="L301" i="1" a="1"/>
  <c r="L301" i="1" s="1"/>
  <c r="L302" i="1" a="1"/>
  <c r="L302" i="1" s="1"/>
  <c r="L303" i="1" a="1"/>
  <c r="L303" i="1" s="1"/>
  <c r="L304" i="1" a="1"/>
  <c r="L304" i="1" s="1"/>
  <c r="L305" i="1" a="1"/>
  <c r="L305" i="1" s="1"/>
  <c r="L306" i="1" a="1"/>
  <c r="L306" i="1" s="1"/>
  <c r="L307" i="1" a="1"/>
  <c r="L307" i="1" s="1"/>
  <c r="L308" i="1" a="1"/>
  <c r="L308" i="1" s="1"/>
  <c r="L309" i="1" a="1"/>
  <c r="L309" i="1" s="1"/>
  <c r="L310" i="1" a="1"/>
  <c r="L310" i="1" s="1"/>
  <c r="L311" i="1" a="1"/>
  <c r="L311" i="1" s="1"/>
  <c r="L312" i="1" a="1"/>
  <c r="L312" i="1" s="1"/>
  <c r="L313" i="1" a="1"/>
  <c r="L313" i="1" s="1"/>
  <c r="L314" i="1" a="1"/>
  <c r="L314" i="1" s="1"/>
  <c r="L315" i="1" a="1"/>
  <c r="L315" i="1" s="1"/>
  <c r="L316" i="1" a="1"/>
  <c r="L316" i="1" s="1"/>
  <c r="L317" i="1" a="1"/>
  <c r="L317" i="1" s="1"/>
  <c r="L318" i="1" a="1"/>
  <c r="L318" i="1" s="1"/>
  <c r="L319" i="1" a="1"/>
  <c r="L319" i="1" s="1"/>
  <c r="L320" i="1" a="1"/>
  <c r="L320" i="1" s="1"/>
  <c r="L321" i="1" a="1"/>
  <c r="L321" i="1" s="1"/>
  <c r="L322" i="1" a="1"/>
  <c r="L322" i="1" s="1"/>
  <c r="L323" i="1" a="1"/>
  <c r="L323" i="1" s="1"/>
  <c r="L324" i="1" a="1"/>
  <c r="L324" i="1" s="1"/>
  <c r="L325" i="1" a="1"/>
  <c r="L325" i="1" s="1"/>
  <c r="L326" i="1" a="1"/>
  <c r="L326" i="1" s="1"/>
  <c r="L327" i="1" a="1"/>
  <c r="L327" i="1" s="1"/>
  <c r="L328" i="1" a="1"/>
  <c r="L328" i="1" s="1"/>
  <c r="L329" i="1" a="1"/>
  <c r="L329" i="1" s="1"/>
  <c r="L330" i="1" a="1"/>
  <c r="L330" i="1" s="1"/>
  <c r="L331" i="1" a="1"/>
  <c r="L331" i="1" s="1"/>
  <c r="L332" i="1" a="1"/>
  <c r="L332" i="1" s="1"/>
  <c r="L333" i="1" a="1"/>
  <c r="L333" i="1" s="1"/>
  <c r="L334" i="1" a="1"/>
  <c r="L334" i="1" s="1"/>
  <c r="L335" i="1" a="1"/>
  <c r="L335" i="1" s="1"/>
  <c r="L336" i="1" a="1"/>
  <c r="L336" i="1" s="1"/>
  <c r="L337" i="1" a="1"/>
  <c r="L337" i="1" s="1"/>
  <c r="L338" i="1" a="1"/>
  <c r="L338" i="1" s="1"/>
  <c r="L339" i="1" a="1"/>
  <c r="L339" i="1" s="1"/>
  <c r="L340" i="1" a="1"/>
  <c r="L340" i="1" s="1"/>
  <c r="L341" i="1" a="1"/>
  <c r="L341" i="1" s="1"/>
  <c r="L342" i="1" a="1"/>
  <c r="L342" i="1" s="1"/>
  <c r="L343" i="1" a="1"/>
  <c r="L343" i="1" s="1"/>
  <c r="L344" i="1" a="1"/>
  <c r="L344" i="1" s="1"/>
  <c r="L345" i="1" a="1"/>
  <c r="L345" i="1" s="1"/>
  <c r="L346" i="1" a="1"/>
  <c r="L346" i="1" s="1"/>
  <c r="L347" i="1" a="1"/>
  <c r="L347" i="1" s="1"/>
  <c r="L348" i="1" a="1"/>
  <c r="L348" i="1" s="1"/>
  <c r="L349" i="1" a="1"/>
  <c r="L349" i="1" s="1"/>
  <c r="L350" i="1" a="1"/>
  <c r="L350" i="1" s="1"/>
  <c r="L351" i="1" a="1"/>
  <c r="L351" i="1" s="1"/>
  <c r="L352" i="1" a="1"/>
  <c r="L352" i="1" s="1"/>
  <c r="L353" i="1" a="1"/>
  <c r="L353" i="1" s="1"/>
  <c r="L354" i="1" a="1"/>
  <c r="L354" i="1" s="1"/>
  <c r="L355" i="1" a="1"/>
  <c r="L355" i="1" s="1"/>
  <c r="L356" i="1" a="1"/>
  <c r="L356" i="1" s="1"/>
  <c r="L357" i="1" a="1"/>
  <c r="L357" i="1" s="1"/>
  <c r="L358" i="1" a="1"/>
  <c r="L358" i="1" s="1"/>
  <c r="L359" i="1" a="1"/>
  <c r="L359" i="1" s="1"/>
  <c r="L360" i="1" a="1"/>
  <c r="L360" i="1" s="1"/>
  <c r="L361" i="1" a="1"/>
  <c r="L361" i="1" s="1"/>
  <c r="L362" i="1" a="1"/>
  <c r="L362" i="1" s="1"/>
  <c r="L363" i="1" a="1"/>
  <c r="L363" i="1" s="1"/>
  <c r="L364" i="1" a="1"/>
  <c r="L364" i="1" s="1"/>
  <c r="L365" i="1" a="1"/>
  <c r="L365" i="1" s="1"/>
  <c r="L366" i="1" a="1"/>
  <c r="L366" i="1" s="1"/>
  <c r="L367" i="1" a="1"/>
  <c r="L367" i="1" s="1"/>
  <c r="L368" i="1" a="1"/>
  <c r="L368" i="1" s="1"/>
  <c r="L369" i="1" a="1"/>
  <c r="L369" i="1" s="1"/>
  <c r="L370" i="1" a="1"/>
  <c r="L370" i="1" s="1"/>
  <c r="L371" i="1" a="1"/>
  <c r="L371" i="1" s="1"/>
  <c r="L372" i="1" a="1"/>
  <c r="L372" i="1" s="1"/>
  <c r="L373" i="1" a="1"/>
  <c r="L373" i="1" s="1"/>
  <c r="L374" i="1" a="1"/>
  <c r="L374" i="1" s="1"/>
  <c r="L375" i="1" a="1"/>
  <c r="L375" i="1" s="1"/>
  <c r="L376" i="1" a="1"/>
  <c r="L376" i="1" s="1"/>
  <c r="L377" i="1" a="1"/>
  <c r="L377" i="1" s="1"/>
  <c r="L378" i="1" a="1"/>
  <c r="L378" i="1" s="1"/>
  <c r="L379" i="1" a="1"/>
  <c r="L379" i="1" s="1"/>
  <c r="L380" i="1" a="1"/>
  <c r="L380" i="1" s="1"/>
  <c r="L381" i="1" a="1"/>
  <c r="L381" i="1" s="1"/>
  <c r="L382" i="1" a="1"/>
  <c r="L382" i="1" s="1"/>
  <c r="L383" i="1" a="1"/>
  <c r="L383" i="1" s="1"/>
  <c r="L384" i="1" a="1"/>
  <c r="L384" i="1" s="1"/>
  <c r="L385" i="1" a="1"/>
  <c r="L385" i="1" s="1"/>
  <c r="L386" i="1" a="1"/>
  <c r="L386" i="1" s="1"/>
  <c r="L387" i="1" a="1"/>
  <c r="L387" i="1" s="1"/>
  <c r="L388" i="1" a="1"/>
  <c r="L388" i="1" s="1"/>
  <c r="L389" i="1" a="1"/>
  <c r="L389" i="1" s="1"/>
  <c r="L390" i="1" a="1"/>
  <c r="L390" i="1" s="1"/>
  <c r="L391" i="1" a="1"/>
  <c r="L391" i="1" s="1"/>
  <c r="L392" i="1" a="1"/>
  <c r="L392" i="1" s="1"/>
  <c r="L393" i="1" a="1"/>
  <c r="L393" i="1" s="1"/>
  <c r="L394" i="1" a="1"/>
  <c r="L394" i="1" s="1"/>
  <c r="L395" i="1" a="1"/>
  <c r="L395" i="1" s="1"/>
  <c r="L396" i="1" a="1"/>
  <c r="L396" i="1" s="1"/>
  <c r="L397" i="1" a="1"/>
  <c r="L397" i="1" s="1"/>
  <c r="L398" i="1" a="1"/>
  <c r="L398" i="1" s="1"/>
  <c r="L399" i="1" a="1"/>
  <c r="L399" i="1" s="1"/>
  <c r="L400" i="1" a="1"/>
  <c r="L400" i="1" s="1"/>
  <c r="L401" i="1" a="1"/>
  <c r="L401" i="1" s="1"/>
  <c r="L402" i="1" a="1"/>
  <c r="L402" i="1" s="1"/>
  <c r="L403" i="1" a="1"/>
  <c r="L403" i="1" s="1"/>
  <c r="L404" i="1" a="1"/>
  <c r="L404" i="1" s="1"/>
  <c r="L405" i="1" a="1"/>
  <c r="L405" i="1" s="1"/>
  <c r="L406" i="1" a="1"/>
  <c r="L406" i="1" s="1"/>
  <c r="L407" i="1" a="1"/>
  <c r="L407" i="1" s="1"/>
  <c r="L408" i="1" a="1"/>
  <c r="L408" i="1" s="1"/>
  <c r="L409" i="1" a="1"/>
  <c r="L409" i="1" s="1"/>
  <c r="L410" i="1" a="1"/>
  <c r="L410" i="1" s="1"/>
  <c r="L411" i="1" a="1"/>
  <c r="L411" i="1" s="1"/>
  <c r="L412" i="1" a="1"/>
  <c r="L412" i="1" s="1"/>
  <c r="L413" i="1" a="1"/>
  <c r="L413" i="1" s="1"/>
  <c r="L414" i="1" a="1"/>
  <c r="L414" i="1" s="1"/>
  <c r="L415" i="1" a="1"/>
  <c r="L415" i="1" s="1"/>
  <c r="L416" i="1" a="1"/>
  <c r="L416" i="1" s="1"/>
  <c r="L417" i="1" a="1"/>
  <c r="L417" i="1" s="1"/>
  <c r="L418" i="1" a="1"/>
  <c r="L418" i="1" s="1"/>
  <c r="L419" i="1" a="1"/>
  <c r="L419" i="1" s="1"/>
  <c r="L420" i="1" a="1"/>
  <c r="L420" i="1" s="1"/>
  <c r="L421" i="1" a="1"/>
  <c r="L421" i="1" s="1"/>
  <c r="L422" i="1" a="1"/>
  <c r="L422" i="1" s="1"/>
  <c r="L423" i="1" a="1"/>
  <c r="L423" i="1" s="1"/>
  <c r="L424" i="1" a="1"/>
  <c r="L424" i="1" s="1"/>
  <c r="L425" i="1" a="1"/>
  <c r="L425" i="1" s="1"/>
  <c r="L426" i="1" a="1"/>
  <c r="L426" i="1" s="1"/>
  <c r="L427" i="1" a="1"/>
  <c r="L427" i="1" s="1"/>
  <c r="L428" i="1" a="1"/>
  <c r="L428" i="1" s="1"/>
  <c r="L429" i="1" a="1"/>
  <c r="L429" i="1" s="1"/>
  <c r="L430" i="1" a="1"/>
  <c r="L430" i="1" s="1"/>
  <c r="L431" i="1" a="1"/>
  <c r="L431" i="1" s="1"/>
  <c r="L432" i="1" a="1"/>
  <c r="L432" i="1" s="1"/>
  <c r="L433" i="1" a="1"/>
  <c r="L433" i="1" s="1"/>
  <c r="L434" i="1" a="1"/>
  <c r="L434" i="1" s="1"/>
  <c r="L435" i="1" a="1"/>
  <c r="L435" i="1" s="1"/>
  <c r="L436" i="1" a="1"/>
  <c r="L436" i="1" s="1"/>
  <c r="L437" i="1" a="1"/>
  <c r="L437" i="1" s="1"/>
  <c r="L438" i="1" a="1"/>
  <c r="L438" i="1" s="1"/>
  <c r="L439" i="1" a="1"/>
  <c r="L439" i="1" s="1"/>
  <c r="L440" i="1" a="1"/>
  <c r="L440" i="1" s="1"/>
  <c r="L441" i="1" a="1"/>
  <c r="L441" i="1" s="1"/>
  <c r="L442" i="1" a="1"/>
  <c r="L442" i="1" s="1"/>
  <c r="L443" i="1" a="1"/>
  <c r="L443" i="1" s="1"/>
  <c r="L444" i="1" a="1"/>
  <c r="L444" i="1" s="1"/>
  <c r="L445" i="1" a="1"/>
  <c r="L445" i="1" s="1"/>
  <c r="L446" i="1" a="1"/>
  <c r="L446" i="1" s="1"/>
  <c r="L447" i="1" a="1"/>
  <c r="L447" i="1" s="1"/>
  <c r="L448" i="1" a="1"/>
  <c r="L448" i="1" s="1"/>
  <c r="L449" i="1" a="1"/>
  <c r="L449" i="1" s="1"/>
  <c r="L450" i="1" a="1"/>
  <c r="L450" i="1" s="1"/>
  <c r="L451" i="1" a="1"/>
  <c r="L451" i="1" s="1"/>
  <c r="L452" i="1" a="1"/>
  <c r="L452" i="1" s="1"/>
  <c r="L453" i="1" a="1"/>
  <c r="L453" i="1" s="1"/>
  <c r="L454" i="1" a="1"/>
  <c r="L454" i="1" s="1"/>
  <c r="L455" i="1" a="1"/>
  <c r="L455" i="1" s="1"/>
  <c r="L456" i="1" a="1"/>
  <c r="L456" i="1" s="1"/>
  <c r="L457" i="1" a="1"/>
  <c r="L457" i="1" s="1"/>
  <c r="L458" i="1" a="1"/>
  <c r="L458" i="1" s="1"/>
  <c r="L459" i="1" a="1"/>
  <c r="L459" i="1" s="1"/>
  <c r="L460" i="1" a="1"/>
  <c r="L460" i="1" s="1"/>
  <c r="L461" i="1" a="1"/>
  <c r="L461" i="1" s="1"/>
  <c r="L462" i="1" a="1"/>
  <c r="L462" i="1" s="1"/>
  <c r="L463" i="1" a="1"/>
  <c r="L463" i="1" s="1"/>
  <c r="L464" i="1" a="1"/>
  <c r="L464" i="1" s="1"/>
  <c r="L465" i="1" a="1"/>
  <c r="L465" i="1" s="1"/>
  <c r="L466" i="1" a="1"/>
  <c r="L466" i="1" s="1"/>
  <c r="L467" i="1" a="1"/>
  <c r="L467" i="1" s="1"/>
  <c r="L468" i="1" a="1"/>
  <c r="L468" i="1" s="1"/>
  <c r="L469" i="1" a="1"/>
  <c r="L469" i="1" s="1"/>
  <c r="L470" i="1" a="1"/>
  <c r="L470" i="1" s="1"/>
  <c r="L471" i="1" a="1"/>
  <c r="L471" i="1" s="1"/>
  <c r="L472" i="1" a="1"/>
  <c r="L472" i="1" s="1"/>
  <c r="L473" i="1" a="1"/>
  <c r="L473" i="1" s="1"/>
  <c r="L474" i="1" a="1"/>
  <c r="L474" i="1" s="1"/>
  <c r="L475" i="1" a="1"/>
  <c r="L475" i="1" s="1"/>
  <c r="L476" i="1" a="1"/>
  <c r="L476" i="1" s="1"/>
  <c r="L477" i="1" a="1"/>
  <c r="L477" i="1" s="1"/>
  <c r="L478" i="1" a="1"/>
  <c r="L478" i="1" s="1"/>
  <c r="L479" i="1" a="1"/>
  <c r="L479" i="1" s="1"/>
  <c r="L480" i="1" a="1"/>
  <c r="L480" i="1" s="1"/>
  <c r="L481" i="1" a="1"/>
  <c r="L481" i="1" s="1"/>
  <c r="L482" i="1" a="1"/>
  <c r="L482" i="1" s="1"/>
  <c r="L483" i="1" a="1"/>
  <c r="L483" i="1" s="1"/>
  <c r="L484" i="1" a="1"/>
  <c r="L484" i="1" s="1"/>
  <c r="L485" i="1" a="1"/>
  <c r="L485" i="1" s="1"/>
  <c r="L486" i="1" a="1"/>
  <c r="L486" i="1" s="1"/>
  <c r="L487" i="1" a="1"/>
  <c r="L487" i="1" s="1"/>
  <c r="L488" i="1" a="1"/>
  <c r="L488" i="1" s="1"/>
  <c r="L489" i="1" a="1"/>
  <c r="L489" i="1" s="1"/>
  <c r="L490" i="1" a="1"/>
  <c r="L490" i="1" s="1"/>
  <c r="L491" i="1" a="1"/>
  <c r="L491" i="1" s="1"/>
  <c r="L492" i="1" a="1"/>
  <c r="L492" i="1" s="1"/>
  <c r="L493" i="1" a="1"/>
  <c r="L493" i="1" s="1"/>
  <c r="L494" i="1" a="1"/>
  <c r="L494" i="1" s="1"/>
  <c r="L495" i="1" a="1"/>
  <c r="L495" i="1" s="1"/>
  <c r="L496" i="1" a="1"/>
  <c r="L496" i="1" s="1"/>
  <c r="L497" i="1" a="1"/>
  <c r="L497" i="1" s="1"/>
  <c r="L498" i="1" a="1"/>
  <c r="L498" i="1" s="1"/>
  <c r="L499" i="1" a="1"/>
  <c r="L499" i="1" s="1"/>
  <c r="L500" i="1" a="1"/>
  <c r="L500" i="1" s="1"/>
  <c r="G2" i="1" a="1"/>
  <c r="G2" i="1" s="1"/>
  <c r="G3" i="1" a="1"/>
  <c r="G3" i="1" s="1"/>
  <c r="G4" i="1" a="1"/>
  <c r="G4" i="1" s="1"/>
  <c r="G5" i="1" a="1"/>
  <c r="G5" i="1" s="1"/>
  <c r="G6" i="1" a="1"/>
  <c r="G6" i="1" s="1"/>
  <c r="G7" i="1" a="1"/>
  <c r="G7" i="1" s="1"/>
  <c r="G8" i="1" a="1"/>
  <c r="G8" i="1" s="1"/>
  <c r="G9" i="1" a="1"/>
  <c r="G9" i="1" s="1"/>
  <c r="G10" i="1" a="1"/>
  <c r="G10" i="1" s="1"/>
  <c r="G11" i="1" a="1"/>
  <c r="G11" i="1" s="1"/>
  <c r="G12" i="1" a="1"/>
  <c r="G12" i="1" s="1"/>
  <c r="G13" i="1" a="1"/>
  <c r="G13" i="1" s="1"/>
  <c r="G14" i="1" a="1"/>
  <c r="G14" i="1" s="1"/>
  <c r="G15" i="1" a="1"/>
  <c r="G15" i="1" s="1"/>
  <c r="G16" i="1" a="1"/>
  <c r="G16" i="1" s="1"/>
  <c r="G17" i="1" a="1"/>
  <c r="G17" i="1" s="1"/>
  <c r="G18" i="1" a="1"/>
  <c r="G18" i="1" s="1"/>
  <c r="G19" i="1" a="1"/>
  <c r="G19" i="1" s="1"/>
  <c r="G20" i="1" a="1"/>
  <c r="G20" i="1" s="1"/>
  <c r="G21" i="1" a="1"/>
  <c r="G21" i="1" s="1"/>
  <c r="G22" i="1" a="1"/>
  <c r="G22" i="1" s="1"/>
  <c r="G23" i="1" a="1"/>
  <c r="G23" i="1" s="1"/>
  <c r="G24" i="1" a="1"/>
  <c r="G24" i="1" s="1"/>
  <c r="G25" i="1" a="1"/>
  <c r="G25" i="1" s="1"/>
  <c r="G26" i="1" a="1"/>
  <c r="G26" i="1" s="1"/>
  <c r="G27" i="1" a="1"/>
  <c r="G27" i="1" s="1"/>
  <c r="G28" i="1" a="1"/>
  <c r="G28" i="1" s="1"/>
  <c r="G29" i="1" a="1"/>
  <c r="G29" i="1" s="1"/>
  <c r="G30" i="1" a="1"/>
  <c r="G30" i="1" s="1"/>
  <c r="G31" i="1" a="1"/>
  <c r="G31" i="1" s="1"/>
  <c r="G32" i="1" a="1"/>
  <c r="G32" i="1" s="1"/>
  <c r="G33" i="1" a="1"/>
  <c r="G33" i="1" s="1"/>
  <c r="G34" i="1" a="1"/>
  <c r="G34" i="1" s="1"/>
  <c r="G35" i="1" a="1"/>
  <c r="G35" i="1" s="1"/>
  <c r="G36" i="1" a="1"/>
  <c r="G36" i="1" s="1"/>
  <c r="G37" i="1" a="1"/>
  <c r="G37" i="1" s="1"/>
  <c r="G38" i="1" a="1"/>
  <c r="G38" i="1" s="1"/>
  <c r="G39" i="1" a="1"/>
  <c r="G39" i="1" s="1"/>
  <c r="G40" i="1" a="1"/>
  <c r="G40" i="1" s="1"/>
  <c r="G41" i="1" a="1"/>
  <c r="G41" i="1" s="1"/>
  <c r="G42" i="1" a="1"/>
  <c r="G42" i="1" s="1"/>
  <c r="G43" i="1" a="1"/>
  <c r="G43" i="1" s="1"/>
  <c r="G44" i="1" a="1"/>
  <c r="G44" i="1" s="1"/>
  <c r="G45" i="1" a="1"/>
  <c r="G45" i="1" s="1"/>
  <c r="G46" i="1" a="1"/>
  <c r="G46" i="1" s="1"/>
  <c r="G47" i="1" a="1"/>
  <c r="G47" i="1" s="1"/>
  <c r="G48" i="1" a="1"/>
  <c r="G48" i="1" s="1"/>
  <c r="G49" i="1" a="1"/>
  <c r="G49" i="1" s="1"/>
  <c r="G50" i="1" a="1"/>
  <c r="G50" i="1" s="1"/>
  <c r="G51" i="1" a="1"/>
  <c r="G51" i="1" s="1"/>
  <c r="G52" i="1" a="1"/>
  <c r="G52" i="1" s="1"/>
  <c r="G53" i="1" a="1"/>
  <c r="G53" i="1" s="1"/>
  <c r="G54" i="1" a="1"/>
  <c r="G54" i="1" s="1"/>
  <c r="G55" i="1" a="1"/>
  <c r="G55" i="1" s="1"/>
  <c r="G56" i="1" a="1"/>
  <c r="G56" i="1" s="1"/>
  <c r="G57" i="1" a="1"/>
  <c r="G57" i="1" s="1"/>
  <c r="G58" i="1" a="1"/>
  <c r="G58" i="1" s="1"/>
  <c r="G59" i="1" a="1"/>
  <c r="G59" i="1" s="1"/>
  <c r="G60" i="1" a="1"/>
  <c r="G60" i="1" s="1"/>
  <c r="G61" i="1" a="1"/>
  <c r="G61" i="1" s="1"/>
  <c r="G62" i="1" a="1"/>
  <c r="G62" i="1" s="1"/>
  <c r="G63" i="1" a="1"/>
  <c r="G63" i="1" s="1"/>
  <c r="G64" i="1" a="1"/>
  <c r="G64" i="1" s="1"/>
  <c r="G65" i="1" a="1"/>
  <c r="G65" i="1" s="1"/>
  <c r="G66" i="1" a="1"/>
  <c r="G66" i="1" s="1"/>
  <c r="G67" i="1" a="1"/>
  <c r="G67" i="1" s="1"/>
  <c r="G68" i="1" a="1"/>
  <c r="G68" i="1" s="1"/>
  <c r="G69" i="1" a="1"/>
  <c r="G69" i="1" s="1"/>
  <c r="G70" i="1" a="1"/>
  <c r="G70" i="1" s="1"/>
  <c r="G71" i="1" a="1"/>
  <c r="G71" i="1" s="1"/>
  <c r="G72" i="1" a="1"/>
  <c r="G72" i="1" s="1"/>
  <c r="G73" i="1" a="1"/>
  <c r="G73" i="1" s="1"/>
  <c r="G74" i="1" a="1"/>
  <c r="G74" i="1" s="1"/>
  <c r="G75" i="1" a="1"/>
  <c r="G75" i="1" s="1"/>
  <c r="G76" i="1" a="1"/>
  <c r="G76" i="1" s="1"/>
  <c r="G77" i="1" a="1"/>
  <c r="G77" i="1" s="1"/>
  <c r="G78" i="1" a="1"/>
  <c r="G78" i="1" s="1"/>
  <c r="G79" i="1" a="1"/>
  <c r="G79" i="1" s="1"/>
  <c r="G80" i="1" a="1"/>
  <c r="G80" i="1" s="1"/>
  <c r="G81" i="1" a="1"/>
  <c r="G81" i="1" s="1"/>
  <c r="G82" i="1" a="1"/>
  <c r="G82" i="1" s="1"/>
  <c r="G83" i="1" a="1"/>
  <c r="G83" i="1" s="1"/>
  <c r="G84" i="1" a="1"/>
  <c r="G84" i="1" s="1"/>
  <c r="G85" i="1" a="1"/>
  <c r="G85" i="1" s="1"/>
  <c r="G86" i="1" a="1"/>
  <c r="G86" i="1" s="1"/>
  <c r="G87" i="1" a="1"/>
  <c r="G87" i="1" s="1"/>
  <c r="G88" i="1" a="1"/>
  <c r="G88" i="1" s="1"/>
  <c r="G89" i="1" a="1"/>
  <c r="G89" i="1" s="1"/>
  <c r="G90" i="1" a="1"/>
  <c r="G90" i="1" s="1"/>
  <c r="G91" i="1" a="1"/>
  <c r="G91" i="1" s="1"/>
  <c r="G92" i="1" a="1"/>
  <c r="G92" i="1" s="1"/>
  <c r="G93" i="1" a="1"/>
  <c r="G93" i="1" s="1"/>
  <c r="G94" i="1" a="1"/>
  <c r="G94" i="1" s="1"/>
  <c r="G95" i="1" a="1"/>
  <c r="G95" i="1" s="1"/>
  <c r="G96" i="1" a="1"/>
  <c r="G96" i="1" s="1"/>
  <c r="G97" i="1" a="1"/>
  <c r="G97" i="1" s="1"/>
  <c r="G98" i="1" a="1"/>
  <c r="G98" i="1" s="1"/>
  <c r="G99" i="1" a="1"/>
  <c r="G99" i="1" s="1"/>
  <c r="G100" i="1" a="1"/>
  <c r="G100" i="1" s="1"/>
  <c r="G101" i="1" a="1"/>
  <c r="G101" i="1" s="1"/>
  <c r="G102" i="1" a="1"/>
  <c r="G102" i="1" s="1"/>
  <c r="G103" i="1" a="1"/>
  <c r="G103" i="1" s="1"/>
  <c r="G104" i="1" a="1"/>
  <c r="G104" i="1" s="1"/>
  <c r="G105" i="1" a="1"/>
  <c r="G105" i="1" s="1"/>
  <c r="G106" i="1" a="1"/>
  <c r="G106" i="1" s="1"/>
  <c r="G107" i="1" a="1"/>
  <c r="G107" i="1" s="1"/>
  <c r="G108" i="1" a="1"/>
  <c r="G108" i="1" s="1"/>
  <c r="G109" i="1" a="1"/>
  <c r="G109" i="1" s="1"/>
  <c r="G110" i="1" a="1"/>
  <c r="G110" i="1" s="1"/>
  <c r="G111" i="1" a="1"/>
  <c r="G111" i="1" s="1"/>
  <c r="G112" i="1" a="1"/>
  <c r="G112" i="1" s="1"/>
  <c r="G113" i="1" a="1"/>
  <c r="G113" i="1" s="1"/>
  <c r="G114" i="1" a="1"/>
  <c r="G114" i="1" s="1"/>
  <c r="G115" i="1" a="1"/>
  <c r="G115" i="1" s="1"/>
  <c r="G116" i="1" a="1"/>
  <c r="G116" i="1" s="1"/>
  <c r="G117" i="1" a="1"/>
  <c r="G117" i="1" s="1"/>
  <c r="G118" i="1" a="1"/>
  <c r="G118" i="1" s="1"/>
  <c r="G119" i="1" a="1"/>
  <c r="G119" i="1" s="1"/>
  <c r="G120" i="1" a="1"/>
  <c r="G120" i="1" s="1"/>
  <c r="G121" i="1" a="1"/>
  <c r="G121" i="1" s="1"/>
  <c r="G122" i="1" a="1"/>
  <c r="G122" i="1" s="1"/>
  <c r="G123" i="1" a="1"/>
  <c r="G123" i="1" s="1"/>
  <c r="G124" i="1" a="1"/>
  <c r="G124" i="1" s="1"/>
  <c r="G125" i="1" a="1"/>
  <c r="G125" i="1" s="1"/>
  <c r="G126" i="1" a="1"/>
  <c r="G126" i="1" s="1"/>
  <c r="G127" i="1" a="1"/>
  <c r="G127" i="1" s="1"/>
  <c r="G128" i="1" a="1"/>
  <c r="G128" i="1" s="1"/>
  <c r="G129" i="1" a="1"/>
  <c r="G129" i="1" s="1"/>
  <c r="G130" i="1" a="1"/>
  <c r="G130" i="1" s="1"/>
  <c r="G131" i="1" a="1"/>
  <c r="G131" i="1" s="1"/>
  <c r="G132" i="1" a="1"/>
  <c r="G132" i="1" s="1"/>
  <c r="G133" i="1" a="1"/>
  <c r="G133" i="1" s="1"/>
  <c r="G134" i="1" a="1"/>
  <c r="G134" i="1" s="1"/>
  <c r="G135" i="1" a="1"/>
  <c r="G135" i="1" s="1"/>
  <c r="G136" i="1" a="1"/>
  <c r="G136" i="1" s="1"/>
  <c r="G137" i="1" a="1"/>
  <c r="G137" i="1" s="1"/>
  <c r="G138" i="1" a="1"/>
  <c r="G138" i="1" s="1"/>
  <c r="G139" i="1" a="1"/>
  <c r="G139" i="1" s="1"/>
  <c r="G140" i="1" a="1"/>
  <c r="G140" i="1" s="1"/>
  <c r="G141" i="1" a="1"/>
  <c r="G141" i="1" s="1"/>
  <c r="G142" i="1" a="1"/>
  <c r="G142" i="1" s="1"/>
  <c r="G143" i="1" a="1"/>
  <c r="G143" i="1" s="1"/>
  <c r="G144" i="1" a="1"/>
  <c r="G144" i="1" s="1"/>
  <c r="G145" i="1" a="1"/>
  <c r="G145" i="1" s="1"/>
  <c r="G146" i="1" a="1"/>
  <c r="G146" i="1" s="1"/>
  <c r="G147" i="1" a="1"/>
  <c r="G147" i="1" s="1"/>
  <c r="G148" i="1" a="1"/>
  <c r="G148" i="1" s="1"/>
  <c r="G149" i="1" a="1"/>
  <c r="G149" i="1" s="1"/>
  <c r="G150" i="1" a="1"/>
  <c r="G150" i="1" s="1"/>
  <c r="G151" i="1" a="1"/>
  <c r="G151" i="1" s="1"/>
  <c r="G152" i="1" a="1"/>
  <c r="G152" i="1" s="1"/>
  <c r="G153" i="1" a="1"/>
  <c r="G153" i="1" s="1"/>
  <c r="G154" i="1" a="1"/>
  <c r="G154" i="1" s="1"/>
  <c r="G155" i="1" a="1"/>
  <c r="G155" i="1" s="1"/>
  <c r="G156" i="1" a="1"/>
  <c r="G156" i="1" s="1"/>
  <c r="G157" i="1" a="1"/>
  <c r="G157" i="1" s="1"/>
  <c r="G158" i="1" a="1"/>
  <c r="G158" i="1" s="1"/>
  <c r="G159" i="1" a="1"/>
  <c r="G159" i="1" s="1"/>
  <c r="G160" i="1" a="1"/>
  <c r="G160" i="1" s="1"/>
  <c r="G161" i="1" a="1"/>
  <c r="G161" i="1" s="1"/>
  <c r="G162" i="1" a="1"/>
  <c r="G162" i="1" s="1"/>
  <c r="G163" i="1" a="1"/>
  <c r="G163" i="1" s="1"/>
  <c r="G164" i="1" a="1"/>
  <c r="G164" i="1" s="1"/>
  <c r="G165" i="1" a="1"/>
  <c r="G165" i="1" s="1"/>
  <c r="G166" i="1" a="1"/>
  <c r="G166" i="1" s="1"/>
  <c r="G167" i="1" a="1"/>
  <c r="G167" i="1" s="1"/>
  <c r="G168" i="1" a="1"/>
  <c r="G168" i="1" s="1"/>
  <c r="G169" i="1" a="1"/>
  <c r="G169" i="1" s="1"/>
  <c r="G170" i="1" a="1"/>
  <c r="G170" i="1" s="1"/>
  <c r="G171" i="1" a="1"/>
  <c r="G171" i="1" s="1"/>
  <c r="G172" i="1" a="1"/>
  <c r="G172" i="1" s="1"/>
  <c r="G173" i="1" a="1"/>
  <c r="G173" i="1" s="1"/>
  <c r="G174" i="1" a="1"/>
  <c r="G174" i="1" s="1"/>
  <c r="G175" i="1" a="1"/>
  <c r="G175" i="1" s="1"/>
  <c r="G176" i="1" a="1"/>
  <c r="G176" i="1" s="1"/>
  <c r="G177" i="1" a="1"/>
  <c r="G177" i="1" s="1"/>
  <c r="G178" i="1" a="1"/>
  <c r="G178" i="1" s="1"/>
  <c r="G179" i="1" a="1"/>
  <c r="G179" i="1" s="1"/>
  <c r="G180" i="1" a="1"/>
  <c r="G180" i="1" s="1"/>
  <c r="G181" i="1" a="1"/>
  <c r="G181" i="1" s="1"/>
  <c r="G182" i="1" a="1"/>
  <c r="G182" i="1" s="1"/>
  <c r="G183" i="1" a="1"/>
  <c r="G183" i="1" s="1"/>
  <c r="G184" i="1" a="1"/>
  <c r="G184" i="1" s="1"/>
  <c r="G185" i="1" a="1"/>
  <c r="G185" i="1" s="1"/>
  <c r="G186" i="1" a="1"/>
  <c r="G186" i="1" s="1"/>
  <c r="G187" i="1" a="1"/>
  <c r="G187" i="1" s="1"/>
  <c r="G188" i="1" a="1"/>
  <c r="G188" i="1" s="1"/>
  <c r="G189" i="1" a="1"/>
  <c r="G189" i="1" s="1"/>
  <c r="G190" i="1" a="1"/>
  <c r="G190" i="1" s="1"/>
  <c r="G191" i="1" a="1"/>
  <c r="G191" i="1" s="1"/>
  <c r="G192" i="1" a="1"/>
  <c r="G192" i="1" s="1"/>
  <c r="G193" i="1" a="1"/>
  <c r="G193" i="1" s="1"/>
  <c r="G194" i="1" a="1"/>
  <c r="G194" i="1" s="1"/>
  <c r="G195" i="1" a="1"/>
  <c r="G195" i="1" s="1"/>
  <c r="G196" i="1" a="1"/>
  <c r="G196" i="1" s="1"/>
  <c r="G197" i="1" a="1"/>
  <c r="G197" i="1" s="1"/>
  <c r="G198" i="1" a="1"/>
  <c r="G198" i="1" s="1"/>
  <c r="G199" i="1" a="1"/>
  <c r="G199" i="1" s="1"/>
  <c r="G200" i="1" a="1"/>
  <c r="G200" i="1" s="1"/>
  <c r="G201" i="1" a="1"/>
  <c r="G201" i="1" s="1"/>
  <c r="G202" i="1" a="1"/>
  <c r="G202" i="1" s="1"/>
  <c r="G203" i="1" a="1"/>
  <c r="G203" i="1" s="1"/>
  <c r="G204" i="1" a="1"/>
  <c r="G204" i="1" s="1"/>
  <c r="G205" i="1" a="1"/>
  <c r="G205" i="1" s="1"/>
  <c r="G206" i="1" a="1"/>
  <c r="G206" i="1" s="1"/>
  <c r="G207" i="1" a="1"/>
  <c r="G207" i="1" s="1"/>
  <c r="G208" i="1" a="1"/>
  <c r="G208" i="1" s="1"/>
  <c r="G209" i="1" a="1"/>
  <c r="G209" i="1" s="1"/>
  <c r="G210" i="1" a="1"/>
  <c r="G210" i="1" s="1"/>
  <c r="G211" i="1" a="1"/>
  <c r="G211" i="1" s="1"/>
  <c r="G212" i="1" a="1"/>
  <c r="G212" i="1" s="1"/>
  <c r="G213" i="1" a="1"/>
  <c r="G213" i="1" s="1"/>
  <c r="G214" i="1" a="1"/>
  <c r="G214" i="1" s="1"/>
  <c r="G215" i="1" a="1"/>
  <c r="G215" i="1" s="1"/>
  <c r="G216" i="1" a="1"/>
  <c r="G216" i="1" s="1"/>
  <c r="G217" i="1" a="1"/>
  <c r="G217" i="1" s="1"/>
  <c r="G218" i="1" a="1"/>
  <c r="G218" i="1" s="1"/>
  <c r="G219" i="1" a="1"/>
  <c r="G219" i="1" s="1"/>
  <c r="G220" i="1" a="1"/>
  <c r="G220" i="1" s="1"/>
  <c r="G221" i="1" a="1"/>
  <c r="G221" i="1" s="1"/>
  <c r="G222" i="1" a="1"/>
  <c r="G222" i="1" s="1"/>
  <c r="G223" i="1" a="1"/>
  <c r="G223" i="1" s="1"/>
  <c r="G224" i="1" a="1"/>
  <c r="G224" i="1" s="1"/>
  <c r="G225" i="1" a="1"/>
  <c r="G225" i="1" s="1"/>
  <c r="G226" i="1" a="1"/>
  <c r="G226" i="1" s="1"/>
  <c r="G227" i="1" a="1"/>
  <c r="G227" i="1" s="1"/>
  <c r="G228" i="1" a="1"/>
  <c r="G228" i="1" s="1"/>
  <c r="G229" i="1" a="1"/>
  <c r="G229" i="1" s="1"/>
  <c r="G230" i="1" a="1"/>
  <c r="G230" i="1" s="1"/>
  <c r="G231" i="1" a="1"/>
  <c r="G231" i="1" s="1"/>
  <c r="G232" i="1" a="1"/>
  <c r="G232" i="1" s="1"/>
  <c r="G233" i="1" a="1"/>
  <c r="G233" i="1" s="1"/>
  <c r="G234" i="1" a="1"/>
  <c r="G234" i="1" s="1"/>
  <c r="G235" i="1" a="1"/>
  <c r="G235" i="1" s="1"/>
  <c r="G236" i="1" a="1"/>
  <c r="G236" i="1" s="1"/>
  <c r="G237" i="1" a="1"/>
  <c r="G237" i="1" s="1"/>
  <c r="G238" i="1" a="1"/>
  <c r="G238" i="1" s="1"/>
  <c r="G239" i="1" a="1"/>
  <c r="G239" i="1" s="1"/>
  <c r="G240" i="1" a="1"/>
  <c r="G240" i="1" s="1"/>
  <c r="G241" i="1" a="1"/>
  <c r="G241" i="1" s="1"/>
  <c r="G242" i="1" a="1"/>
  <c r="G242" i="1" s="1"/>
  <c r="G243" i="1" a="1"/>
  <c r="G243" i="1" s="1"/>
  <c r="G244" i="1" a="1"/>
  <c r="G244" i="1" s="1"/>
  <c r="G245" i="1" a="1"/>
  <c r="G245" i="1" s="1"/>
  <c r="G246" i="1" a="1"/>
  <c r="G246" i="1" s="1"/>
  <c r="G247" i="1" a="1"/>
  <c r="G247" i="1" s="1"/>
  <c r="G248" i="1" a="1"/>
  <c r="G248" i="1" s="1"/>
  <c r="G249" i="1" a="1"/>
  <c r="G249" i="1" s="1"/>
  <c r="G250" i="1" a="1"/>
  <c r="G250" i="1" s="1"/>
  <c r="G251" i="1" a="1"/>
  <c r="G251" i="1" s="1"/>
  <c r="G252" i="1" a="1"/>
  <c r="G252" i="1" s="1"/>
  <c r="G253" i="1" a="1"/>
  <c r="G253" i="1" s="1"/>
  <c r="G254" i="1" a="1"/>
  <c r="G254" i="1" s="1"/>
  <c r="G255" i="1" a="1"/>
  <c r="G255" i="1" s="1"/>
  <c r="G256" i="1" a="1"/>
  <c r="G256" i="1" s="1"/>
  <c r="G257" i="1" a="1"/>
  <c r="G257" i="1" s="1"/>
  <c r="G258" i="1" a="1"/>
  <c r="G258" i="1" s="1"/>
  <c r="G259" i="1" a="1"/>
  <c r="G259" i="1" s="1"/>
  <c r="G260" i="1" a="1"/>
  <c r="G260" i="1" s="1"/>
  <c r="G261" i="1" a="1"/>
  <c r="G261" i="1" s="1"/>
  <c r="G262" i="1" a="1"/>
  <c r="G262" i="1" s="1"/>
  <c r="G263" i="1" a="1"/>
  <c r="G263" i="1" s="1"/>
  <c r="G264" i="1" a="1"/>
  <c r="G264" i="1" s="1"/>
  <c r="G265" i="1" a="1"/>
  <c r="G265" i="1" s="1"/>
  <c r="G266" i="1" a="1"/>
  <c r="G266" i="1" s="1"/>
  <c r="G267" i="1" a="1"/>
  <c r="G267" i="1" s="1"/>
  <c r="G268" i="1" a="1"/>
  <c r="G268" i="1" s="1"/>
  <c r="G269" i="1" a="1"/>
  <c r="G269" i="1" s="1"/>
  <c r="G270" i="1" a="1"/>
  <c r="G270" i="1" s="1"/>
  <c r="G271" i="1" a="1"/>
  <c r="G271" i="1" s="1"/>
  <c r="G272" i="1" a="1"/>
  <c r="G272" i="1" s="1"/>
  <c r="G273" i="1" a="1"/>
  <c r="G273" i="1" s="1"/>
  <c r="G274" i="1" a="1"/>
  <c r="G274" i="1" s="1"/>
  <c r="G275" i="1" a="1"/>
  <c r="G275" i="1" s="1"/>
  <c r="G276" i="1" a="1"/>
  <c r="G276" i="1" s="1"/>
  <c r="G277" i="1" a="1"/>
  <c r="G277" i="1" s="1"/>
  <c r="G278" i="1" a="1"/>
  <c r="G278" i="1" s="1"/>
  <c r="G279" i="1" a="1"/>
  <c r="G279" i="1" s="1"/>
  <c r="G280" i="1" a="1"/>
  <c r="G280" i="1" s="1"/>
  <c r="G281" i="1" a="1"/>
  <c r="G281" i="1" s="1"/>
  <c r="G282" i="1" a="1"/>
  <c r="G282" i="1" s="1"/>
  <c r="G283" i="1" a="1"/>
  <c r="G283" i="1" s="1"/>
  <c r="G284" i="1" a="1"/>
  <c r="G284" i="1" s="1"/>
  <c r="G285" i="1" a="1"/>
  <c r="G285" i="1" s="1"/>
  <c r="G286" i="1" a="1"/>
  <c r="G286" i="1" s="1"/>
  <c r="G287" i="1" a="1"/>
  <c r="G287" i="1" s="1"/>
  <c r="G288" i="1" a="1"/>
  <c r="G288" i="1" s="1"/>
  <c r="G289" i="1" a="1"/>
  <c r="G289" i="1" s="1"/>
  <c r="G290" i="1" a="1"/>
  <c r="G290" i="1" s="1"/>
  <c r="G291" i="1" a="1"/>
  <c r="G291" i="1" s="1"/>
  <c r="G292" i="1" a="1"/>
  <c r="G292" i="1" s="1"/>
  <c r="G293" i="1" a="1"/>
  <c r="G293" i="1" s="1"/>
  <c r="G294" i="1" a="1"/>
  <c r="G294" i="1" s="1"/>
  <c r="G295" i="1" a="1"/>
  <c r="G295" i="1" s="1"/>
  <c r="G296" i="1" a="1"/>
  <c r="G296" i="1" s="1"/>
  <c r="G297" i="1" a="1"/>
  <c r="G297" i="1" s="1"/>
  <c r="G298" i="1" a="1"/>
  <c r="G298" i="1" s="1"/>
  <c r="G299" i="1" a="1"/>
  <c r="G299" i="1" s="1"/>
  <c r="G300" i="1" a="1"/>
  <c r="G300" i="1" s="1"/>
  <c r="G301" i="1" a="1"/>
  <c r="G301" i="1" s="1"/>
  <c r="G302" i="1" a="1"/>
  <c r="G302" i="1" s="1"/>
  <c r="G303" i="1" a="1"/>
  <c r="G303" i="1" s="1"/>
  <c r="G304" i="1" a="1"/>
  <c r="G304" i="1" s="1"/>
  <c r="G305" i="1" a="1"/>
  <c r="G305" i="1" s="1"/>
  <c r="G306" i="1" a="1"/>
  <c r="G306" i="1" s="1"/>
  <c r="G307" i="1" a="1"/>
  <c r="G307" i="1" s="1"/>
  <c r="G308" i="1" a="1"/>
  <c r="G308" i="1" s="1"/>
  <c r="G309" i="1" a="1"/>
  <c r="G309" i="1" s="1"/>
  <c r="G310" i="1" a="1"/>
  <c r="G310" i="1" s="1"/>
  <c r="G311" i="1" a="1"/>
  <c r="G311" i="1" s="1"/>
  <c r="G312" i="1" a="1"/>
  <c r="G312" i="1" s="1"/>
  <c r="G313" i="1" a="1"/>
  <c r="G313" i="1" s="1"/>
  <c r="G314" i="1" a="1"/>
  <c r="G314" i="1" s="1"/>
  <c r="G315" i="1" a="1"/>
  <c r="G315" i="1" s="1"/>
  <c r="G316" i="1" a="1"/>
  <c r="G316" i="1" s="1"/>
  <c r="G317" i="1" a="1"/>
  <c r="G317" i="1" s="1"/>
  <c r="G318" i="1" a="1"/>
  <c r="G318" i="1" s="1"/>
  <c r="G319" i="1" a="1"/>
  <c r="G319" i="1" s="1"/>
  <c r="G320" i="1" a="1"/>
  <c r="G320" i="1" s="1"/>
  <c r="G321" i="1" a="1"/>
  <c r="G321" i="1" s="1"/>
  <c r="G322" i="1" a="1"/>
  <c r="G322" i="1" s="1"/>
  <c r="G323" i="1" a="1"/>
  <c r="G323" i="1" s="1"/>
  <c r="G324" i="1" a="1"/>
  <c r="G324" i="1" s="1"/>
  <c r="G325" i="1" a="1"/>
  <c r="G325" i="1" s="1"/>
  <c r="G326" i="1" a="1"/>
  <c r="G326" i="1" s="1"/>
  <c r="G327" i="1" a="1"/>
  <c r="G327" i="1" s="1"/>
  <c r="G328" i="1" a="1"/>
  <c r="G328" i="1" s="1"/>
  <c r="G329" i="1" a="1"/>
  <c r="G329" i="1" s="1"/>
  <c r="G330" i="1" a="1"/>
  <c r="G330" i="1" s="1"/>
  <c r="G331" i="1" a="1"/>
  <c r="G331" i="1" s="1"/>
  <c r="G332" i="1" a="1"/>
  <c r="G332" i="1" s="1"/>
  <c r="G333" i="1" a="1"/>
  <c r="G333" i="1" s="1"/>
  <c r="G334" i="1" a="1"/>
  <c r="G334" i="1" s="1"/>
  <c r="G335" i="1" a="1"/>
  <c r="G335" i="1" s="1"/>
  <c r="G336" i="1" a="1"/>
  <c r="G336" i="1" s="1"/>
  <c r="G337" i="1" a="1"/>
  <c r="G337" i="1" s="1"/>
  <c r="G338" i="1" a="1"/>
  <c r="G338" i="1" s="1"/>
  <c r="G339" i="1" a="1"/>
  <c r="G339" i="1" s="1"/>
  <c r="G340" i="1" a="1"/>
  <c r="G340" i="1" s="1"/>
  <c r="G341" i="1" a="1"/>
  <c r="G341" i="1" s="1"/>
  <c r="G342" i="1" a="1"/>
  <c r="G342" i="1" s="1"/>
  <c r="G343" i="1" a="1"/>
  <c r="G343" i="1" s="1"/>
  <c r="G344" i="1" a="1"/>
  <c r="G344" i="1" s="1"/>
  <c r="G345" i="1" a="1"/>
  <c r="G345" i="1" s="1"/>
  <c r="G346" i="1" a="1"/>
  <c r="G346" i="1" s="1"/>
  <c r="G347" i="1" a="1"/>
  <c r="G347" i="1" s="1"/>
  <c r="G348" i="1" a="1"/>
  <c r="G348" i="1" s="1"/>
  <c r="G349" i="1" a="1"/>
  <c r="G349" i="1" s="1"/>
  <c r="G350" i="1" a="1"/>
  <c r="G350" i="1" s="1"/>
  <c r="G351" i="1" a="1"/>
  <c r="G351" i="1" s="1"/>
  <c r="G352" i="1" a="1"/>
  <c r="G352" i="1" s="1"/>
  <c r="G353" i="1" a="1"/>
  <c r="G353" i="1" s="1"/>
  <c r="G354" i="1" a="1"/>
  <c r="G354" i="1" s="1"/>
  <c r="G355" i="1" a="1"/>
  <c r="G355" i="1" s="1"/>
  <c r="G356" i="1" a="1"/>
  <c r="G356" i="1" s="1"/>
  <c r="G357" i="1" a="1"/>
  <c r="G357" i="1" s="1"/>
  <c r="G358" i="1" a="1"/>
  <c r="G358" i="1" s="1"/>
  <c r="G359" i="1" a="1"/>
  <c r="G359" i="1" s="1"/>
  <c r="G360" i="1" a="1"/>
  <c r="G360" i="1" s="1"/>
  <c r="G361" i="1" a="1"/>
  <c r="G361" i="1" s="1"/>
  <c r="G362" i="1" a="1"/>
  <c r="G362" i="1" s="1"/>
  <c r="G363" i="1" a="1"/>
  <c r="G363" i="1" s="1"/>
  <c r="G364" i="1" a="1"/>
  <c r="G364" i="1" s="1"/>
  <c r="G365" i="1" a="1"/>
  <c r="G365" i="1" s="1"/>
  <c r="G366" i="1" a="1"/>
  <c r="G366" i="1" s="1"/>
  <c r="G367" i="1" a="1"/>
  <c r="G367" i="1" s="1"/>
  <c r="G368" i="1" a="1"/>
  <c r="G368" i="1" s="1"/>
  <c r="G369" i="1" a="1"/>
  <c r="G369" i="1" s="1"/>
  <c r="G370" i="1" a="1"/>
  <c r="G370" i="1" s="1"/>
  <c r="G371" i="1" a="1"/>
  <c r="G371" i="1" s="1"/>
  <c r="G372" i="1" a="1"/>
  <c r="G372" i="1" s="1"/>
  <c r="G373" i="1" a="1"/>
  <c r="G373" i="1" s="1"/>
  <c r="G374" i="1" a="1"/>
  <c r="G374" i="1" s="1"/>
  <c r="G375" i="1" a="1"/>
  <c r="G375" i="1" s="1"/>
  <c r="G376" i="1" a="1"/>
  <c r="G376" i="1" s="1"/>
  <c r="G377" i="1" a="1"/>
  <c r="G377" i="1" s="1"/>
  <c r="G378" i="1" a="1"/>
  <c r="G378" i="1" s="1"/>
  <c r="G379" i="1" a="1"/>
  <c r="G379" i="1" s="1"/>
  <c r="G380" i="1" a="1"/>
  <c r="G380" i="1" s="1"/>
  <c r="G381" i="1" a="1"/>
  <c r="G381" i="1" s="1"/>
  <c r="G382" i="1" a="1"/>
  <c r="G382" i="1" s="1"/>
  <c r="G383" i="1" a="1"/>
  <c r="G383" i="1" s="1"/>
  <c r="G384" i="1" a="1"/>
  <c r="G384" i="1" s="1"/>
  <c r="G385" i="1" a="1"/>
  <c r="G385" i="1" s="1"/>
  <c r="G386" i="1" a="1"/>
  <c r="G386" i="1" s="1"/>
  <c r="G387" i="1" a="1"/>
  <c r="G387" i="1" s="1"/>
  <c r="G388" i="1" a="1"/>
  <c r="G388" i="1" s="1"/>
  <c r="G389" i="1" a="1"/>
  <c r="G389" i="1" s="1"/>
  <c r="G390" i="1" a="1"/>
  <c r="G390" i="1" s="1"/>
  <c r="G391" i="1" a="1"/>
  <c r="G391" i="1" s="1"/>
  <c r="G392" i="1" a="1"/>
  <c r="G392" i="1" s="1"/>
  <c r="G393" i="1" a="1"/>
  <c r="G393" i="1" s="1"/>
  <c r="G394" i="1" a="1"/>
  <c r="G394" i="1" s="1"/>
  <c r="G395" i="1" a="1"/>
  <c r="G395" i="1" s="1"/>
  <c r="G396" i="1" a="1"/>
  <c r="G396" i="1" s="1"/>
  <c r="G397" i="1" a="1"/>
  <c r="G397" i="1" s="1"/>
  <c r="G398" i="1" a="1"/>
  <c r="G398" i="1" s="1"/>
  <c r="G399" i="1" a="1"/>
  <c r="G399" i="1" s="1"/>
  <c r="G400" i="1" a="1"/>
  <c r="G400" i="1" s="1"/>
  <c r="G401" i="1" a="1"/>
  <c r="G401" i="1" s="1"/>
  <c r="G402" i="1" a="1"/>
  <c r="G402" i="1" s="1"/>
  <c r="G403" i="1" a="1"/>
  <c r="G403" i="1" s="1"/>
  <c r="G404" i="1" a="1"/>
  <c r="G404" i="1" s="1"/>
  <c r="G405" i="1" a="1"/>
  <c r="G405" i="1" s="1"/>
  <c r="G406" i="1" a="1"/>
  <c r="G406" i="1" s="1"/>
  <c r="G407" i="1" a="1"/>
  <c r="G407" i="1" s="1"/>
  <c r="G408" i="1" a="1"/>
  <c r="G408" i="1" s="1"/>
  <c r="G409" i="1" a="1"/>
  <c r="G409" i="1" s="1"/>
  <c r="G410" i="1" a="1"/>
  <c r="G410" i="1" s="1"/>
  <c r="G411" i="1" a="1"/>
  <c r="G411" i="1" s="1"/>
  <c r="G412" i="1" a="1"/>
  <c r="G412" i="1" s="1"/>
  <c r="G413" i="1" a="1"/>
  <c r="G413" i="1" s="1"/>
  <c r="G414" i="1" a="1"/>
  <c r="G414" i="1" s="1"/>
  <c r="G415" i="1" a="1"/>
  <c r="G415" i="1" s="1"/>
  <c r="G416" i="1" a="1"/>
  <c r="G416" i="1" s="1"/>
  <c r="G417" i="1" a="1"/>
  <c r="G417" i="1" s="1"/>
  <c r="G418" i="1" a="1"/>
  <c r="G418" i="1" s="1"/>
  <c r="G419" i="1" a="1"/>
  <c r="G419" i="1" s="1"/>
  <c r="G420" i="1" a="1"/>
  <c r="G420" i="1" s="1"/>
  <c r="G421" i="1" a="1"/>
  <c r="G421" i="1" s="1"/>
  <c r="G422" i="1" a="1"/>
  <c r="G422" i="1" s="1"/>
  <c r="G423" i="1" a="1"/>
  <c r="G423" i="1" s="1"/>
  <c r="G424" i="1" a="1"/>
  <c r="G424" i="1" s="1"/>
  <c r="G425" i="1" a="1"/>
  <c r="G425" i="1" s="1"/>
  <c r="G426" i="1" a="1"/>
  <c r="G426" i="1" s="1"/>
  <c r="G427" i="1" a="1"/>
  <c r="G427" i="1" s="1"/>
  <c r="G428" i="1" a="1"/>
  <c r="G428" i="1" s="1"/>
  <c r="G429" i="1" a="1"/>
  <c r="G429" i="1" s="1"/>
  <c r="G430" i="1" a="1"/>
  <c r="G430" i="1" s="1"/>
  <c r="G431" i="1" a="1"/>
  <c r="G431" i="1" s="1"/>
  <c r="G432" i="1" a="1"/>
  <c r="G432" i="1" s="1"/>
  <c r="G433" i="1" a="1"/>
  <c r="G433" i="1" s="1"/>
  <c r="G434" i="1" a="1"/>
  <c r="G434" i="1" s="1"/>
  <c r="G435" i="1" a="1"/>
  <c r="G435" i="1" s="1"/>
  <c r="G436" i="1" a="1"/>
  <c r="G436" i="1" s="1"/>
  <c r="G437" i="1" a="1"/>
  <c r="G437" i="1" s="1"/>
  <c r="G438" i="1" a="1"/>
  <c r="G438" i="1" s="1"/>
  <c r="G439" i="1" a="1"/>
  <c r="G439" i="1" s="1"/>
  <c r="G440" i="1" a="1"/>
  <c r="G440" i="1" s="1"/>
  <c r="G441" i="1" a="1"/>
  <c r="G441" i="1" s="1"/>
  <c r="G442" i="1" a="1"/>
  <c r="G442" i="1" s="1"/>
  <c r="G443" i="1" a="1"/>
  <c r="G443" i="1" s="1"/>
  <c r="G444" i="1" a="1"/>
  <c r="G444" i="1" s="1"/>
  <c r="G445" i="1" a="1"/>
  <c r="G445" i="1" s="1"/>
  <c r="G446" i="1" a="1"/>
  <c r="G446" i="1" s="1"/>
  <c r="G447" i="1" a="1"/>
  <c r="G447" i="1" s="1"/>
  <c r="G448" i="1" a="1"/>
  <c r="G448" i="1" s="1"/>
  <c r="G449" i="1" a="1"/>
  <c r="G449" i="1" s="1"/>
  <c r="G450" i="1" a="1"/>
  <c r="G450" i="1" s="1"/>
  <c r="G451" i="1" a="1"/>
  <c r="G451" i="1" s="1"/>
  <c r="G452" i="1" a="1"/>
  <c r="G452" i="1" s="1"/>
  <c r="G453" i="1" a="1"/>
  <c r="G453" i="1" s="1"/>
  <c r="G454" i="1" a="1"/>
  <c r="G454" i="1" s="1"/>
  <c r="G455" i="1" a="1"/>
  <c r="G455" i="1" s="1"/>
  <c r="G456" i="1" a="1"/>
  <c r="G456" i="1" s="1"/>
  <c r="G457" i="1" a="1"/>
  <c r="G457" i="1" s="1"/>
  <c r="G458" i="1" a="1"/>
  <c r="G458" i="1" s="1"/>
  <c r="G459" i="1" a="1"/>
  <c r="G459" i="1" s="1"/>
  <c r="G460" i="1" a="1"/>
  <c r="G460" i="1" s="1"/>
  <c r="G461" i="1" a="1"/>
  <c r="G461" i="1" s="1"/>
  <c r="G462" i="1" a="1"/>
  <c r="G462" i="1" s="1"/>
  <c r="G463" i="1" a="1"/>
  <c r="G463" i="1" s="1"/>
  <c r="G464" i="1" a="1"/>
  <c r="G464" i="1" s="1"/>
  <c r="G465" i="1" a="1"/>
  <c r="G465" i="1" s="1"/>
  <c r="G466" i="1" a="1"/>
  <c r="G466" i="1" s="1"/>
  <c r="G467" i="1" a="1"/>
  <c r="G467" i="1" s="1"/>
  <c r="G468" i="1" a="1"/>
  <c r="G468" i="1" s="1"/>
  <c r="G469" i="1" a="1"/>
  <c r="G469" i="1" s="1"/>
  <c r="G470" i="1" a="1"/>
  <c r="G470" i="1" s="1"/>
  <c r="G471" i="1" a="1"/>
  <c r="G471" i="1" s="1"/>
  <c r="G472" i="1" a="1"/>
  <c r="G472" i="1" s="1"/>
  <c r="G473" i="1" a="1"/>
  <c r="G473" i="1" s="1"/>
  <c r="G474" i="1" a="1"/>
  <c r="G474" i="1" s="1"/>
  <c r="G475" i="1" a="1"/>
  <c r="G475" i="1" s="1"/>
  <c r="G476" i="1" a="1"/>
  <c r="G476" i="1" s="1"/>
  <c r="G477" i="1" a="1"/>
  <c r="G477" i="1" s="1"/>
  <c r="G478" i="1" a="1"/>
  <c r="G478" i="1" s="1"/>
  <c r="G479" i="1" a="1"/>
  <c r="G479" i="1" s="1"/>
  <c r="G480" i="1" a="1"/>
  <c r="G480" i="1" s="1"/>
  <c r="G481" i="1" a="1"/>
  <c r="G481" i="1" s="1"/>
  <c r="G482" i="1" a="1"/>
  <c r="G482" i="1" s="1"/>
  <c r="G483" i="1" a="1"/>
  <c r="G483" i="1" s="1"/>
  <c r="G484" i="1" a="1"/>
  <c r="G484" i="1" s="1"/>
  <c r="G485" i="1" a="1"/>
  <c r="G485" i="1" s="1"/>
  <c r="G486" i="1" a="1"/>
  <c r="G486" i="1" s="1"/>
  <c r="G487" i="1" a="1"/>
  <c r="G487" i="1" s="1"/>
  <c r="G488" i="1" a="1"/>
  <c r="G488" i="1" s="1"/>
  <c r="G489" i="1" a="1"/>
  <c r="G489" i="1" s="1"/>
  <c r="G490" i="1" a="1"/>
  <c r="G490" i="1" s="1"/>
  <c r="G491" i="1" a="1"/>
  <c r="G491" i="1" s="1"/>
  <c r="G492" i="1" a="1"/>
  <c r="G492" i="1" s="1"/>
  <c r="G493" i="1" a="1"/>
  <c r="G493" i="1" s="1"/>
  <c r="G494" i="1" a="1"/>
  <c r="G494" i="1" s="1"/>
  <c r="G495" i="1" a="1"/>
  <c r="G495" i="1" s="1"/>
  <c r="G496" i="1" a="1"/>
  <c r="G496" i="1" s="1"/>
  <c r="G497" i="1" a="1"/>
  <c r="G497" i="1" s="1"/>
  <c r="G498" i="1" a="1"/>
  <c r="G498" i="1" s="1"/>
  <c r="G499" i="1" a="1"/>
  <c r="G499" i="1" s="1"/>
  <c r="G500" i="1" a="1"/>
  <c r="G500" i="1" s="1"/>
  <c r="F2" i="1" a="1"/>
  <c r="F2" i="1" s="1"/>
  <c r="F3" i="1" a="1"/>
  <c r="F3" i="1" s="1"/>
  <c r="F4" i="1" a="1"/>
  <c r="F4" i="1" s="1"/>
  <c r="F5" i="1" a="1"/>
  <c r="F5" i="1" s="1"/>
  <c r="F6" i="1" a="1"/>
  <c r="F6" i="1" s="1"/>
  <c r="F7" i="1" a="1"/>
  <c r="F7" i="1" s="1"/>
  <c r="F8" i="1" a="1"/>
  <c r="F8" i="1" s="1"/>
  <c r="F9" i="1" a="1"/>
  <c r="F9" i="1" s="1"/>
  <c r="F10" i="1" a="1"/>
  <c r="F10" i="1" s="1"/>
  <c r="F11" i="1" a="1"/>
  <c r="F11" i="1" s="1"/>
  <c r="F12" i="1" a="1"/>
  <c r="F12" i="1" s="1"/>
  <c r="F13" i="1" a="1"/>
  <c r="F13" i="1" s="1"/>
  <c r="F14" i="1" a="1"/>
  <c r="F14" i="1" s="1"/>
  <c r="F15" i="1" a="1"/>
  <c r="F15" i="1" s="1"/>
  <c r="F16" i="1" a="1"/>
  <c r="F16" i="1" s="1"/>
  <c r="F17" i="1" a="1"/>
  <c r="F17" i="1" s="1"/>
  <c r="F18" i="1" a="1"/>
  <c r="F18" i="1" s="1"/>
  <c r="F19" i="1" a="1"/>
  <c r="F19" i="1" s="1"/>
  <c r="F20" i="1" a="1"/>
  <c r="F20" i="1" s="1"/>
  <c r="F21" i="1" a="1"/>
  <c r="F21" i="1" s="1"/>
  <c r="F22" i="1" a="1"/>
  <c r="F22" i="1" s="1"/>
  <c r="F23" i="1" a="1"/>
  <c r="F23" i="1" s="1"/>
  <c r="F24" i="1" a="1"/>
  <c r="F24" i="1" s="1"/>
  <c r="F25" i="1" a="1"/>
  <c r="F25" i="1" s="1"/>
  <c r="F26" i="1" a="1"/>
  <c r="F26" i="1" s="1"/>
  <c r="F27" i="1" a="1"/>
  <c r="F27" i="1" s="1"/>
  <c r="F28" i="1" a="1"/>
  <c r="F28" i="1" s="1"/>
  <c r="F29" i="1" a="1"/>
  <c r="F29" i="1" s="1"/>
  <c r="F30" i="1" a="1"/>
  <c r="F30" i="1" s="1"/>
  <c r="F31" i="1" a="1"/>
  <c r="F31" i="1" s="1"/>
  <c r="F32" i="1" a="1"/>
  <c r="F32" i="1" s="1"/>
  <c r="F33" i="1" a="1"/>
  <c r="F33" i="1" s="1"/>
  <c r="F34" i="1" a="1"/>
  <c r="F34" i="1" s="1"/>
  <c r="F35" i="1" a="1"/>
  <c r="F35" i="1" s="1"/>
  <c r="F36" i="1" a="1"/>
  <c r="F36" i="1" s="1"/>
  <c r="F37" i="1" a="1"/>
  <c r="F37" i="1" s="1"/>
  <c r="F38" i="1" a="1"/>
  <c r="F38" i="1" s="1"/>
  <c r="F39" i="1" a="1"/>
  <c r="F39" i="1" s="1"/>
  <c r="F40" i="1" a="1"/>
  <c r="F40" i="1" s="1"/>
  <c r="F41" i="1" a="1"/>
  <c r="F41" i="1" s="1"/>
  <c r="F42" i="1" a="1"/>
  <c r="F42" i="1" s="1"/>
  <c r="F43" i="1" a="1"/>
  <c r="F43" i="1" s="1"/>
  <c r="F44" i="1" a="1"/>
  <c r="F44" i="1" s="1"/>
  <c r="F45" i="1" a="1"/>
  <c r="F45" i="1" s="1"/>
  <c r="F46" i="1" a="1"/>
  <c r="F46" i="1" s="1"/>
  <c r="F47" i="1" a="1"/>
  <c r="F47" i="1" s="1"/>
  <c r="F48" i="1" a="1"/>
  <c r="F48" i="1" s="1"/>
  <c r="F49" i="1" a="1"/>
  <c r="F49" i="1" s="1"/>
  <c r="F50" i="1" a="1"/>
  <c r="F50" i="1" s="1"/>
  <c r="F51" i="1" a="1"/>
  <c r="F51" i="1" s="1"/>
  <c r="F52" i="1" a="1"/>
  <c r="F52" i="1" s="1"/>
  <c r="F53" i="1" a="1"/>
  <c r="F53" i="1" s="1"/>
  <c r="F54" i="1" a="1"/>
  <c r="F54" i="1" s="1"/>
  <c r="F55" i="1" a="1"/>
  <c r="F55" i="1" s="1"/>
  <c r="F56" i="1" a="1"/>
  <c r="F56" i="1" s="1"/>
  <c r="F57" i="1" a="1"/>
  <c r="F57" i="1" s="1"/>
  <c r="F58" i="1" a="1"/>
  <c r="F58" i="1" s="1"/>
  <c r="F59" i="1" a="1"/>
  <c r="F59" i="1" s="1"/>
  <c r="F60" i="1" a="1"/>
  <c r="F60" i="1" s="1"/>
  <c r="F61" i="1" a="1"/>
  <c r="F61" i="1" s="1"/>
  <c r="F62" i="1" a="1"/>
  <c r="F62" i="1" s="1"/>
  <c r="F63" i="1" a="1"/>
  <c r="F63" i="1" s="1"/>
  <c r="F64" i="1" a="1"/>
  <c r="F64" i="1" s="1"/>
  <c r="F65" i="1" a="1"/>
  <c r="F65" i="1" s="1"/>
  <c r="F66" i="1" a="1"/>
  <c r="F66" i="1" s="1"/>
  <c r="F67" i="1" a="1"/>
  <c r="F67" i="1" s="1"/>
  <c r="F68" i="1" a="1"/>
  <c r="F68" i="1" s="1"/>
  <c r="F69" i="1" a="1"/>
  <c r="F69" i="1" s="1"/>
  <c r="F70" i="1" a="1"/>
  <c r="F70" i="1" s="1"/>
  <c r="F71" i="1" a="1"/>
  <c r="F71" i="1" s="1"/>
  <c r="F72" i="1" a="1"/>
  <c r="F72" i="1" s="1"/>
  <c r="F73" i="1" a="1"/>
  <c r="F73" i="1" s="1"/>
  <c r="F74" i="1" a="1"/>
  <c r="F74" i="1" s="1"/>
  <c r="F75" i="1" a="1"/>
  <c r="F75" i="1" s="1"/>
  <c r="F76" i="1" a="1"/>
  <c r="F76" i="1" s="1"/>
  <c r="F77" i="1" a="1"/>
  <c r="F77" i="1" s="1"/>
  <c r="F78" i="1" a="1"/>
  <c r="F78" i="1" s="1"/>
  <c r="F79" i="1" a="1"/>
  <c r="F79" i="1" s="1"/>
  <c r="F80" i="1" a="1"/>
  <c r="F80" i="1" s="1"/>
  <c r="F81" i="1" a="1"/>
  <c r="F81" i="1" s="1"/>
  <c r="F82" i="1" a="1"/>
  <c r="F82" i="1" s="1"/>
  <c r="F83" i="1" a="1"/>
  <c r="F83" i="1" s="1"/>
  <c r="F84" i="1" a="1"/>
  <c r="F84" i="1" s="1"/>
  <c r="F85" i="1" a="1"/>
  <c r="F85" i="1" s="1"/>
  <c r="F86" i="1" a="1"/>
  <c r="F86" i="1" s="1"/>
  <c r="F87" i="1" a="1"/>
  <c r="F87" i="1" s="1"/>
  <c r="F88" i="1" a="1"/>
  <c r="F88" i="1" s="1"/>
  <c r="F89" i="1" a="1"/>
  <c r="F89" i="1" s="1"/>
  <c r="F90" i="1" a="1"/>
  <c r="F90" i="1" s="1"/>
  <c r="F91" i="1" a="1"/>
  <c r="F91" i="1" s="1"/>
  <c r="F92" i="1" a="1"/>
  <c r="F92" i="1" s="1"/>
  <c r="F93" i="1" a="1"/>
  <c r="F93" i="1" s="1"/>
  <c r="F94" i="1" a="1"/>
  <c r="F94" i="1" s="1"/>
  <c r="F95" i="1" a="1"/>
  <c r="F95" i="1" s="1"/>
  <c r="F96" i="1" a="1"/>
  <c r="F96" i="1" s="1"/>
  <c r="F97" i="1" a="1"/>
  <c r="F97" i="1" s="1"/>
  <c r="F98" i="1" a="1"/>
  <c r="F98" i="1" s="1"/>
  <c r="F99" i="1" a="1"/>
  <c r="F99" i="1" s="1"/>
  <c r="F100" i="1" a="1"/>
  <c r="F100" i="1" s="1"/>
  <c r="F101" i="1" a="1"/>
  <c r="F101" i="1" s="1"/>
  <c r="F102" i="1" a="1"/>
  <c r="F102" i="1" s="1"/>
  <c r="F103" i="1" a="1"/>
  <c r="F103" i="1" s="1"/>
  <c r="F104" i="1" a="1"/>
  <c r="F104" i="1" s="1"/>
  <c r="F105" i="1" a="1"/>
  <c r="F105" i="1" s="1"/>
  <c r="F106" i="1" a="1"/>
  <c r="F106" i="1" s="1"/>
  <c r="F107" i="1" a="1"/>
  <c r="F107" i="1" s="1"/>
  <c r="F108" i="1" a="1"/>
  <c r="F108" i="1" s="1"/>
  <c r="F109" i="1" a="1"/>
  <c r="F109" i="1" s="1"/>
  <c r="F110" i="1" a="1"/>
  <c r="F110" i="1" s="1"/>
  <c r="F111" i="1" a="1"/>
  <c r="F111" i="1" s="1"/>
  <c r="F112" i="1" a="1"/>
  <c r="F112" i="1" s="1"/>
  <c r="F113" i="1" a="1"/>
  <c r="F113" i="1" s="1"/>
  <c r="F114" i="1" a="1"/>
  <c r="F114" i="1" s="1"/>
  <c r="F115" i="1" a="1"/>
  <c r="F115" i="1" s="1"/>
  <c r="F116" i="1" a="1"/>
  <c r="F116" i="1" s="1"/>
  <c r="F117" i="1" a="1"/>
  <c r="F117" i="1" s="1"/>
  <c r="F118" i="1" a="1"/>
  <c r="F118" i="1" s="1"/>
  <c r="F119" i="1" a="1"/>
  <c r="F119" i="1" s="1"/>
  <c r="F120" i="1" a="1"/>
  <c r="F120" i="1" s="1"/>
  <c r="F121" i="1" a="1"/>
  <c r="F121" i="1" s="1"/>
  <c r="F122" i="1" a="1"/>
  <c r="F122" i="1" s="1"/>
  <c r="F123" i="1" a="1"/>
  <c r="F123" i="1" s="1"/>
  <c r="F124" i="1" a="1"/>
  <c r="F124" i="1" s="1"/>
  <c r="F125" i="1" a="1"/>
  <c r="F125" i="1" s="1"/>
  <c r="F126" i="1" a="1"/>
  <c r="F126" i="1" s="1"/>
  <c r="F127" i="1" a="1"/>
  <c r="F127" i="1" s="1"/>
  <c r="F128" i="1" a="1"/>
  <c r="F128" i="1" s="1"/>
  <c r="F129" i="1" a="1"/>
  <c r="F129" i="1" s="1"/>
  <c r="F130" i="1" a="1"/>
  <c r="F130" i="1" s="1"/>
  <c r="F131" i="1" a="1"/>
  <c r="F131" i="1" s="1"/>
  <c r="F132" i="1" a="1"/>
  <c r="F132" i="1" s="1"/>
  <c r="F133" i="1" a="1"/>
  <c r="F133" i="1" s="1"/>
  <c r="F134" i="1" a="1"/>
  <c r="F134" i="1" s="1"/>
  <c r="F135" i="1" a="1"/>
  <c r="F135" i="1" s="1"/>
  <c r="F136" i="1" a="1"/>
  <c r="F136" i="1" s="1"/>
  <c r="F137" i="1" a="1"/>
  <c r="F137" i="1" s="1"/>
  <c r="F138" i="1" a="1"/>
  <c r="F138" i="1" s="1"/>
  <c r="F139" i="1" a="1"/>
  <c r="F139" i="1" s="1"/>
  <c r="F140" i="1" a="1"/>
  <c r="F140" i="1" s="1"/>
  <c r="F141" i="1" a="1"/>
  <c r="F141" i="1" s="1"/>
  <c r="F142" i="1" a="1"/>
  <c r="F142" i="1" s="1"/>
  <c r="F143" i="1" a="1"/>
  <c r="F143" i="1" s="1"/>
  <c r="F144" i="1" a="1"/>
  <c r="F144" i="1" s="1"/>
  <c r="F145" i="1" a="1"/>
  <c r="F145" i="1" s="1"/>
  <c r="F146" i="1" a="1"/>
  <c r="F146" i="1" s="1"/>
  <c r="F147" i="1" a="1"/>
  <c r="F147" i="1" s="1"/>
  <c r="F148" i="1" a="1"/>
  <c r="F148" i="1" s="1"/>
  <c r="F149" i="1" a="1"/>
  <c r="F149" i="1" s="1"/>
  <c r="F150" i="1" a="1"/>
  <c r="F150" i="1" s="1"/>
  <c r="F151" i="1" a="1"/>
  <c r="F151" i="1" s="1"/>
  <c r="F152" i="1" a="1"/>
  <c r="F152" i="1" s="1"/>
  <c r="F153" i="1" a="1"/>
  <c r="F153" i="1" s="1"/>
  <c r="F154" i="1" a="1"/>
  <c r="F154" i="1" s="1"/>
  <c r="F155" i="1" a="1"/>
  <c r="F155" i="1" s="1"/>
  <c r="F156" i="1" a="1"/>
  <c r="F156" i="1" s="1"/>
  <c r="F157" i="1" a="1"/>
  <c r="F157" i="1" s="1"/>
  <c r="F158" i="1" a="1"/>
  <c r="F158" i="1" s="1"/>
  <c r="F159" i="1" a="1"/>
  <c r="F159" i="1" s="1"/>
  <c r="F160" i="1" a="1"/>
  <c r="F160" i="1" s="1"/>
  <c r="F161" i="1" a="1"/>
  <c r="F161" i="1" s="1"/>
  <c r="F162" i="1" a="1"/>
  <c r="F162" i="1" s="1"/>
  <c r="F163" i="1" a="1"/>
  <c r="F163" i="1" s="1"/>
  <c r="F164" i="1" a="1"/>
  <c r="F164" i="1" s="1"/>
  <c r="F165" i="1" a="1"/>
  <c r="F165" i="1" s="1"/>
  <c r="F166" i="1" a="1"/>
  <c r="F166" i="1" s="1"/>
  <c r="F167" i="1" a="1"/>
  <c r="F167" i="1" s="1"/>
  <c r="F168" i="1" a="1"/>
  <c r="F168" i="1" s="1"/>
  <c r="F169" i="1" a="1"/>
  <c r="F169" i="1" s="1"/>
  <c r="F170" i="1" a="1"/>
  <c r="F170" i="1" s="1"/>
  <c r="F171" i="1" a="1"/>
  <c r="F171" i="1" s="1"/>
  <c r="F172" i="1" a="1"/>
  <c r="F172" i="1" s="1"/>
  <c r="F173" i="1" a="1"/>
  <c r="F173" i="1" s="1"/>
  <c r="F174" i="1" a="1"/>
  <c r="F174" i="1" s="1"/>
  <c r="F175" i="1" a="1"/>
  <c r="F175" i="1" s="1"/>
  <c r="F176" i="1" a="1"/>
  <c r="F176" i="1" s="1"/>
  <c r="F177" i="1" a="1"/>
  <c r="F177" i="1" s="1"/>
  <c r="F178" i="1" a="1"/>
  <c r="F178" i="1" s="1"/>
  <c r="F179" i="1" a="1"/>
  <c r="F179" i="1" s="1"/>
  <c r="F180" i="1" a="1"/>
  <c r="F180" i="1" s="1"/>
  <c r="F181" i="1" a="1"/>
  <c r="F181" i="1" s="1"/>
  <c r="F182" i="1" a="1"/>
  <c r="F182" i="1" s="1"/>
  <c r="F183" i="1" a="1"/>
  <c r="F183" i="1" s="1"/>
  <c r="F184" i="1" a="1"/>
  <c r="F184" i="1" s="1"/>
  <c r="F185" i="1" a="1"/>
  <c r="F185" i="1" s="1"/>
  <c r="F186" i="1" a="1"/>
  <c r="F186" i="1" s="1"/>
  <c r="F187" i="1" a="1"/>
  <c r="F187" i="1" s="1"/>
  <c r="F188" i="1" a="1"/>
  <c r="F188" i="1" s="1"/>
  <c r="F189" i="1" a="1"/>
  <c r="F189" i="1" s="1"/>
  <c r="F190" i="1" a="1"/>
  <c r="F190" i="1" s="1"/>
  <c r="F191" i="1" a="1"/>
  <c r="F191" i="1" s="1"/>
  <c r="F192" i="1" a="1"/>
  <c r="F192" i="1" s="1"/>
  <c r="F193" i="1" a="1"/>
  <c r="F193" i="1" s="1"/>
  <c r="F194" i="1" a="1"/>
  <c r="F194" i="1" s="1"/>
  <c r="F195" i="1" a="1"/>
  <c r="F195" i="1" s="1"/>
  <c r="F196" i="1" a="1"/>
  <c r="F196" i="1" s="1"/>
  <c r="F197" i="1" a="1"/>
  <c r="F197" i="1" s="1"/>
  <c r="F198" i="1" a="1"/>
  <c r="F198" i="1" s="1"/>
  <c r="F199" i="1" a="1"/>
  <c r="F199" i="1" s="1"/>
  <c r="F200" i="1" a="1"/>
  <c r="F200" i="1" s="1"/>
  <c r="F201" i="1" a="1"/>
  <c r="F201" i="1" s="1"/>
  <c r="F202" i="1" a="1"/>
  <c r="F202" i="1" s="1"/>
  <c r="F203" i="1" a="1"/>
  <c r="F203" i="1" s="1"/>
  <c r="F204" i="1" a="1"/>
  <c r="F204" i="1" s="1"/>
  <c r="F205" i="1" a="1"/>
  <c r="F205" i="1" s="1"/>
  <c r="F206" i="1" a="1"/>
  <c r="F206" i="1" s="1"/>
  <c r="F207" i="1" a="1"/>
  <c r="F207" i="1" s="1"/>
  <c r="F208" i="1" a="1"/>
  <c r="F208" i="1" s="1"/>
  <c r="F209" i="1" a="1"/>
  <c r="F209" i="1" s="1"/>
  <c r="F210" i="1" a="1"/>
  <c r="F210" i="1" s="1"/>
  <c r="F211" i="1" a="1"/>
  <c r="F211" i="1" s="1"/>
  <c r="F212" i="1" a="1"/>
  <c r="F212" i="1" s="1"/>
  <c r="F213" i="1" a="1"/>
  <c r="F213" i="1" s="1"/>
  <c r="F214" i="1" a="1"/>
  <c r="F214" i="1" s="1"/>
  <c r="F215" i="1" a="1"/>
  <c r="F215" i="1" s="1"/>
  <c r="F216" i="1" a="1"/>
  <c r="F216" i="1" s="1"/>
  <c r="F217" i="1" a="1"/>
  <c r="F217" i="1" s="1"/>
  <c r="F218" i="1" a="1"/>
  <c r="F218" i="1" s="1"/>
  <c r="F219" i="1" a="1"/>
  <c r="F219" i="1" s="1"/>
  <c r="F220" i="1" a="1"/>
  <c r="F220" i="1" s="1"/>
  <c r="F221" i="1" a="1"/>
  <c r="F221" i="1" s="1"/>
  <c r="F222" i="1" a="1"/>
  <c r="F222" i="1" s="1"/>
  <c r="F223" i="1" a="1"/>
  <c r="F223" i="1" s="1"/>
  <c r="F224" i="1" a="1"/>
  <c r="F224" i="1" s="1"/>
  <c r="F225" i="1" a="1"/>
  <c r="F225" i="1" s="1"/>
  <c r="F226" i="1" a="1"/>
  <c r="F226" i="1" s="1"/>
  <c r="F227" i="1" a="1"/>
  <c r="F227" i="1" s="1"/>
  <c r="F228" i="1" a="1"/>
  <c r="F228" i="1" s="1"/>
  <c r="F229" i="1" a="1"/>
  <c r="F229" i="1" s="1"/>
  <c r="F230" i="1" a="1"/>
  <c r="F230" i="1" s="1"/>
  <c r="F231" i="1" a="1"/>
  <c r="F231" i="1" s="1"/>
  <c r="F232" i="1" a="1"/>
  <c r="F232" i="1" s="1"/>
  <c r="F233" i="1" a="1"/>
  <c r="F233" i="1" s="1"/>
  <c r="F234" i="1" a="1"/>
  <c r="F234" i="1" s="1"/>
  <c r="F235" i="1" a="1"/>
  <c r="F235" i="1" s="1"/>
  <c r="F236" i="1" a="1"/>
  <c r="F236" i="1" s="1"/>
  <c r="F237" i="1" a="1"/>
  <c r="F237" i="1" s="1"/>
  <c r="F238" i="1" a="1"/>
  <c r="F238" i="1" s="1"/>
  <c r="F239" i="1" a="1"/>
  <c r="F239" i="1" s="1"/>
  <c r="F240" i="1" a="1"/>
  <c r="F240" i="1" s="1"/>
  <c r="F241" i="1" a="1"/>
  <c r="F241" i="1" s="1"/>
  <c r="F242" i="1" a="1"/>
  <c r="F242" i="1" s="1"/>
  <c r="F243" i="1" a="1"/>
  <c r="F243" i="1" s="1"/>
  <c r="F244" i="1" a="1"/>
  <c r="F244" i="1" s="1"/>
  <c r="F245" i="1" a="1"/>
  <c r="F245" i="1" s="1"/>
  <c r="F246" i="1" a="1"/>
  <c r="F246" i="1" s="1"/>
  <c r="F247" i="1" a="1"/>
  <c r="F247" i="1" s="1"/>
  <c r="F248" i="1" a="1"/>
  <c r="F248" i="1" s="1"/>
  <c r="F249" i="1" a="1"/>
  <c r="F249" i="1" s="1"/>
  <c r="F250" i="1" a="1"/>
  <c r="F250" i="1" s="1"/>
  <c r="F251" i="1" a="1"/>
  <c r="F251" i="1" s="1"/>
  <c r="F252" i="1" a="1"/>
  <c r="F252" i="1" s="1"/>
  <c r="F253" i="1" a="1"/>
  <c r="F253" i="1" s="1"/>
  <c r="F254" i="1" a="1"/>
  <c r="F254" i="1" s="1"/>
  <c r="F255" i="1" a="1"/>
  <c r="F255" i="1" s="1"/>
  <c r="F256" i="1" a="1"/>
  <c r="F256" i="1" s="1"/>
  <c r="F257" i="1" a="1"/>
  <c r="F257" i="1" s="1"/>
  <c r="F258" i="1" a="1"/>
  <c r="F258" i="1" s="1"/>
  <c r="F259" i="1" a="1"/>
  <c r="F259" i="1" s="1"/>
  <c r="F260" i="1" a="1"/>
  <c r="F260" i="1" s="1"/>
  <c r="F261" i="1" a="1"/>
  <c r="F261" i="1" s="1"/>
  <c r="F262" i="1" a="1"/>
  <c r="F262" i="1" s="1"/>
  <c r="F263" i="1" a="1"/>
  <c r="F263" i="1" s="1"/>
  <c r="F264" i="1" a="1"/>
  <c r="F264" i="1" s="1"/>
  <c r="F265" i="1" a="1"/>
  <c r="F265" i="1" s="1"/>
  <c r="F266" i="1" a="1"/>
  <c r="F266" i="1" s="1"/>
  <c r="F267" i="1" a="1"/>
  <c r="F267" i="1" s="1"/>
  <c r="F268" i="1" a="1"/>
  <c r="F268" i="1" s="1"/>
  <c r="F269" i="1" a="1"/>
  <c r="F269" i="1" s="1"/>
  <c r="F270" i="1" a="1"/>
  <c r="F270" i="1" s="1"/>
  <c r="F271" i="1" a="1"/>
  <c r="F271" i="1" s="1"/>
  <c r="F272" i="1" a="1"/>
  <c r="F272" i="1" s="1"/>
  <c r="F273" i="1" a="1"/>
  <c r="F273" i="1" s="1"/>
  <c r="F274" i="1" a="1"/>
  <c r="F274" i="1" s="1"/>
  <c r="F275" i="1" a="1"/>
  <c r="F275" i="1" s="1"/>
  <c r="F276" i="1" a="1"/>
  <c r="F276" i="1" s="1"/>
  <c r="F277" i="1" a="1"/>
  <c r="F277" i="1" s="1"/>
  <c r="F278" i="1" a="1"/>
  <c r="F278" i="1" s="1"/>
  <c r="F279" i="1" a="1"/>
  <c r="F279" i="1" s="1"/>
  <c r="F280" i="1" a="1"/>
  <c r="F280" i="1" s="1"/>
  <c r="F281" i="1" a="1"/>
  <c r="F281" i="1" s="1"/>
  <c r="F282" i="1" a="1"/>
  <c r="F282" i="1" s="1"/>
  <c r="F283" i="1" a="1"/>
  <c r="F283" i="1" s="1"/>
  <c r="F284" i="1" a="1"/>
  <c r="F284" i="1" s="1"/>
  <c r="F285" i="1" a="1"/>
  <c r="F285" i="1" s="1"/>
  <c r="F286" i="1" a="1"/>
  <c r="F286" i="1" s="1"/>
  <c r="F287" i="1" a="1"/>
  <c r="F287" i="1" s="1"/>
  <c r="F288" i="1" a="1"/>
  <c r="F288" i="1" s="1"/>
  <c r="F289" i="1" a="1"/>
  <c r="F289" i="1" s="1"/>
  <c r="F290" i="1" a="1"/>
  <c r="F290" i="1" s="1"/>
  <c r="F291" i="1" a="1"/>
  <c r="F291" i="1" s="1"/>
  <c r="F292" i="1" a="1"/>
  <c r="F292" i="1" s="1"/>
  <c r="F293" i="1" a="1"/>
  <c r="F293" i="1" s="1"/>
  <c r="F294" i="1" a="1"/>
  <c r="F294" i="1" s="1"/>
  <c r="F295" i="1" a="1"/>
  <c r="F295" i="1" s="1"/>
  <c r="F296" i="1" a="1"/>
  <c r="F296" i="1" s="1"/>
  <c r="F297" i="1" a="1"/>
  <c r="F297" i="1" s="1"/>
  <c r="F298" i="1" a="1"/>
  <c r="F298" i="1" s="1"/>
  <c r="F299" i="1" a="1"/>
  <c r="F299" i="1" s="1"/>
  <c r="F300" i="1" a="1"/>
  <c r="F300" i="1" s="1"/>
  <c r="F301" i="1" a="1"/>
  <c r="F301" i="1" s="1"/>
  <c r="F302" i="1" a="1"/>
  <c r="F302" i="1" s="1"/>
  <c r="F303" i="1" a="1"/>
  <c r="F303" i="1" s="1"/>
  <c r="F304" i="1" a="1"/>
  <c r="F304" i="1" s="1"/>
  <c r="F305" i="1" a="1"/>
  <c r="F305" i="1" s="1"/>
  <c r="F306" i="1" a="1"/>
  <c r="F306" i="1" s="1"/>
  <c r="F307" i="1" a="1"/>
  <c r="F307" i="1" s="1"/>
  <c r="F308" i="1" a="1"/>
  <c r="F308" i="1" s="1"/>
  <c r="F309" i="1" a="1"/>
  <c r="F309" i="1" s="1"/>
  <c r="F310" i="1" a="1"/>
  <c r="F310" i="1" s="1"/>
  <c r="F311" i="1" a="1"/>
  <c r="F311" i="1" s="1"/>
  <c r="F312" i="1" a="1"/>
  <c r="F312" i="1" s="1"/>
  <c r="F313" i="1" a="1"/>
  <c r="F313" i="1" s="1"/>
  <c r="F314" i="1" a="1"/>
  <c r="F314" i="1" s="1"/>
  <c r="F315" i="1" a="1"/>
  <c r="F315" i="1" s="1"/>
  <c r="F316" i="1" a="1"/>
  <c r="F316" i="1" s="1"/>
  <c r="F317" i="1" a="1"/>
  <c r="F317" i="1" s="1"/>
  <c r="F318" i="1" a="1"/>
  <c r="F318" i="1" s="1"/>
  <c r="F319" i="1" a="1"/>
  <c r="F319" i="1" s="1"/>
  <c r="F320" i="1" a="1"/>
  <c r="F320" i="1" s="1"/>
  <c r="F321" i="1" a="1"/>
  <c r="F321" i="1" s="1"/>
  <c r="F322" i="1" a="1"/>
  <c r="F322" i="1" s="1"/>
  <c r="F323" i="1" a="1"/>
  <c r="F323" i="1" s="1"/>
  <c r="F324" i="1" a="1"/>
  <c r="F324" i="1" s="1"/>
  <c r="F325" i="1" a="1"/>
  <c r="F325" i="1" s="1"/>
  <c r="F326" i="1" a="1"/>
  <c r="F326" i="1" s="1"/>
  <c r="F327" i="1" a="1"/>
  <c r="F327" i="1" s="1"/>
  <c r="F328" i="1" a="1"/>
  <c r="F328" i="1" s="1"/>
  <c r="F329" i="1" a="1"/>
  <c r="F329" i="1" s="1"/>
  <c r="F330" i="1" a="1"/>
  <c r="F330" i="1" s="1"/>
  <c r="F331" i="1" a="1"/>
  <c r="F331" i="1" s="1"/>
  <c r="F332" i="1" a="1"/>
  <c r="F332" i="1" s="1"/>
  <c r="F333" i="1" a="1"/>
  <c r="F333" i="1" s="1"/>
  <c r="F334" i="1" a="1"/>
  <c r="F334" i="1" s="1"/>
  <c r="F335" i="1" a="1"/>
  <c r="F335" i="1" s="1"/>
  <c r="F336" i="1" a="1"/>
  <c r="F336" i="1" s="1"/>
  <c r="F337" i="1" a="1"/>
  <c r="F337" i="1" s="1"/>
  <c r="F338" i="1" a="1"/>
  <c r="F338" i="1" s="1"/>
  <c r="F339" i="1" a="1"/>
  <c r="F339" i="1" s="1"/>
  <c r="F340" i="1" a="1"/>
  <c r="F340" i="1" s="1"/>
  <c r="F341" i="1" a="1"/>
  <c r="F341" i="1" s="1"/>
  <c r="F342" i="1" a="1"/>
  <c r="F342" i="1" s="1"/>
  <c r="F343" i="1" a="1"/>
  <c r="F343" i="1" s="1"/>
  <c r="F344" i="1" a="1"/>
  <c r="F344" i="1" s="1"/>
  <c r="F345" i="1" a="1"/>
  <c r="F345" i="1" s="1"/>
  <c r="F346" i="1" a="1"/>
  <c r="F346" i="1" s="1"/>
  <c r="F347" i="1" a="1"/>
  <c r="F347" i="1" s="1"/>
  <c r="F348" i="1" a="1"/>
  <c r="F348" i="1" s="1"/>
  <c r="F349" i="1" a="1"/>
  <c r="F349" i="1" s="1"/>
  <c r="F350" i="1" a="1"/>
  <c r="F350" i="1" s="1"/>
  <c r="F351" i="1" a="1"/>
  <c r="F351" i="1" s="1"/>
  <c r="F352" i="1" a="1"/>
  <c r="F352" i="1" s="1"/>
  <c r="F353" i="1" a="1"/>
  <c r="F353" i="1" s="1"/>
  <c r="F354" i="1" a="1"/>
  <c r="F354" i="1" s="1"/>
  <c r="F355" i="1" a="1"/>
  <c r="F355" i="1" s="1"/>
  <c r="F356" i="1" a="1"/>
  <c r="F356" i="1" s="1"/>
  <c r="F357" i="1" a="1"/>
  <c r="F357" i="1" s="1"/>
  <c r="F358" i="1" a="1"/>
  <c r="F358" i="1" s="1"/>
  <c r="F359" i="1" a="1"/>
  <c r="F359" i="1" s="1"/>
  <c r="F360" i="1" a="1"/>
  <c r="F360" i="1" s="1"/>
  <c r="F361" i="1" a="1"/>
  <c r="F361" i="1" s="1"/>
  <c r="F362" i="1" a="1"/>
  <c r="F362" i="1" s="1"/>
  <c r="F363" i="1" a="1"/>
  <c r="F363" i="1" s="1"/>
  <c r="F364" i="1" a="1"/>
  <c r="F364" i="1" s="1"/>
  <c r="F365" i="1" a="1"/>
  <c r="F365" i="1" s="1"/>
  <c r="F366" i="1" a="1"/>
  <c r="F366" i="1" s="1"/>
  <c r="F367" i="1" a="1"/>
  <c r="F367" i="1" s="1"/>
  <c r="F368" i="1" a="1"/>
  <c r="F368" i="1" s="1"/>
  <c r="F369" i="1" a="1"/>
  <c r="F369" i="1" s="1"/>
  <c r="F370" i="1" a="1"/>
  <c r="F370" i="1" s="1"/>
  <c r="F371" i="1" a="1"/>
  <c r="F371" i="1" s="1"/>
  <c r="F372" i="1" a="1"/>
  <c r="F372" i="1" s="1"/>
  <c r="F373" i="1" a="1"/>
  <c r="F373" i="1" s="1"/>
  <c r="F374" i="1" a="1"/>
  <c r="F374" i="1" s="1"/>
  <c r="F375" i="1" a="1"/>
  <c r="F375" i="1" s="1"/>
  <c r="F376" i="1" a="1"/>
  <c r="F376" i="1" s="1"/>
  <c r="F377" i="1" a="1"/>
  <c r="F377" i="1" s="1"/>
  <c r="F378" i="1" a="1"/>
  <c r="F378" i="1" s="1"/>
  <c r="F379" i="1" a="1"/>
  <c r="F379" i="1" s="1"/>
  <c r="F380" i="1" a="1"/>
  <c r="F380" i="1" s="1"/>
  <c r="F381" i="1" a="1"/>
  <c r="F381" i="1" s="1"/>
  <c r="F382" i="1" a="1"/>
  <c r="F382" i="1" s="1"/>
  <c r="F383" i="1" a="1"/>
  <c r="F383" i="1" s="1"/>
  <c r="F384" i="1" a="1"/>
  <c r="F384" i="1" s="1"/>
  <c r="F385" i="1" a="1"/>
  <c r="F385" i="1" s="1"/>
  <c r="F386" i="1" a="1"/>
  <c r="F386" i="1" s="1"/>
  <c r="F387" i="1" a="1"/>
  <c r="F387" i="1" s="1"/>
  <c r="F388" i="1" a="1"/>
  <c r="F388" i="1" s="1"/>
  <c r="F389" i="1" a="1"/>
  <c r="F389" i="1" s="1"/>
  <c r="F390" i="1" a="1"/>
  <c r="F390" i="1" s="1"/>
  <c r="F391" i="1" a="1"/>
  <c r="F391" i="1" s="1"/>
  <c r="F392" i="1" a="1"/>
  <c r="F392" i="1" s="1"/>
  <c r="F393" i="1" a="1"/>
  <c r="F393" i="1" s="1"/>
  <c r="F394" i="1" a="1"/>
  <c r="F394" i="1" s="1"/>
  <c r="F395" i="1" a="1"/>
  <c r="F395" i="1" s="1"/>
  <c r="F396" i="1" a="1"/>
  <c r="F396" i="1" s="1"/>
  <c r="F397" i="1" a="1"/>
  <c r="F397" i="1" s="1"/>
  <c r="F398" i="1" a="1"/>
  <c r="F398" i="1" s="1"/>
  <c r="F399" i="1" a="1"/>
  <c r="F399" i="1" s="1"/>
  <c r="F400" i="1" a="1"/>
  <c r="F400" i="1" s="1"/>
  <c r="F401" i="1" a="1"/>
  <c r="F401" i="1" s="1"/>
  <c r="F402" i="1" a="1"/>
  <c r="F402" i="1" s="1"/>
  <c r="F403" i="1" a="1"/>
  <c r="F403" i="1" s="1"/>
  <c r="F404" i="1" a="1"/>
  <c r="F404" i="1" s="1"/>
  <c r="F405" i="1" a="1"/>
  <c r="F405" i="1" s="1"/>
  <c r="F406" i="1" a="1"/>
  <c r="F406" i="1" s="1"/>
  <c r="F407" i="1" a="1"/>
  <c r="F407" i="1" s="1"/>
  <c r="F408" i="1" a="1"/>
  <c r="F408" i="1" s="1"/>
  <c r="F409" i="1" a="1"/>
  <c r="F409" i="1" s="1"/>
  <c r="F410" i="1" a="1"/>
  <c r="F410" i="1" s="1"/>
  <c r="F411" i="1" a="1"/>
  <c r="F411" i="1" s="1"/>
  <c r="F412" i="1" a="1"/>
  <c r="F412" i="1" s="1"/>
  <c r="F413" i="1" a="1"/>
  <c r="F413" i="1" s="1"/>
  <c r="F414" i="1" a="1"/>
  <c r="F414" i="1" s="1"/>
  <c r="F415" i="1" a="1"/>
  <c r="F415" i="1" s="1"/>
  <c r="F416" i="1" a="1"/>
  <c r="F416" i="1" s="1"/>
  <c r="F417" i="1" a="1"/>
  <c r="F417" i="1" s="1"/>
  <c r="F418" i="1" a="1"/>
  <c r="F418" i="1" s="1"/>
  <c r="F419" i="1" a="1"/>
  <c r="F419" i="1" s="1"/>
  <c r="F420" i="1" a="1"/>
  <c r="F420" i="1" s="1"/>
  <c r="F421" i="1" a="1"/>
  <c r="F421" i="1" s="1"/>
  <c r="F422" i="1" a="1"/>
  <c r="F422" i="1" s="1"/>
  <c r="F423" i="1" a="1"/>
  <c r="F423" i="1" s="1"/>
  <c r="F424" i="1" a="1"/>
  <c r="F424" i="1" s="1"/>
  <c r="F425" i="1" a="1"/>
  <c r="F425" i="1" s="1"/>
  <c r="F426" i="1" a="1"/>
  <c r="F426" i="1" s="1"/>
  <c r="F427" i="1" a="1"/>
  <c r="F427" i="1" s="1"/>
  <c r="F428" i="1" a="1"/>
  <c r="F428" i="1" s="1"/>
  <c r="F429" i="1" a="1"/>
  <c r="F429" i="1" s="1"/>
  <c r="F430" i="1" a="1"/>
  <c r="F430" i="1" s="1"/>
  <c r="F431" i="1" a="1"/>
  <c r="F431" i="1" s="1"/>
  <c r="F432" i="1" a="1"/>
  <c r="F432" i="1" s="1"/>
  <c r="F433" i="1" a="1"/>
  <c r="F433" i="1" s="1"/>
  <c r="F434" i="1" a="1"/>
  <c r="F434" i="1" s="1"/>
  <c r="F435" i="1" a="1"/>
  <c r="F435" i="1" s="1"/>
  <c r="F436" i="1" a="1"/>
  <c r="F436" i="1" s="1"/>
  <c r="F437" i="1" a="1"/>
  <c r="F437" i="1" s="1"/>
  <c r="F438" i="1" a="1"/>
  <c r="F438" i="1" s="1"/>
  <c r="F439" i="1" a="1"/>
  <c r="F439" i="1" s="1"/>
  <c r="F440" i="1" a="1"/>
  <c r="F440" i="1" s="1"/>
  <c r="F441" i="1" a="1"/>
  <c r="F441" i="1" s="1"/>
  <c r="F442" i="1" a="1"/>
  <c r="F442" i="1" s="1"/>
  <c r="F443" i="1" a="1"/>
  <c r="F443" i="1" s="1"/>
  <c r="F444" i="1" a="1"/>
  <c r="F444" i="1" s="1"/>
  <c r="F445" i="1" a="1"/>
  <c r="F445" i="1" s="1"/>
  <c r="F446" i="1" a="1"/>
  <c r="F446" i="1" s="1"/>
  <c r="F447" i="1" a="1"/>
  <c r="F447" i="1" s="1"/>
  <c r="F448" i="1" a="1"/>
  <c r="F448" i="1" s="1"/>
  <c r="F449" i="1" a="1"/>
  <c r="F449" i="1" s="1"/>
  <c r="F450" i="1" a="1"/>
  <c r="F450" i="1" s="1"/>
  <c r="F451" i="1" a="1"/>
  <c r="F451" i="1" s="1"/>
  <c r="F452" i="1" a="1"/>
  <c r="F452" i="1" s="1"/>
  <c r="F453" i="1" a="1"/>
  <c r="F453" i="1" s="1"/>
  <c r="F454" i="1" a="1"/>
  <c r="F454" i="1" s="1"/>
  <c r="F455" i="1" a="1"/>
  <c r="F455" i="1" s="1"/>
  <c r="F456" i="1" a="1"/>
  <c r="F456" i="1" s="1"/>
  <c r="F457" i="1" a="1"/>
  <c r="F457" i="1" s="1"/>
  <c r="F458" i="1" a="1"/>
  <c r="F458" i="1" s="1"/>
  <c r="F459" i="1" a="1"/>
  <c r="F459" i="1" s="1"/>
  <c r="F460" i="1" a="1"/>
  <c r="F460" i="1" s="1"/>
  <c r="F461" i="1" a="1"/>
  <c r="F461" i="1" s="1"/>
  <c r="F462" i="1" a="1"/>
  <c r="F462" i="1" s="1"/>
  <c r="F463" i="1" a="1"/>
  <c r="F463" i="1" s="1"/>
  <c r="F464" i="1" a="1"/>
  <c r="F464" i="1" s="1"/>
  <c r="F465" i="1" a="1"/>
  <c r="F465" i="1" s="1"/>
  <c r="F466" i="1" a="1"/>
  <c r="F466" i="1" s="1"/>
  <c r="F467" i="1" a="1"/>
  <c r="F467" i="1" s="1"/>
  <c r="F468" i="1" a="1"/>
  <c r="F468" i="1" s="1"/>
  <c r="F469" i="1" a="1"/>
  <c r="F469" i="1" s="1"/>
  <c r="F470" i="1" a="1"/>
  <c r="F470" i="1" s="1"/>
  <c r="F471" i="1" a="1"/>
  <c r="F471" i="1" s="1"/>
  <c r="F472" i="1" a="1"/>
  <c r="F472" i="1" s="1"/>
  <c r="F473" i="1" a="1"/>
  <c r="F473" i="1" s="1"/>
  <c r="F474" i="1" a="1"/>
  <c r="F474" i="1" s="1"/>
  <c r="F475" i="1" a="1"/>
  <c r="F475" i="1" s="1"/>
  <c r="F476" i="1" a="1"/>
  <c r="F476" i="1" s="1"/>
  <c r="F477" i="1" a="1"/>
  <c r="F477" i="1" s="1"/>
  <c r="F478" i="1" a="1"/>
  <c r="F478" i="1" s="1"/>
  <c r="F479" i="1" a="1"/>
  <c r="F479" i="1" s="1"/>
  <c r="F480" i="1" a="1"/>
  <c r="F480" i="1" s="1"/>
  <c r="F481" i="1" a="1"/>
  <c r="F481" i="1" s="1"/>
  <c r="F482" i="1" a="1"/>
  <c r="F482" i="1" s="1"/>
  <c r="F483" i="1" a="1"/>
  <c r="F483" i="1" s="1"/>
  <c r="F484" i="1" a="1"/>
  <c r="F484" i="1" s="1"/>
  <c r="F485" i="1" a="1"/>
  <c r="F485" i="1" s="1"/>
  <c r="F486" i="1" a="1"/>
  <c r="F486" i="1" s="1"/>
  <c r="F487" i="1" a="1"/>
  <c r="F487" i="1" s="1"/>
  <c r="F488" i="1" a="1"/>
  <c r="F488" i="1" s="1"/>
  <c r="F489" i="1" a="1"/>
  <c r="F489" i="1" s="1"/>
  <c r="F490" i="1" a="1"/>
  <c r="F490" i="1" s="1"/>
  <c r="F491" i="1" a="1"/>
  <c r="F491" i="1" s="1"/>
  <c r="F492" i="1" a="1"/>
  <c r="F492" i="1" s="1"/>
  <c r="F493" i="1" a="1"/>
  <c r="F493" i="1" s="1"/>
  <c r="F494" i="1" a="1"/>
  <c r="F494" i="1" s="1"/>
  <c r="F495" i="1" a="1"/>
  <c r="F495" i="1" s="1"/>
  <c r="F496" i="1" a="1"/>
  <c r="F496" i="1" s="1"/>
  <c r="F497" i="1" a="1"/>
  <c r="F497" i="1" s="1"/>
  <c r="F498" i="1" a="1"/>
  <c r="F498" i="1" s="1"/>
  <c r="F499" i="1" a="1"/>
  <c r="F499" i="1" s="1"/>
  <c r="F500" i="1" a="1"/>
  <c r="F500" i="1" s="1"/>
  <c r="E2" i="1" a="1"/>
  <c r="E2" i="1" s="1"/>
  <c r="E3" i="1" a="1"/>
  <c r="E3" i="1" s="1"/>
  <c r="E4" i="1" a="1"/>
  <c r="E4" i="1" s="1"/>
  <c r="E5" i="1" a="1"/>
  <c r="E5" i="1" s="1"/>
  <c r="E6" i="1" a="1"/>
  <c r="E6" i="1" s="1"/>
  <c r="E7" i="1" a="1"/>
  <c r="E7" i="1" s="1"/>
  <c r="E8" i="1" a="1"/>
  <c r="E8" i="1" s="1"/>
  <c r="E9" i="1" a="1"/>
  <c r="E9" i="1" s="1"/>
  <c r="E10" i="1" a="1"/>
  <c r="E10" i="1" s="1"/>
  <c r="E11" i="1" a="1"/>
  <c r="E11" i="1" s="1"/>
  <c r="E12" i="1" a="1"/>
  <c r="E12" i="1" s="1"/>
  <c r="E13" i="1" a="1"/>
  <c r="E13" i="1" s="1"/>
  <c r="E14" i="1" a="1"/>
  <c r="E14" i="1" s="1"/>
  <c r="E15" i="1" a="1"/>
  <c r="E15" i="1" s="1"/>
  <c r="E16" i="1" a="1"/>
  <c r="E16" i="1" s="1"/>
  <c r="E17" i="1" a="1"/>
  <c r="E17" i="1" s="1"/>
  <c r="E18" i="1" a="1"/>
  <c r="E18" i="1" s="1"/>
  <c r="E19" i="1" a="1"/>
  <c r="E19" i="1" s="1"/>
  <c r="E20" i="1" a="1"/>
  <c r="E20" i="1" s="1"/>
  <c r="E21" i="1" a="1"/>
  <c r="E21" i="1" s="1"/>
  <c r="E22" i="1" a="1"/>
  <c r="E22" i="1" s="1"/>
  <c r="E23" i="1" a="1"/>
  <c r="E23" i="1" s="1"/>
  <c r="E24" i="1" a="1"/>
  <c r="E24" i="1" s="1"/>
  <c r="E25" i="1" a="1"/>
  <c r="E25" i="1" s="1"/>
  <c r="E26" i="1" a="1"/>
  <c r="E26" i="1" s="1"/>
  <c r="E27" i="1" a="1"/>
  <c r="E27" i="1" s="1"/>
  <c r="E28" i="1" a="1"/>
  <c r="E28" i="1" s="1"/>
  <c r="E29" i="1" a="1"/>
  <c r="E29" i="1" s="1"/>
  <c r="E30" i="1" a="1"/>
  <c r="E30" i="1" s="1"/>
  <c r="E31" i="1" a="1"/>
  <c r="E31" i="1" s="1"/>
  <c r="E32" i="1" a="1"/>
  <c r="E32" i="1" s="1"/>
  <c r="E33" i="1" a="1"/>
  <c r="E33" i="1" s="1"/>
  <c r="E34" i="1" a="1"/>
  <c r="E34" i="1" s="1"/>
  <c r="E35" i="1" a="1"/>
  <c r="E35" i="1" s="1"/>
  <c r="E36" i="1" a="1"/>
  <c r="E36" i="1" s="1"/>
  <c r="E37" i="1" a="1"/>
  <c r="E37" i="1" s="1"/>
  <c r="E38" i="1" a="1"/>
  <c r="E38" i="1" s="1"/>
  <c r="E39" i="1" a="1"/>
  <c r="E39" i="1" s="1"/>
  <c r="E40" i="1" a="1"/>
  <c r="E40" i="1" s="1"/>
  <c r="E41" i="1" a="1"/>
  <c r="E41" i="1" s="1"/>
  <c r="E42" i="1" a="1"/>
  <c r="E42" i="1" s="1"/>
  <c r="E43" i="1" a="1"/>
  <c r="E43" i="1" s="1"/>
  <c r="E44" i="1" a="1"/>
  <c r="E44" i="1" s="1"/>
  <c r="E45" i="1" a="1"/>
  <c r="E45" i="1" s="1"/>
  <c r="E46" i="1" a="1"/>
  <c r="E46" i="1" s="1"/>
  <c r="E47" i="1" a="1"/>
  <c r="E47" i="1" s="1"/>
  <c r="E48" i="1" a="1"/>
  <c r="E48" i="1" s="1"/>
  <c r="E49" i="1" a="1"/>
  <c r="E49" i="1" s="1"/>
  <c r="E50" i="1" a="1"/>
  <c r="E50" i="1" s="1"/>
  <c r="E51" i="1" a="1"/>
  <c r="E51" i="1" s="1"/>
  <c r="E52" i="1" a="1"/>
  <c r="E52" i="1" s="1"/>
  <c r="E53" i="1" a="1"/>
  <c r="E53" i="1" s="1"/>
  <c r="E54" i="1" a="1"/>
  <c r="E54" i="1" s="1"/>
  <c r="E55" i="1" a="1"/>
  <c r="E55" i="1" s="1"/>
  <c r="E56" i="1" a="1"/>
  <c r="E56" i="1" s="1"/>
  <c r="E57" i="1" a="1"/>
  <c r="E57" i="1" s="1"/>
  <c r="E58" i="1" a="1"/>
  <c r="E58" i="1" s="1"/>
  <c r="E59" i="1" a="1"/>
  <c r="E59" i="1" s="1"/>
  <c r="E60" i="1" a="1"/>
  <c r="E60" i="1" s="1"/>
  <c r="E61" i="1" a="1"/>
  <c r="E61" i="1" s="1"/>
  <c r="E62" i="1" a="1"/>
  <c r="E62" i="1" s="1"/>
  <c r="E63" i="1" a="1"/>
  <c r="E63" i="1" s="1"/>
  <c r="E64" i="1" a="1"/>
  <c r="E64" i="1" s="1"/>
  <c r="E65" i="1" a="1"/>
  <c r="E65" i="1" s="1"/>
  <c r="E66" i="1" a="1"/>
  <c r="E66" i="1" s="1"/>
  <c r="E67" i="1" a="1"/>
  <c r="E67" i="1" s="1"/>
  <c r="E68" i="1" a="1"/>
  <c r="E68" i="1" s="1"/>
  <c r="E69" i="1" a="1"/>
  <c r="E69" i="1" s="1"/>
  <c r="E70" i="1" a="1"/>
  <c r="E70" i="1" s="1"/>
  <c r="E71" i="1" a="1"/>
  <c r="E71" i="1" s="1"/>
  <c r="E72" i="1" a="1"/>
  <c r="E72" i="1" s="1"/>
  <c r="E73" i="1" a="1"/>
  <c r="E73" i="1" s="1"/>
  <c r="E74" i="1" a="1"/>
  <c r="E74" i="1" s="1"/>
  <c r="E75" i="1" a="1"/>
  <c r="E75" i="1" s="1"/>
  <c r="E76" i="1" a="1"/>
  <c r="E76" i="1" s="1"/>
  <c r="E77" i="1" a="1"/>
  <c r="E77" i="1" s="1"/>
  <c r="E78" i="1" a="1"/>
  <c r="E78" i="1" s="1"/>
  <c r="E79" i="1" a="1"/>
  <c r="E79" i="1" s="1"/>
  <c r="E80" i="1" a="1"/>
  <c r="E80" i="1" s="1"/>
  <c r="E81" i="1" a="1"/>
  <c r="E81" i="1" s="1"/>
  <c r="E82" i="1" a="1"/>
  <c r="E82" i="1" s="1"/>
  <c r="E83" i="1" a="1"/>
  <c r="E83" i="1" s="1"/>
  <c r="E84" i="1" a="1"/>
  <c r="E84" i="1" s="1"/>
  <c r="E85" i="1" a="1"/>
  <c r="E85" i="1" s="1"/>
  <c r="E86" i="1" a="1"/>
  <c r="E86" i="1" s="1"/>
  <c r="E87" i="1" a="1"/>
  <c r="E87" i="1" s="1"/>
  <c r="E88" i="1" a="1"/>
  <c r="E88" i="1" s="1"/>
  <c r="E89" i="1" a="1"/>
  <c r="E89" i="1" s="1"/>
  <c r="E90" i="1" a="1"/>
  <c r="E90" i="1" s="1"/>
  <c r="E91" i="1" a="1"/>
  <c r="E91" i="1" s="1"/>
  <c r="E92" i="1" a="1"/>
  <c r="E92" i="1" s="1"/>
  <c r="E93" i="1" a="1"/>
  <c r="E93" i="1" s="1"/>
  <c r="E94" i="1" a="1"/>
  <c r="E94" i="1" s="1"/>
  <c r="E95" i="1" a="1"/>
  <c r="E95" i="1" s="1"/>
  <c r="E96" i="1" a="1"/>
  <c r="E96" i="1" s="1"/>
  <c r="E97" i="1" a="1"/>
  <c r="E97" i="1" s="1"/>
  <c r="E98" i="1" a="1"/>
  <c r="E98" i="1" s="1"/>
  <c r="E99" i="1" a="1"/>
  <c r="E99" i="1" s="1"/>
  <c r="E100" i="1" a="1"/>
  <c r="E100" i="1" s="1"/>
  <c r="E101" i="1" a="1"/>
  <c r="E101" i="1" s="1"/>
  <c r="E102" i="1" a="1"/>
  <c r="E102" i="1" s="1"/>
  <c r="E103" i="1" a="1"/>
  <c r="E103" i="1" s="1"/>
  <c r="E104" i="1" a="1"/>
  <c r="E104" i="1" s="1"/>
  <c r="E105" i="1" a="1"/>
  <c r="E105" i="1" s="1"/>
  <c r="E106" i="1" a="1"/>
  <c r="E106" i="1" s="1"/>
  <c r="E107" i="1" a="1"/>
  <c r="E107" i="1" s="1"/>
  <c r="E108" i="1" a="1"/>
  <c r="E108" i="1" s="1"/>
  <c r="E109" i="1" a="1"/>
  <c r="E109" i="1" s="1"/>
  <c r="E110" i="1" a="1"/>
  <c r="E110" i="1" s="1"/>
  <c r="E111" i="1" a="1"/>
  <c r="E111" i="1" s="1"/>
  <c r="E112" i="1" a="1"/>
  <c r="E112" i="1" s="1"/>
  <c r="E113" i="1" a="1"/>
  <c r="E113" i="1" s="1"/>
  <c r="E114" i="1" a="1"/>
  <c r="E114" i="1" s="1"/>
  <c r="E115" i="1" a="1"/>
  <c r="E115" i="1" s="1"/>
  <c r="E116" i="1" a="1"/>
  <c r="E116" i="1" s="1"/>
  <c r="E117" i="1" a="1"/>
  <c r="E117" i="1" s="1"/>
  <c r="E118" i="1" a="1"/>
  <c r="E118" i="1" s="1"/>
  <c r="E119" i="1" a="1"/>
  <c r="E119" i="1" s="1"/>
  <c r="E120" i="1" a="1"/>
  <c r="E120" i="1" s="1"/>
  <c r="E121" i="1" a="1"/>
  <c r="E121" i="1" s="1"/>
  <c r="E122" i="1" a="1"/>
  <c r="E122" i="1" s="1"/>
  <c r="E123" i="1" a="1"/>
  <c r="E123" i="1" s="1"/>
  <c r="E124" i="1" a="1"/>
  <c r="E124" i="1" s="1"/>
  <c r="E125" i="1" a="1"/>
  <c r="E125" i="1" s="1"/>
  <c r="E126" i="1" a="1"/>
  <c r="E126" i="1" s="1"/>
  <c r="E127" i="1" a="1"/>
  <c r="E127" i="1" s="1"/>
  <c r="E128" i="1" a="1"/>
  <c r="E128" i="1" s="1"/>
  <c r="E129" i="1" a="1"/>
  <c r="E129" i="1" s="1"/>
  <c r="E130" i="1" a="1"/>
  <c r="E130" i="1" s="1"/>
  <c r="E131" i="1" a="1"/>
  <c r="E131" i="1" s="1"/>
  <c r="E132" i="1" a="1"/>
  <c r="E132" i="1" s="1"/>
  <c r="E133" i="1" a="1"/>
  <c r="E133" i="1" s="1"/>
  <c r="E134" i="1" a="1"/>
  <c r="E134" i="1" s="1"/>
  <c r="E135" i="1" a="1"/>
  <c r="E135" i="1" s="1"/>
  <c r="E136" i="1" a="1"/>
  <c r="E136" i="1" s="1"/>
  <c r="E137" i="1" a="1"/>
  <c r="E137" i="1" s="1"/>
  <c r="E138" i="1" a="1"/>
  <c r="E138" i="1" s="1"/>
  <c r="E139" i="1" a="1"/>
  <c r="E139" i="1" s="1"/>
  <c r="E140" i="1" a="1"/>
  <c r="E140" i="1" s="1"/>
  <c r="E141" i="1" a="1"/>
  <c r="E141" i="1" s="1"/>
  <c r="E142" i="1" a="1"/>
  <c r="E142" i="1" s="1"/>
  <c r="E143" i="1" a="1"/>
  <c r="E143" i="1" s="1"/>
  <c r="E144" i="1" a="1"/>
  <c r="E144" i="1" s="1"/>
  <c r="E145" i="1" a="1"/>
  <c r="E145" i="1" s="1"/>
  <c r="E146" i="1" a="1"/>
  <c r="E146" i="1" s="1"/>
  <c r="E147" i="1" a="1"/>
  <c r="E147" i="1" s="1"/>
  <c r="E148" i="1" a="1"/>
  <c r="E148" i="1" s="1"/>
  <c r="E149" i="1" a="1"/>
  <c r="E149" i="1" s="1"/>
  <c r="E150" i="1" a="1"/>
  <c r="E150" i="1" s="1"/>
  <c r="E151" i="1" a="1"/>
  <c r="E151" i="1" s="1"/>
  <c r="E152" i="1" a="1"/>
  <c r="E152" i="1" s="1"/>
  <c r="E153" i="1" a="1"/>
  <c r="E153" i="1" s="1"/>
  <c r="E154" i="1" a="1"/>
  <c r="E154" i="1" s="1"/>
  <c r="E155" i="1" a="1"/>
  <c r="E155" i="1" s="1"/>
  <c r="E156" i="1" a="1"/>
  <c r="E156" i="1" s="1"/>
  <c r="E157" i="1" a="1"/>
  <c r="E157" i="1" s="1"/>
  <c r="E158" i="1" a="1"/>
  <c r="E158" i="1" s="1"/>
  <c r="E159" i="1" a="1"/>
  <c r="E159" i="1" s="1"/>
  <c r="E160" i="1" a="1"/>
  <c r="E160" i="1" s="1"/>
  <c r="E161" i="1" a="1"/>
  <c r="E161" i="1" s="1"/>
  <c r="E162" i="1" a="1"/>
  <c r="E162" i="1" s="1"/>
  <c r="E163" i="1" a="1"/>
  <c r="E163" i="1" s="1"/>
  <c r="E164" i="1" a="1"/>
  <c r="E164" i="1" s="1"/>
  <c r="E165" i="1" a="1"/>
  <c r="E165" i="1" s="1"/>
  <c r="E166" i="1" a="1"/>
  <c r="E166" i="1" s="1"/>
  <c r="E167" i="1" a="1"/>
  <c r="E167" i="1" s="1"/>
  <c r="E168" i="1" a="1"/>
  <c r="E168" i="1" s="1"/>
  <c r="E169" i="1" a="1"/>
  <c r="E169" i="1" s="1"/>
  <c r="E170" i="1" a="1"/>
  <c r="E170" i="1" s="1"/>
  <c r="E171" i="1" a="1"/>
  <c r="E171" i="1" s="1"/>
  <c r="E172" i="1" a="1"/>
  <c r="E172" i="1" s="1"/>
  <c r="E173" i="1" a="1"/>
  <c r="E173" i="1" s="1"/>
  <c r="E174" i="1" a="1"/>
  <c r="E174" i="1" s="1"/>
  <c r="E175" i="1" a="1"/>
  <c r="E175" i="1" s="1"/>
  <c r="E176" i="1" a="1"/>
  <c r="E176" i="1" s="1"/>
  <c r="E177" i="1" a="1"/>
  <c r="E177" i="1" s="1"/>
  <c r="E178" i="1" a="1"/>
  <c r="E178" i="1" s="1"/>
  <c r="E179" i="1" a="1"/>
  <c r="E179" i="1" s="1"/>
  <c r="E180" i="1" a="1"/>
  <c r="E180" i="1" s="1"/>
  <c r="E181" i="1" a="1"/>
  <c r="E181" i="1" s="1"/>
  <c r="E182" i="1" a="1"/>
  <c r="E182" i="1" s="1"/>
  <c r="E183" i="1" a="1"/>
  <c r="E183" i="1" s="1"/>
  <c r="E184" i="1" a="1"/>
  <c r="E184" i="1" s="1"/>
  <c r="E185" i="1" a="1"/>
  <c r="E185" i="1" s="1"/>
  <c r="E186" i="1" a="1"/>
  <c r="E186" i="1" s="1"/>
  <c r="E187" i="1" a="1"/>
  <c r="E187" i="1" s="1"/>
  <c r="E188" i="1" a="1"/>
  <c r="E188" i="1" s="1"/>
  <c r="E189" i="1" a="1"/>
  <c r="E189" i="1" s="1"/>
  <c r="E190" i="1" a="1"/>
  <c r="E190" i="1" s="1"/>
  <c r="E191" i="1" a="1"/>
  <c r="E191" i="1" s="1"/>
  <c r="E192" i="1" a="1"/>
  <c r="E192" i="1" s="1"/>
  <c r="E193" i="1" a="1"/>
  <c r="E193" i="1" s="1"/>
  <c r="E194" i="1" a="1"/>
  <c r="E194" i="1" s="1"/>
  <c r="E195" i="1" a="1"/>
  <c r="E195" i="1" s="1"/>
  <c r="E196" i="1" a="1"/>
  <c r="E196" i="1" s="1"/>
  <c r="E197" i="1" a="1"/>
  <c r="E197" i="1" s="1"/>
  <c r="E198" i="1" a="1"/>
  <c r="E198" i="1" s="1"/>
  <c r="E199" i="1" a="1"/>
  <c r="E199" i="1" s="1"/>
  <c r="E200" i="1" a="1"/>
  <c r="E200" i="1" s="1"/>
  <c r="E201" i="1" a="1"/>
  <c r="E201" i="1" s="1"/>
  <c r="E202" i="1" a="1"/>
  <c r="E202" i="1" s="1"/>
  <c r="E203" i="1" a="1"/>
  <c r="E203" i="1" s="1"/>
  <c r="E204" i="1" a="1"/>
  <c r="E204" i="1" s="1"/>
  <c r="E205" i="1" a="1"/>
  <c r="E205" i="1" s="1"/>
  <c r="E206" i="1" a="1"/>
  <c r="E206" i="1" s="1"/>
  <c r="E207" i="1" a="1"/>
  <c r="E207" i="1" s="1"/>
  <c r="E208" i="1" a="1"/>
  <c r="E208" i="1" s="1"/>
  <c r="E209" i="1" a="1"/>
  <c r="E209" i="1" s="1"/>
  <c r="E210" i="1" a="1"/>
  <c r="E210" i="1" s="1"/>
  <c r="E211" i="1" a="1"/>
  <c r="E211" i="1" s="1"/>
  <c r="E212" i="1" a="1"/>
  <c r="E212" i="1" s="1"/>
  <c r="E213" i="1" a="1"/>
  <c r="E213" i="1" s="1"/>
  <c r="E214" i="1" a="1"/>
  <c r="E214" i="1" s="1"/>
  <c r="E215" i="1" a="1"/>
  <c r="E215" i="1" s="1"/>
  <c r="E216" i="1" a="1"/>
  <c r="E216" i="1" s="1"/>
  <c r="E217" i="1" a="1"/>
  <c r="E217" i="1" s="1"/>
  <c r="E218" i="1" a="1"/>
  <c r="E218" i="1" s="1"/>
  <c r="E219" i="1" a="1"/>
  <c r="E219" i="1" s="1"/>
  <c r="E220" i="1" a="1"/>
  <c r="E220" i="1" s="1"/>
  <c r="E221" i="1" a="1"/>
  <c r="E221" i="1" s="1"/>
  <c r="E222" i="1" a="1"/>
  <c r="E222" i="1" s="1"/>
  <c r="E223" i="1" a="1"/>
  <c r="E223" i="1" s="1"/>
  <c r="E224" i="1" a="1"/>
  <c r="E224" i="1" s="1"/>
  <c r="E225" i="1" a="1"/>
  <c r="E225" i="1" s="1"/>
  <c r="E226" i="1" a="1"/>
  <c r="E226" i="1" s="1"/>
  <c r="E227" i="1" a="1"/>
  <c r="E227" i="1" s="1"/>
  <c r="E228" i="1" a="1"/>
  <c r="E228" i="1" s="1"/>
  <c r="E229" i="1" a="1"/>
  <c r="E229" i="1" s="1"/>
  <c r="E230" i="1" a="1"/>
  <c r="E230" i="1" s="1"/>
  <c r="E231" i="1" a="1"/>
  <c r="E231" i="1" s="1"/>
  <c r="E232" i="1" a="1"/>
  <c r="E232" i="1" s="1"/>
  <c r="E233" i="1" a="1"/>
  <c r="E233" i="1" s="1"/>
  <c r="E234" i="1" a="1"/>
  <c r="E234" i="1" s="1"/>
  <c r="E235" i="1" a="1"/>
  <c r="E235" i="1" s="1"/>
  <c r="E236" i="1" a="1"/>
  <c r="E236" i="1" s="1"/>
  <c r="E237" i="1" a="1"/>
  <c r="E237" i="1" s="1"/>
  <c r="E238" i="1" a="1"/>
  <c r="E238" i="1" s="1"/>
  <c r="E239" i="1" a="1"/>
  <c r="E239" i="1" s="1"/>
  <c r="E240" i="1" a="1"/>
  <c r="E240" i="1" s="1"/>
  <c r="E241" i="1" a="1"/>
  <c r="E241" i="1" s="1"/>
  <c r="E242" i="1" a="1"/>
  <c r="E242" i="1" s="1"/>
  <c r="E243" i="1" a="1"/>
  <c r="E243" i="1" s="1"/>
  <c r="E244" i="1" a="1"/>
  <c r="E244" i="1" s="1"/>
  <c r="E245" i="1" a="1"/>
  <c r="E245" i="1" s="1"/>
  <c r="E246" i="1" a="1"/>
  <c r="E246" i="1" s="1"/>
  <c r="E247" i="1" a="1"/>
  <c r="E247" i="1" s="1"/>
  <c r="E248" i="1" a="1"/>
  <c r="E248" i="1" s="1"/>
  <c r="E249" i="1" a="1"/>
  <c r="E249" i="1" s="1"/>
  <c r="E250" i="1" a="1"/>
  <c r="E250" i="1" s="1"/>
  <c r="E251" i="1" a="1"/>
  <c r="E251" i="1" s="1"/>
  <c r="E252" i="1" a="1"/>
  <c r="E252" i="1" s="1"/>
  <c r="E253" i="1" a="1"/>
  <c r="E253" i="1" s="1"/>
  <c r="E254" i="1" a="1"/>
  <c r="E254" i="1" s="1"/>
  <c r="E255" i="1" a="1"/>
  <c r="E255" i="1" s="1"/>
  <c r="E256" i="1" a="1"/>
  <c r="E256" i="1" s="1"/>
  <c r="E257" i="1" a="1"/>
  <c r="E257" i="1" s="1"/>
  <c r="E258" i="1" a="1"/>
  <c r="E258" i="1" s="1"/>
  <c r="E259" i="1" a="1"/>
  <c r="E259" i="1" s="1"/>
  <c r="E260" i="1" a="1"/>
  <c r="E260" i="1" s="1"/>
  <c r="E261" i="1" a="1"/>
  <c r="E261" i="1" s="1"/>
  <c r="E262" i="1" a="1"/>
  <c r="E262" i="1" s="1"/>
  <c r="E263" i="1" a="1"/>
  <c r="E263" i="1" s="1"/>
  <c r="E264" i="1" a="1"/>
  <c r="E264" i="1" s="1"/>
  <c r="E265" i="1" a="1"/>
  <c r="E265" i="1" s="1"/>
  <c r="E266" i="1" a="1"/>
  <c r="E266" i="1" s="1"/>
  <c r="E267" i="1" a="1"/>
  <c r="E267" i="1" s="1"/>
  <c r="E268" i="1" a="1"/>
  <c r="E268" i="1" s="1"/>
  <c r="E269" i="1" a="1"/>
  <c r="E269" i="1" s="1"/>
  <c r="E270" i="1" a="1"/>
  <c r="E270" i="1" s="1"/>
  <c r="E271" i="1" a="1"/>
  <c r="E271" i="1" s="1"/>
  <c r="E272" i="1" a="1"/>
  <c r="E272" i="1" s="1"/>
  <c r="E273" i="1" a="1"/>
  <c r="E273" i="1" s="1"/>
  <c r="E274" i="1" a="1"/>
  <c r="E274" i="1" s="1"/>
  <c r="E275" i="1" a="1"/>
  <c r="E275" i="1" s="1"/>
  <c r="E276" i="1" a="1"/>
  <c r="E276" i="1" s="1"/>
  <c r="E277" i="1" a="1"/>
  <c r="E277" i="1" s="1"/>
  <c r="E278" i="1" a="1"/>
  <c r="E278" i="1" s="1"/>
  <c r="E279" i="1" a="1"/>
  <c r="E279" i="1" s="1"/>
  <c r="E280" i="1" a="1"/>
  <c r="E280" i="1" s="1"/>
  <c r="E281" i="1" a="1"/>
  <c r="E281" i="1" s="1"/>
  <c r="E282" i="1" a="1"/>
  <c r="E282" i="1" s="1"/>
  <c r="E283" i="1" a="1"/>
  <c r="E283" i="1" s="1"/>
  <c r="E284" i="1" a="1"/>
  <c r="E284" i="1" s="1"/>
  <c r="E285" i="1" a="1"/>
  <c r="E285" i="1" s="1"/>
  <c r="E286" i="1" a="1"/>
  <c r="E286" i="1" s="1"/>
  <c r="E287" i="1" a="1"/>
  <c r="E287" i="1" s="1"/>
  <c r="E288" i="1" a="1"/>
  <c r="E288" i="1" s="1"/>
  <c r="E289" i="1" a="1"/>
  <c r="E289" i="1" s="1"/>
  <c r="E290" i="1" a="1"/>
  <c r="E290" i="1" s="1"/>
  <c r="E291" i="1" a="1"/>
  <c r="E291" i="1" s="1"/>
  <c r="E292" i="1" a="1"/>
  <c r="E292" i="1" s="1"/>
  <c r="E293" i="1" a="1"/>
  <c r="E293" i="1" s="1"/>
  <c r="E294" i="1" a="1"/>
  <c r="E294" i="1" s="1"/>
  <c r="E295" i="1" a="1"/>
  <c r="E295" i="1" s="1"/>
  <c r="E296" i="1" a="1"/>
  <c r="E296" i="1" s="1"/>
  <c r="E297" i="1" a="1"/>
  <c r="E297" i="1" s="1"/>
  <c r="E298" i="1" a="1"/>
  <c r="E298" i="1" s="1"/>
  <c r="E299" i="1" a="1"/>
  <c r="E299" i="1" s="1"/>
  <c r="E300" i="1" a="1"/>
  <c r="E300" i="1" s="1"/>
  <c r="E301" i="1" a="1"/>
  <c r="E301" i="1" s="1"/>
  <c r="E302" i="1" a="1"/>
  <c r="E302" i="1" s="1"/>
  <c r="E303" i="1" a="1"/>
  <c r="E303" i="1" s="1"/>
  <c r="E304" i="1" a="1"/>
  <c r="E304" i="1" s="1"/>
  <c r="E305" i="1" a="1"/>
  <c r="E305" i="1" s="1"/>
  <c r="E306" i="1" a="1"/>
  <c r="E306" i="1" s="1"/>
  <c r="E307" i="1" a="1"/>
  <c r="E307" i="1" s="1"/>
  <c r="E308" i="1" a="1"/>
  <c r="E308" i="1" s="1"/>
  <c r="E309" i="1" a="1"/>
  <c r="E309" i="1" s="1"/>
  <c r="E310" i="1" a="1"/>
  <c r="E310" i="1" s="1"/>
  <c r="E311" i="1" a="1"/>
  <c r="E311" i="1" s="1"/>
  <c r="E312" i="1" a="1"/>
  <c r="E312" i="1" s="1"/>
  <c r="E313" i="1" a="1"/>
  <c r="E313" i="1" s="1"/>
  <c r="E314" i="1" a="1"/>
  <c r="E314" i="1" s="1"/>
  <c r="E315" i="1" a="1"/>
  <c r="E315" i="1" s="1"/>
  <c r="E316" i="1" a="1"/>
  <c r="E316" i="1" s="1"/>
  <c r="E317" i="1" a="1"/>
  <c r="E317" i="1" s="1"/>
  <c r="E318" i="1" a="1"/>
  <c r="E318" i="1" s="1"/>
  <c r="E319" i="1" a="1"/>
  <c r="E319" i="1" s="1"/>
  <c r="E320" i="1" a="1"/>
  <c r="E320" i="1" s="1"/>
  <c r="E321" i="1" a="1"/>
  <c r="E321" i="1" s="1"/>
  <c r="E322" i="1" a="1"/>
  <c r="E322" i="1" s="1"/>
  <c r="E323" i="1" a="1"/>
  <c r="E323" i="1" s="1"/>
  <c r="E324" i="1" a="1"/>
  <c r="E324" i="1" s="1"/>
  <c r="E325" i="1" a="1"/>
  <c r="E325" i="1" s="1"/>
  <c r="E326" i="1" a="1"/>
  <c r="E326" i="1" s="1"/>
  <c r="E327" i="1" a="1"/>
  <c r="E327" i="1" s="1"/>
  <c r="E328" i="1" a="1"/>
  <c r="E328" i="1" s="1"/>
  <c r="E329" i="1" a="1"/>
  <c r="E329" i="1" s="1"/>
  <c r="E330" i="1" a="1"/>
  <c r="E330" i="1" s="1"/>
  <c r="E331" i="1" a="1"/>
  <c r="E331" i="1" s="1"/>
  <c r="E332" i="1" a="1"/>
  <c r="E332" i="1" s="1"/>
  <c r="E333" i="1" a="1"/>
  <c r="E333" i="1" s="1"/>
  <c r="E334" i="1" a="1"/>
  <c r="E334" i="1" s="1"/>
  <c r="E335" i="1" a="1"/>
  <c r="E335" i="1" s="1"/>
  <c r="E336" i="1" a="1"/>
  <c r="E336" i="1" s="1"/>
  <c r="E337" i="1" a="1"/>
  <c r="E337" i="1" s="1"/>
  <c r="E338" i="1" a="1"/>
  <c r="E338" i="1" s="1"/>
  <c r="E339" i="1" a="1"/>
  <c r="E339" i="1" s="1"/>
  <c r="E340" i="1" a="1"/>
  <c r="E340" i="1" s="1"/>
  <c r="E341" i="1" a="1"/>
  <c r="E341" i="1" s="1"/>
  <c r="E342" i="1" a="1"/>
  <c r="E342" i="1" s="1"/>
  <c r="E343" i="1" a="1"/>
  <c r="E343" i="1" s="1"/>
  <c r="E344" i="1" a="1"/>
  <c r="E344" i="1" s="1"/>
  <c r="E345" i="1" a="1"/>
  <c r="E345" i="1" s="1"/>
  <c r="E346" i="1" a="1"/>
  <c r="E346" i="1" s="1"/>
  <c r="E347" i="1" a="1"/>
  <c r="E347" i="1" s="1"/>
  <c r="E348" i="1" a="1"/>
  <c r="E348" i="1" s="1"/>
  <c r="E349" i="1" a="1"/>
  <c r="E349" i="1" s="1"/>
  <c r="E350" i="1" a="1"/>
  <c r="E350" i="1" s="1"/>
  <c r="E351" i="1" a="1"/>
  <c r="E351" i="1" s="1"/>
  <c r="E352" i="1" a="1"/>
  <c r="E352" i="1" s="1"/>
  <c r="E353" i="1" a="1"/>
  <c r="E353" i="1" s="1"/>
  <c r="E354" i="1" a="1"/>
  <c r="E354" i="1" s="1"/>
  <c r="E355" i="1" a="1"/>
  <c r="E355" i="1" s="1"/>
  <c r="E356" i="1" a="1"/>
  <c r="E356" i="1" s="1"/>
  <c r="E357" i="1" a="1"/>
  <c r="E357" i="1" s="1"/>
  <c r="E358" i="1" a="1"/>
  <c r="E358" i="1" s="1"/>
  <c r="E359" i="1" a="1"/>
  <c r="E359" i="1" s="1"/>
  <c r="E360" i="1" a="1"/>
  <c r="E360" i="1" s="1"/>
  <c r="E361" i="1" a="1"/>
  <c r="E361" i="1" s="1"/>
  <c r="E362" i="1" a="1"/>
  <c r="E362" i="1" s="1"/>
  <c r="E363" i="1" a="1"/>
  <c r="E363" i="1" s="1"/>
  <c r="E364" i="1" a="1"/>
  <c r="E364" i="1" s="1"/>
  <c r="E365" i="1" a="1"/>
  <c r="E365" i="1" s="1"/>
  <c r="E366" i="1" a="1"/>
  <c r="E366" i="1" s="1"/>
  <c r="E367" i="1" a="1"/>
  <c r="E367" i="1" s="1"/>
  <c r="E368" i="1" a="1"/>
  <c r="E368" i="1" s="1"/>
  <c r="E369" i="1" a="1"/>
  <c r="E369" i="1" s="1"/>
  <c r="E370" i="1" a="1"/>
  <c r="E370" i="1" s="1"/>
  <c r="E371" i="1" a="1"/>
  <c r="E371" i="1" s="1"/>
  <c r="E372" i="1" a="1"/>
  <c r="E372" i="1" s="1"/>
  <c r="E373" i="1" a="1"/>
  <c r="E373" i="1" s="1"/>
  <c r="E374" i="1" a="1"/>
  <c r="E374" i="1" s="1"/>
  <c r="E375" i="1" a="1"/>
  <c r="E375" i="1" s="1"/>
  <c r="E376" i="1" a="1"/>
  <c r="E376" i="1" s="1"/>
  <c r="E377" i="1" a="1"/>
  <c r="E377" i="1" s="1"/>
  <c r="E378" i="1" a="1"/>
  <c r="E378" i="1" s="1"/>
  <c r="E379" i="1" a="1"/>
  <c r="E379" i="1" s="1"/>
  <c r="E380" i="1" a="1"/>
  <c r="E380" i="1" s="1"/>
  <c r="E381" i="1" a="1"/>
  <c r="E381" i="1" s="1"/>
  <c r="E382" i="1" a="1"/>
  <c r="E382" i="1" s="1"/>
  <c r="E383" i="1" a="1"/>
  <c r="E383" i="1" s="1"/>
  <c r="E384" i="1" a="1"/>
  <c r="E384" i="1" s="1"/>
  <c r="E385" i="1" a="1"/>
  <c r="E385" i="1" s="1"/>
  <c r="E386" i="1" a="1"/>
  <c r="E386" i="1" s="1"/>
  <c r="E387" i="1" a="1"/>
  <c r="E387" i="1" s="1"/>
  <c r="E388" i="1" a="1"/>
  <c r="E388" i="1" s="1"/>
  <c r="E389" i="1" a="1"/>
  <c r="E389" i="1" s="1"/>
  <c r="E390" i="1" a="1"/>
  <c r="E390" i="1" s="1"/>
  <c r="E391" i="1" a="1"/>
  <c r="E391" i="1" s="1"/>
  <c r="E392" i="1" a="1"/>
  <c r="E392" i="1" s="1"/>
  <c r="E393" i="1" a="1"/>
  <c r="E393" i="1" s="1"/>
  <c r="E394" i="1" a="1"/>
  <c r="E394" i="1" s="1"/>
  <c r="E395" i="1" a="1"/>
  <c r="E395" i="1" s="1"/>
  <c r="E396" i="1" a="1"/>
  <c r="E396" i="1" s="1"/>
  <c r="E397" i="1" a="1"/>
  <c r="E397" i="1" s="1"/>
  <c r="E398" i="1" a="1"/>
  <c r="E398" i="1" s="1"/>
  <c r="E399" i="1" a="1"/>
  <c r="E399" i="1" s="1"/>
  <c r="E400" i="1" a="1"/>
  <c r="E400" i="1" s="1"/>
  <c r="E401" i="1" a="1"/>
  <c r="E401" i="1" s="1"/>
  <c r="E402" i="1" a="1"/>
  <c r="E402" i="1" s="1"/>
  <c r="E403" i="1" a="1"/>
  <c r="E403" i="1" s="1"/>
  <c r="E404" i="1" a="1"/>
  <c r="E404" i="1" s="1"/>
  <c r="E405" i="1" a="1"/>
  <c r="E405" i="1" s="1"/>
  <c r="E406" i="1" a="1"/>
  <c r="E406" i="1" s="1"/>
  <c r="E407" i="1" a="1"/>
  <c r="E407" i="1" s="1"/>
  <c r="E408" i="1" a="1"/>
  <c r="E408" i="1" s="1"/>
  <c r="E409" i="1" a="1"/>
  <c r="E409" i="1" s="1"/>
  <c r="E410" i="1" a="1"/>
  <c r="E410" i="1" s="1"/>
  <c r="E411" i="1" a="1"/>
  <c r="E411" i="1" s="1"/>
  <c r="E412" i="1" a="1"/>
  <c r="E412" i="1" s="1"/>
  <c r="E413" i="1" a="1"/>
  <c r="E413" i="1" s="1"/>
  <c r="E414" i="1" a="1"/>
  <c r="E414" i="1" s="1"/>
  <c r="E415" i="1" a="1"/>
  <c r="E415" i="1" s="1"/>
  <c r="E416" i="1" a="1"/>
  <c r="E416" i="1" s="1"/>
  <c r="E417" i="1" a="1"/>
  <c r="E417" i="1" s="1"/>
  <c r="E418" i="1" a="1"/>
  <c r="E418" i="1" s="1"/>
  <c r="E419" i="1" a="1"/>
  <c r="E419" i="1" s="1"/>
  <c r="E420" i="1" a="1"/>
  <c r="E420" i="1" s="1"/>
  <c r="E421" i="1" a="1"/>
  <c r="E421" i="1" s="1"/>
  <c r="E422" i="1" a="1"/>
  <c r="E422" i="1" s="1"/>
  <c r="E423" i="1" a="1"/>
  <c r="E423" i="1" s="1"/>
  <c r="E424" i="1" a="1"/>
  <c r="E424" i="1" s="1"/>
  <c r="E425" i="1" a="1"/>
  <c r="E425" i="1" s="1"/>
  <c r="E426" i="1" a="1"/>
  <c r="E426" i="1" s="1"/>
  <c r="E427" i="1" a="1"/>
  <c r="E427" i="1" s="1"/>
  <c r="E428" i="1" a="1"/>
  <c r="E428" i="1" s="1"/>
  <c r="E429" i="1" a="1"/>
  <c r="E429" i="1" s="1"/>
  <c r="E430" i="1" a="1"/>
  <c r="E430" i="1" s="1"/>
  <c r="E431" i="1" a="1"/>
  <c r="E431" i="1" s="1"/>
  <c r="E432" i="1" a="1"/>
  <c r="E432" i="1" s="1"/>
  <c r="E433" i="1" a="1"/>
  <c r="E433" i="1" s="1"/>
  <c r="E434" i="1" a="1"/>
  <c r="E434" i="1" s="1"/>
  <c r="E435" i="1" a="1"/>
  <c r="E435" i="1" s="1"/>
  <c r="E436" i="1" a="1"/>
  <c r="E436" i="1" s="1"/>
  <c r="E437" i="1" a="1"/>
  <c r="E437" i="1" s="1"/>
  <c r="E438" i="1" a="1"/>
  <c r="E438" i="1" s="1"/>
  <c r="E439" i="1" a="1"/>
  <c r="E439" i="1" s="1"/>
  <c r="E440" i="1" a="1"/>
  <c r="E440" i="1" s="1"/>
  <c r="E441" i="1" a="1"/>
  <c r="E441" i="1" s="1"/>
  <c r="E442" i="1" a="1"/>
  <c r="E442" i="1" s="1"/>
  <c r="E443" i="1" a="1"/>
  <c r="E443" i="1" s="1"/>
  <c r="E444" i="1" a="1"/>
  <c r="E444" i="1" s="1"/>
  <c r="E445" i="1" a="1"/>
  <c r="E445" i="1" s="1"/>
  <c r="E446" i="1" a="1"/>
  <c r="E446" i="1" s="1"/>
  <c r="E447" i="1" a="1"/>
  <c r="E447" i="1" s="1"/>
  <c r="E448" i="1" a="1"/>
  <c r="E448" i="1" s="1"/>
  <c r="E449" i="1" a="1"/>
  <c r="E449" i="1" s="1"/>
  <c r="E450" i="1" a="1"/>
  <c r="E450" i="1" s="1"/>
  <c r="E451" i="1" a="1"/>
  <c r="E451" i="1" s="1"/>
  <c r="E452" i="1" a="1"/>
  <c r="E452" i="1" s="1"/>
  <c r="E453" i="1" a="1"/>
  <c r="E453" i="1" s="1"/>
  <c r="E454" i="1" a="1"/>
  <c r="E454" i="1" s="1"/>
  <c r="E455" i="1" a="1"/>
  <c r="E455" i="1" s="1"/>
  <c r="E456" i="1" a="1"/>
  <c r="E456" i="1" s="1"/>
  <c r="E457" i="1" a="1"/>
  <c r="E457" i="1" s="1"/>
  <c r="E458" i="1" a="1"/>
  <c r="E458" i="1" s="1"/>
  <c r="E459" i="1" a="1"/>
  <c r="E459" i="1" s="1"/>
  <c r="E460" i="1" a="1"/>
  <c r="E460" i="1" s="1"/>
  <c r="E461" i="1" a="1"/>
  <c r="E461" i="1" s="1"/>
  <c r="E462" i="1" a="1"/>
  <c r="E462" i="1" s="1"/>
  <c r="E463" i="1" a="1"/>
  <c r="E463" i="1" s="1"/>
  <c r="E464" i="1" a="1"/>
  <c r="E464" i="1" s="1"/>
  <c r="E465" i="1" a="1"/>
  <c r="E465" i="1" s="1"/>
  <c r="E466" i="1" a="1"/>
  <c r="E466" i="1" s="1"/>
  <c r="E467" i="1" a="1"/>
  <c r="E467" i="1" s="1"/>
  <c r="E468" i="1" a="1"/>
  <c r="E468" i="1" s="1"/>
  <c r="E469" i="1" a="1"/>
  <c r="E469" i="1" s="1"/>
  <c r="E470" i="1" a="1"/>
  <c r="E470" i="1" s="1"/>
  <c r="E471" i="1" a="1"/>
  <c r="E471" i="1" s="1"/>
  <c r="E472" i="1" a="1"/>
  <c r="E472" i="1" s="1"/>
  <c r="E473" i="1" a="1"/>
  <c r="E473" i="1" s="1"/>
  <c r="E474" i="1" a="1"/>
  <c r="E474" i="1" s="1"/>
  <c r="E475" i="1" a="1"/>
  <c r="E475" i="1" s="1"/>
  <c r="E476" i="1" a="1"/>
  <c r="E476" i="1" s="1"/>
  <c r="E477" i="1" a="1"/>
  <c r="E477" i="1" s="1"/>
  <c r="E478" i="1" a="1"/>
  <c r="E478" i="1" s="1"/>
  <c r="E479" i="1" a="1"/>
  <c r="E479" i="1" s="1"/>
  <c r="E480" i="1" a="1"/>
  <c r="E480" i="1" s="1"/>
  <c r="E481" i="1" a="1"/>
  <c r="E481" i="1" s="1"/>
  <c r="E482" i="1" a="1"/>
  <c r="E482" i="1" s="1"/>
  <c r="E483" i="1" a="1"/>
  <c r="E483" i="1" s="1"/>
  <c r="E484" i="1" a="1"/>
  <c r="E484" i="1" s="1"/>
  <c r="E485" i="1" a="1"/>
  <c r="E485" i="1" s="1"/>
  <c r="E486" i="1" a="1"/>
  <c r="E486" i="1" s="1"/>
  <c r="E487" i="1" a="1"/>
  <c r="E487" i="1" s="1"/>
  <c r="E488" i="1" a="1"/>
  <c r="E488" i="1" s="1"/>
  <c r="E489" i="1" a="1"/>
  <c r="E489" i="1" s="1"/>
  <c r="E490" i="1" a="1"/>
  <c r="E490" i="1" s="1"/>
  <c r="E491" i="1" a="1"/>
  <c r="E491" i="1" s="1"/>
  <c r="E492" i="1" a="1"/>
  <c r="E492" i="1" s="1"/>
  <c r="E493" i="1" a="1"/>
  <c r="E493" i="1" s="1"/>
  <c r="E494" i="1" a="1"/>
  <c r="E494" i="1" s="1"/>
  <c r="E495" i="1" a="1"/>
  <c r="E495" i="1" s="1"/>
  <c r="E496" i="1" a="1"/>
  <c r="E496" i="1" s="1"/>
  <c r="E497" i="1" a="1"/>
  <c r="E497" i="1" s="1"/>
  <c r="E498" i="1" a="1"/>
  <c r="E498" i="1" s="1"/>
  <c r="E499" i="1" a="1"/>
  <c r="E499" i="1" s="1"/>
  <c r="E500" i="1" a="1"/>
  <c r="E500" i="1" s="1"/>
  <c r="D2" i="1" a="1"/>
  <c r="D2" i="1" s="1"/>
  <c r="R2" i="1" s="1"/>
  <c r="D3" i="1" a="1"/>
  <c r="D3" i="1" s="1"/>
  <c r="R3" i="1" s="1"/>
  <c r="D4" i="1" a="1"/>
  <c r="D4" i="1" s="1"/>
  <c r="R4" i="1" s="1"/>
  <c r="D5" i="1" a="1"/>
  <c r="D5" i="1" s="1"/>
  <c r="R5" i="1" s="1"/>
  <c r="D6" i="1" a="1"/>
  <c r="D6" i="1" s="1"/>
  <c r="R6" i="1" s="1"/>
  <c r="D7" i="1" a="1"/>
  <c r="D7" i="1" s="1"/>
  <c r="R7" i="1" s="1"/>
  <c r="D8" i="1" a="1"/>
  <c r="D8" i="1" s="1"/>
  <c r="R8" i="1" s="1"/>
  <c r="D9" i="1" a="1"/>
  <c r="D9" i="1" s="1"/>
  <c r="R9" i="1" s="1"/>
  <c r="D10" i="1" a="1"/>
  <c r="D10" i="1" s="1"/>
  <c r="R10" i="1" s="1"/>
  <c r="D11" i="1" a="1"/>
  <c r="D11" i="1" s="1"/>
  <c r="R11" i="1" s="1"/>
  <c r="D12" i="1" a="1"/>
  <c r="D12" i="1" s="1"/>
  <c r="R12" i="1" s="1"/>
  <c r="D13" i="1" a="1"/>
  <c r="D13" i="1" s="1"/>
  <c r="R13" i="1" s="1"/>
  <c r="D14" i="1" a="1"/>
  <c r="D14" i="1" s="1"/>
  <c r="R14" i="1" s="1"/>
  <c r="D15" i="1" a="1"/>
  <c r="D15" i="1" s="1"/>
  <c r="R15" i="1" s="1"/>
  <c r="D16" i="1" a="1"/>
  <c r="D16" i="1" s="1"/>
  <c r="R16" i="1" s="1"/>
  <c r="D17" i="1" a="1"/>
  <c r="D17" i="1" s="1"/>
  <c r="R17" i="1" s="1"/>
  <c r="D18" i="1" a="1"/>
  <c r="D18" i="1" s="1"/>
  <c r="R18" i="1" s="1"/>
  <c r="D19" i="1" a="1"/>
  <c r="D19" i="1" s="1"/>
  <c r="R19" i="1" s="1"/>
  <c r="D20" i="1" a="1"/>
  <c r="D20" i="1" s="1"/>
  <c r="R20" i="1" s="1"/>
  <c r="D21" i="1" a="1"/>
  <c r="D21" i="1" s="1"/>
  <c r="R21" i="1" s="1"/>
  <c r="D22" i="1" a="1"/>
  <c r="D22" i="1" s="1"/>
  <c r="R22" i="1" s="1"/>
  <c r="D23" i="1" a="1"/>
  <c r="D23" i="1" s="1"/>
  <c r="R23" i="1" s="1"/>
  <c r="D24" i="1" a="1"/>
  <c r="D24" i="1" s="1"/>
  <c r="R24" i="1" s="1"/>
  <c r="D25" i="1" a="1"/>
  <c r="D25" i="1" s="1"/>
  <c r="R25" i="1" s="1"/>
  <c r="D26" i="1" a="1"/>
  <c r="D26" i="1" s="1"/>
  <c r="R26" i="1" s="1"/>
  <c r="D27" i="1" a="1"/>
  <c r="D27" i="1" s="1"/>
  <c r="R27" i="1" s="1"/>
  <c r="D28" i="1" a="1"/>
  <c r="D28" i="1" s="1"/>
  <c r="R28" i="1" s="1"/>
  <c r="D29" i="1" a="1"/>
  <c r="D29" i="1" s="1"/>
  <c r="R29" i="1" s="1"/>
  <c r="D30" i="1" a="1"/>
  <c r="D30" i="1" s="1"/>
  <c r="R30" i="1" s="1"/>
  <c r="D31" i="1" a="1"/>
  <c r="D31" i="1" s="1"/>
  <c r="R31" i="1" s="1"/>
  <c r="D32" i="1" a="1"/>
  <c r="D32" i="1" s="1"/>
  <c r="R32" i="1" s="1"/>
  <c r="D33" i="1" a="1"/>
  <c r="D33" i="1" s="1"/>
  <c r="R33" i="1" s="1"/>
  <c r="D34" i="1" a="1"/>
  <c r="D34" i="1" s="1"/>
  <c r="R34" i="1" s="1"/>
  <c r="D35" i="1" a="1"/>
  <c r="D35" i="1" s="1"/>
  <c r="R35" i="1" s="1"/>
  <c r="D36" i="1" a="1"/>
  <c r="D36" i="1" s="1"/>
  <c r="R36" i="1" s="1"/>
  <c r="D37" i="1" a="1"/>
  <c r="D37" i="1" s="1"/>
  <c r="R37" i="1" s="1"/>
  <c r="D38" i="1" a="1"/>
  <c r="D38" i="1" s="1"/>
  <c r="R38" i="1" s="1"/>
  <c r="D39" i="1" a="1"/>
  <c r="D39" i="1" s="1"/>
  <c r="R39" i="1" s="1"/>
  <c r="D40" i="1" a="1"/>
  <c r="D40" i="1" s="1"/>
  <c r="R40" i="1" s="1"/>
  <c r="D41" i="1" a="1"/>
  <c r="D41" i="1" s="1"/>
  <c r="R41" i="1" s="1"/>
  <c r="D42" i="1" a="1"/>
  <c r="D42" i="1" s="1"/>
  <c r="R42" i="1" s="1"/>
  <c r="D43" i="1" a="1"/>
  <c r="D43" i="1" s="1"/>
  <c r="R43" i="1" s="1"/>
  <c r="D44" i="1" a="1"/>
  <c r="D44" i="1" s="1"/>
  <c r="R44" i="1" s="1"/>
  <c r="D45" i="1" a="1"/>
  <c r="D45" i="1" s="1"/>
  <c r="R45" i="1" s="1"/>
  <c r="D46" i="1" a="1"/>
  <c r="D46" i="1" s="1"/>
  <c r="R46" i="1" s="1"/>
  <c r="D47" i="1" a="1"/>
  <c r="D47" i="1" s="1"/>
  <c r="R47" i="1" s="1"/>
  <c r="D48" i="1" a="1"/>
  <c r="D48" i="1" s="1"/>
  <c r="R48" i="1" s="1"/>
  <c r="D49" i="1" a="1"/>
  <c r="D49" i="1" s="1"/>
  <c r="R49" i="1" s="1"/>
  <c r="D50" i="1" a="1"/>
  <c r="D50" i="1" s="1"/>
  <c r="R50" i="1" s="1"/>
  <c r="D51" i="1" a="1"/>
  <c r="D51" i="1" s="1"/>
  <c r="R51" i="1" s="1"/>
  <c r="D52" i="1" a="1"/>
  <c r="D52" i="1" s="1"/>
  <c r="R52" i="1" s="1"/>
  <c r="D53" i="1" a="1"/>
  <c r="D53" i="1" s="1"/>
  <c r="R53" i="1" s="1"/>
  <c r="D54" i="1" a="1"/>
  <c r="D54" i="1" s="1"/>
  <c r="R54" i="1" s="1"/>
  <c r="D55" i="1" a="1"/>
  <c r="D55" i="1" s="1"/>
  <c r="R55" i="1" s="1"/>
  <c r="D56" i="1" a="1"/>
  <c r="D56" i="1" s="1"/>
  <c r="R56" i="1" s="1"/>
  <c r="D57" i="1" a="1"/>
  <c r="D57" i="1" s="1"/>
  <c r="R57" i="1" s="1"/>
  <c r="D58" i="1" a="1"/>
  <c r="D58" i="1" s="1"/>
  <c r="R58" i="1" s="1"/>
  <c r="D59" i="1" a="1"/>
  <c r="D59" i="1" s="1"/>
  <c r="R59" i="1" s="1"/>
  <c r="D60" i="1" a="1"/>
  <c r="D60" i="1" s="1"/>
  <c r="R60" i="1" s="1"/>
  <c r="D61" i="1" a="1"/>
  <c r="D61" i="1" s="1"/>
  <c r="R61" i="1" s="1"/>
  <c r="D62" i="1" a="1"/>
  <c r="D62" i="1" s="1"/>
  <c r="R62" i="1" s="1"/>
  <c r="D63" i="1" a="1"/>
  <c r="D63" i="1" s="1"/>
  <c r="R63" i="1" s="1"/>
  <c r="D64" i="1" a="1"/>
  <c r="D64" i="1" s="1"/>
  <c r="R64" i="1" s="1"/>
  <c r="D65" i="1" a="1"/>
  <c r="D65" i="1" s="1"/>
  <c r="R65" i="1" s="1"/>
  <c r="D66" i="1" a="1"/>
  <c r="D66" i="1" s="1"/>
  <c r="R66" i="1" s="1"/>
  <c r="D67" i="1" a="1"/>
  <c r="D67" i="1" s="1"/>
  <c r="R67" i="1" s="1"/>
  <c r="D68" i="1" a="1"/>
  <c r="D68" i="1" s="1"/>
  <c r="R68" i="1" s="1"/>
  <c r="D69" i="1" a="1"/>
  <c r="D69" i="1" s="1"/>
  <c r="R69" i="1" s="1"/>
  <c r="D70" i="1" a="1"/>
  <c r="D70" i="1" s="1"/>
  <c r="R70" i="1" s="1"/>
  <c r="D71" i="1" a="1"/>
  <c r="D71" i="1" s="1"/>
  <c r="R71" i="1" s="1"/>
  <c r="D72" i="1" a="1"/>
  <c r="D72" i="1" s="1"/>
  <c r="R72" i="1" s="1"/>
  <c r="D73" i="1" a="1"/>
  <c r="D73" i="1" s="1"/>
  <c r="R73" i="1" s="1"/>
  <c r="D74" i="1" a="1"/>
  <c r="D74" i="1" s="1"/>
  <c r="R74" i="1" s="1"/>
  <c r="D75" i="1" a="1"/>
  <c r="D75" i="1" s="1"/>
  <c r="R75" i="1" s="1"/>
  <c r="D76" i="1" a="1"/>
  <c r="D76" i="1" s="1"/>
  <c r="R76" i="1" s="1"/>
  <c r="D77" i="1" a="1"/>
  <c r="D77" i="1" s="1"/>
  <c r="R77" i="1" s="1"/>
  <c r="D78" i="1" a="1"/>
  <c r="D78" i="1" s="1"/>
  <c r="R78" i="1" s="1"/>
  <c r="D79" i="1" a="1"/>
  <c r="D79" i="1" s="1"/>
  <c r="R79" i="1" s="1"/>
  <c r="D80" i="1" a="1"/>
  <c r="D80" i="1" s="1"/>
  <c r="R80" i="1" s="1"/>
  <c r="D81" i="1" a="1"/>
  <c r="D81" i="1" s="1"/>
  <c r="R81" i="1" s="1"/>
  <c r="D82" i="1" a="1"/>
  <c r="D82" i="1" s="1"/>
  <c r="R82" i="1" s="1"/>
  <c r="D83" i="1" a="1"/>
  <c r="D83" i="1" s="1"/>
  <c r="R83" i="1" s="1"/>
  <c r="D84" i="1" a="1"/>
  <c r="D84" i="1" s="1"/>
  <c r="R84" i="1" s="1"/>
  <c r="D85" i="1" a="1"/>
  <c r="D85" i="1" s="1"/>
  <c r="R85" i="1" s="1"/>
  <c r="D86" i="1" a="1"/>
  <c r="D86" i="1" s="1"/>
  <c r="R86" i="1" s="1"/>
  <c r="D87" i="1" a="1"/>
  <c r="D87" i="1" s="1"/>
  <c r="R87" i="1" s="1"/>
  <c r="D88" i="1" a="1"/>
  <c r="D88" i="1" s="1"/>
  <c r="R88" i="1" s="1"/>
  <c r="D89" i="1" a="1"/>
  <c r="D89" i="1" s="1"/>
  <c r="R89" i="1" s="1"/>
  <c r="D90" i="1" a="1"/>
  <c r="D90" i="1" s="1"/>
  <c r="R90" i="1" s="1"/>
  <c r="D91" i="1" a="1"/>
  <c r="D91" i="1" s="1"/>
  <c r="R91" i="1" s="1"/>
  <c r="D92" i="1" a="1"/>
  <c r="D92" i="1" s="1"/>
  <c r="R92" i="1" s="1"/>
  <c r="D93" i="1" a="1"/>
  <c r="D93" i="1" s="1"/>
  <c r="R93" i="1" s="1"/>
  <c r="D94" i="1" a="1"/>
  <c r="D94" i="1" s="1"/>
  <c r="R94" i="1" s="1"/>
  <c r="D95" i="1" a="1"/>
  <c r="D95" i="1" s="1"/>
  <c r="R95" i="1" s="1"/>
  <c r="D96" i="1" a="1"/>
  <c r="D96" i="1" s="1"/>
  <c r="R96" i="1" s="1"/>
  <c r="D97" i="1" a="1"/>
  <c r="D97" i="1" s="1"/>
  <c r="R97" i="1" s="1"/>
  <c r="D98" i="1" a="1"/>
  <c r="D98" i="1" s="1"/>
  <c r="R98" i="1" s="1"/>
  <c r="D99" i="1" a="1"/>
  <c r="D99" i="1" s="1"/>
  <c r="R99" i="1" s="1"/>
  <c r="D100" i="1" a="1"/>
  <c r="D100" i="1" s="1"/>
  <c r="R100" i="1" s="1"/>
  <c r="D101" i="1" a="1"/>
  <c r="D101" i="1" s="1"/>
  <c r="R101" i="1" s="1"/>
  <c r="D102" i="1" a="1"/>
  <c r="D102" i="1" s="1"/>
  <c r="R102" i="1" s="1"/>
  <c r="D103" i="1" a="1"/>
  <c r="D103" i="1" s="1"/>
  <c r="R103" i="1" s="1"/>
  <c r="D104" i="1" a="1"/>
  <c r="D104" i="1" s="1"/>
  <c r="R104" i="1" s="1"/>
  <c r="D105" i="1" a="1"/>
  <c r="D105" i="1" s="1"/>
  <c r="R105" i="1" s="1"/>
  <c r="D106" i="1" a="1"/>
  <c r="D106" i="1" s="1"/>
  <c r="R106" i="1" s="1"/>
  <c r="D107" i="1" a="1"/>
  <c r="D107" i="1" s="1"/>
  <c r="R107" i="1" s="1"/>
  <c r="D108" i="1" a="1"/>
  <c r="D108" i="1" s="1"/>
  <c r="R108" i="1" s="1"/>
  <c r="D109" i="1" a="1"/>
  <c r="D109" i="1" s="1"/>
  <c r="R109" i="1" s="1"/>
  <c r="D110" i="1" a="1"/>
  <c r="D110" i="1" s="1"/>
  <c r="R110" i="1" s="1"/>
  <c r="D111" i="1" a="1"/>
  <c r="D111" i="1" s="1"/>
  <c r="R111" i="1" s="1"/>
  <c r="D112" i="1" a="1"/>
  <c r="D112" i="1" s="1"/>
  <c r="R112" i="1" s="1"/>
  <c r="D113" i="1" a="1"/>
  <c r="D113" i="1" s="1"/>
  <c r="R113" i="1" s="1"/>
  <c r="D114" i="1" a="1"/>
  <c r="D114" i="1" s="1"/>
  <c r="R114" i="1" s="1"/>
  <c r="D115" i="1" a="1"/>
  <c r="D115" i="1" s="1"/>
  <c r="R115" i="1" s="1"/>
  <c r="D116" i="1" a="1"/>
  <c r="D116" i="1" s="1"/>
  <c r="R116" i="1" s="1"/>
  <c r="D117" i="1" a="1"/>
  <c r="D117" i="1" s="1"/>
  <c r="R117" i="1" s="1"/>
  <c r="D118" i="1" a="1"/>
  <c r="D118" i="1" s="1"/>
  <c r="R118" i="1" s="1"/>
  <c r="D119" i="1" a="1"/>
  <c r="D119" i="1" s="1"/>
  <c r="R119" i="1" s="1"/>
  <c r="D120" i="1" a="1"/>
  <c r="D120" i="1" s="1"/>
  <c r="R120" i="1" s="1"/>
  <c r="D121" i="1" a="1"/>
  <c r="D121" i="1" s="1"/>
  <c r="R121" i="1" s="1"/>
  <c r="D122" i="1" a="1"/>
  <c r="D122" i="1" s="1"/>
  <c r="R122" i="1" s="1"/>
  <c r="D123" i="1" a="1"/>
  <c r="D123" i="1" s="1"/>
  <c r="R123" i="1" s="1"/>
  <c r="D124" i="1" a="1"/>
  <c r="D124" i="1" s="1"/>
  <c r="R124" i="1" s="1"/>
  <c r="D125" i="1" a="1"/>
  <c r="D125" i="1" s="1"/>
  <c r="R125" i="1" s="1"/>
  <c r="D126" i="1" a="1"/>
  <c r="D126" i="1" s="1"/>
  <c r="R126" i="1" s="1"/>
  <c r="D127" i="1" a="1"/>
  <c r="D127" i="1" s="1"/>
  <c r="R127" i="1" s="1"/>
  <c r="D128" i="1" a="1"/>
  <c r="D128" i="1" s="1"/>
  <c r="R128" i="1" s="1"/>
  <c r="D129" i="1" a="1"/>
  <c r="D129" i="1" s="1"/>
  <c r="R129" i="1" s="1"/>
  <c r="D130" i="1" a="1"/>
  <c r="D130" i="1" s="1"/>
  <c r="R130" i="1" s="1"/>
  <c r="D131" i="1" a="1"/>
  <c r="D131" i="1" s="1"/>
  <c r="R131" i="1" s="1"/>
  <c r="D132" i="1" a="1"/>
  <c r="D132" i="1" s="1"/>
  <c r="R132" i="1" s="1"/>
  <c r="D133" i="1" a="1"/>
  <c r="D133" i="1" s="1"/>
  <c r="R133" i="1" s="1"/>
  <c r="D134" i="1" a="1"/>
  <c r="D134" i="1" s="1"/>
  <c r="R134" i="1" s="1"/>
  <c r="D135" i="1" a="1"/>
  <c r="D135" i="1" s="1"/>
  <c r="R135" i="1" s="1"/>
  <c r="D136" i="1" a="1"/>
  <c r="D136" i="1" s="1"/>
  <c r="R136" i="1" s="1"/>
  <c r="D137" i="1" a="1"/>
  <c r="D137" i="1" s="1"/>
  <c r="R137" i="1" s="1"/>
  <c r="D138" i="1" a="1"/>
  <c r="D138" i="1" s="1"/>
  <c r="R138" i="1" s="1"/>
  <c r="D139" i="1" a="1"/>
  <c r="D139" i="1" s="1"/>
  <c r="R139" i="1" s="1"/>
  <c r="D140" i="1" a="1"/>
  <c r="D140" i="1" s="1"/>
  <c r="R140" i="1" s="1"/>
  <c r="D141" i="1" a="1"/>
  <c r="D141" i="1" s="1"/>
  <c r="R141" i="1" s="1"/>
  <c r="D142" i="1" a="1"/>
  <c r="D142" i="1" s="1"/>
  <c r="R142" i="1" s="1"/>
  <c r="D143" i="1" a="1"/>
  <c r="D143" i="1" s="1"/>
  <c r="R143" i="1" s="1"/>
  <c r="D144" i="1" a="1"/>
  <c r="D144" i="1" s="1"/>
  <c r="R144" i="1" s="1"/>
  <c r="D145" i="1" a="1"/>
  <c r="D145" i="1" s="1"/>
  <c r="R145" i="1" s="1"/>
  <c r="D146" i="1" a="1"/>
  <c r="D146" i="1" s="1"/>
  <c r="R146" i="1" s="1"/>
  <c r="D147" i="1" a="1"/>
  <c r="D147" i="1" s="1"/>
  <c r="R147" i="1" s="1"/>
  <c r="D148" i="1" a="1"/>
  <c r="D148" i="1" s="1"/>
  <c r="R148" i="1" s="1"/>
  <c r="D149" i="1" a="1"/>
  <c r="D149" i="1" s="1"/>
  <c r="R149" i="1" s="1"/>
  <c r="D150" i="1" a="1"/>
  <c r="D150" i="1" s="1"/>
  <c r="R150" i="1" s="1"/>
  <c r="D151" i="1" a="1"/>
  <c r="D151" i="1" s="1"/>
  <c r="R151" i="1" s="1"/>
  <c r="D152" i="1" a="1"/>
  <c r="D152" i="1" s="1"/>
  <c r="R152" i="1" s="1"/>
  <c r="D153" i="1" a="1"/>
  <c r="D153" i="1" s="1"/>
  <c r="R153" i="1" s="1"/>
  <c r="D154" i="1" a="1"/>
  <c r="D154" i="1" s="1"/>
  <c r="R154" i="1" s="1"/>
  <c r="D155" i="1" a="1"/>
  <c r="D155" i="1" s="1"/>
  <c r="R155" i="1" s="1"/>
  <c r="D156" i="1" a="1"/>
  <c r="D156" i="1" s="1"/>
  <c r="R156" i="1" s="1"/>
  <c r="D157" i="1" a="1"/>
  <c r="D157" i="1" s="1"/>
  <c r="R157" i="1" s="1"/>
  <c r="D158" i="1" a="1"/>
  <c r="D158" i="1" s="1"/>
  <c r="R158" i="1" s="1"/>
  <c r="D159" i="1" a="1"/>
  <c r="D159" i="1" s="1"/>
  <c r="R159" i="1" s="1"/>
  <c r="D160" i="1" a="1"/>
  <c r="D160" i="1" s="1"/>
  <c r="R160" i="1" s="1"/>
  <c r="D161" i="1" a="1"/>
  <c r="D161" i="1" s="1"/>
  <c r="R161" i="1" s="1"/>
  <c r="D162" i="1" a="1"/>
  <c r="D162" i="1" s="1"/>
  <c r="R162" i="1" s="1"/>
  <c r="D163" i="1" a="1"/>
  <c r="D163" i="1" s="1"/>
  <c r="R163" i="1" s="1"/>
  <c r="D164" i="1" a="1"/>
  <c r="D164" i="1" s="1"/>
  <c r="R164" i="1" s="1"/>
  <c r="D165" i="1" a="1"/>
  <c r="D165" i="1" s="1"/>
  <c r="R165" i="1" s="1"/>
  <c r="D166" i="1" a="1"/>
  <c r="D166" i="1" s="1"/>
  <c r="R166" i="1" s="1"/>
  <c r="D167" i="1" a="1"/>
  <c r="D167" i="1" s="1"/>
  <c r="R167" i="1" s="1"/>
  <c r="D168" i="1" a="1"/>
  <c r="D168" i="1" s="1"/>
  <c r="R168" i="1" s="1"/>
  <c r="D169" i="1" a="1"/>
  <c r="D169" i="1" s="1"/>
  <c r="R169" i="1" s="1"/>
  <c r="D170" i="1" a="1"/>
  <c r="D170" i="1" s="1"/>
  <c r="R170" i="1" s="1"/>
  <c r="D171" i="1" a="1"/>
  <c r="D171" i="1" s="1"/>
  <c r="R171" i="1" s="1"/>
  <c r="D172" i="1" a="1"/>
  <c r="D172" i="1" s="1"/>
  <c r="R172" i="1" s="1"/>
  <c r="D173" i="1" a="1"/>
  <c r="D173" i="1" s="1"/>
  <c r="R173" i="1" s="1"/>
  <c r="D174" i="1" a="1"/>
  <c r="D174" i="1" s="1"/>
  <c r="R174" i="1" s="1"/>
  <c r="D175" i="1" a="1"/>
  <c r="D175" i="1" s="1"/>
  <c r="R175" i="1" s="1"/>
  <c r="D176" i="1" a="1"/>
  <c r="D176" i="1" s="1"/>
  <c r="R176" i="1" s="1"/>
  <c r="D177" i="1" a="1"/>
  <c r="D177" i="1" s="1"/>
  <c r="R177" i="1" s="1"/>
  <c r="D178" i="1" a="1"/>
  <c r="D178" i="1" s="1"/>
  <c r="R178" i="1" s="1"/>
  <c r="D179" i="1" a="1"/>
  <c r="D179" i="1" s="1"/>
  <c r="R179" i="1" s="1"/>
  <c r="D180" i="1" a="1"/>
  <c r="D180" i="1" s="1"/>
  <c r="R180" i="1" s="1"/>
  <c r="D181" i="1" a="1"/>
  <c r="D181" i="1" s="1"/>
  <c r="R181" i="1" s="1"/>
  <c r="D182" i="1" a="1"/>
  <c r="D182" i="1" s="1"/>
  <c r="R182" i="1" s="1"/>
  <c r="D183" i="1" a="1"/>
  <c r="D183" i="1" s="1"/>
  <c r="R183" i="1" s="1"/>
  <c r="D184" i="1" a="1"/>
  <c r="D184" i="1" s="1"/>
  <c r="R184" i="1" s="1"/>
  <c r="D185" i="1" a="1"/>
  <c r="D185" i="1" s="1"/>
  <c r="R185" i="1" s="1"/>
  <c r="D186" i="1" a="1"/>
  <c r="D186" i="1" s="1"/>
  <c r="R186" i="1" s="1"/>
  <c r="D187" i="1" a="1"/>
  <c r="D187" i="1" s="1"/>
  <c r="R187" i="1" s="1"/>
  <c r="D188" i="1" a="1"/>
  <c r="D188" i="1" s="1"/>
  <c r="R188" i="1" s="1"/>
  <c r="D189" i="1" a="1"/>
  <c r="D189" i="1" s="1"/>
  <c r="R189" i="1" s="1"/>
  <c r="D190" i="1" a="1"/>
  <c r="D190" i="1" s="1"/>
  <c r="R190" i="1" s="1"/>
  <c r="D191" i="1" a="1"/>
  <c r="D191" i="1" s="1"/>
  <c r="R191" i="1" s="1"/>
  <c r="D192" i="1" a="1"/>
  <c r="D192" i="1" s="1"/>
  <c r="R192" i="1" s="1"/>
  <c r="D193" i="1" a="1"/>
  <c r="D193" i="1" s="1"/>
  <c r="R193" i="1" s="1"/>
  <c r="D194" i="1" a="1"/>
  <c r="D194" i="1" s="1"/>
  <c r="R194" i="1" s="1"/>
  <c r="D195" i="1" a="1"/>
  <c r="D195" i="1" s="1"/>
  <c r="R195" i="1" s="1"/>
  <c r="D196" i="1" a="1"/>
  <c r="D196" i="1" s="1"/>
  <c r="R196" i="1" s="1"/>
  <c r="D197" i="1" a="1"/>
  <c r="D197" i="1" s="1"/>
  <c r="R197" i="1" s="1"/>
  <c r="D198" i="1" a="1"/>
  <c r="D198" i="1" s="1"/>
  <c r="R198" i="1" s="1"/>
  <c r="D199" i="1" a="1"/>
  <c r="D199" i="1" s="1"/>
  <c r="R199" i="1" s="1"/>
  <c r="D200" i="1" a="1"/>
  <c r="D200" i="1" s="1"/>
  <c r="R200" i="1" s="1"/>
  <c r="D201" i="1" a="1"/>
  <c r="D201" i="1" s="1"/>
  <c r="R201" i="1" s="1"/>
  <c r="D202" i="1" a="1"/>
  <c r="D202" i="1" s="1"/>
  <c r="R202" i="1" s="1"/>
  <c r="D203" i="1" a="1"/>
  <c r="D203" i="1" s="1"/>
  <c r="R203" i="1" s="1"/>
  <c r="D204" i="1" a="1"/>
  <c r="D204" i="1" s="1"/>
  <c r="R204" i="1" s="1"/>
  <c r="D205" i="1" a="1"/>
  <c r="D205" i="1" s="1"/>
  <c r="R205" i="1" s="1"/>
  <c r="D206" i="1" a="1"/>
  <c r="D206" i="1" s="1"/>
  <c r="R206" i="1" s="1"/>
  <c r="D207" i="1" a="1"/>
  <c r="D207" i="1" s="1"/>
  <c r="R207" i="1" s="1"/>
  <c r="D208" i="1" a="1"/>
  <c r="D208" i="1" s="1"/>
  <c r="R208" i="1" s="1"/>
  <c r="D209" i="1" a="1"/>
  <c r="D209" i="1" s="1"/>
  <c r="R209" i="1" s="1"/>
  <c r="D210" i="1" a="1"/>
  <c r="D210" i="1" s="1"/>
  <c r="R210" i="1" s="1"/>
  <c r="D211" i="1" a="1"/>
  <c r="D211" i="1" s="1"/>
  <c r="R211" i="1" s="1"/>
  <c r="D212" i="1" a="1"/>
  <c r="D212" i="1" s="1"/>
  <c r="R212" i="1" s="1"/>
  <c r="D213" i="1" a="1"/>
  <c r="D213" i="1" s="1"/>
  <c r="R213" i="1" s="1"/>
  <c r="D214" i="1" a="1"/>
  <c r="D214" i="1" s="1"/>
  <c r="R214" i="1" s="1"/>
  <c r="D215" i="1" a="1"/>
  <c r="D215" i="1" s="1"/>
  <c r="R215" i="1" s="1"/>
  <c r="D216" i="1" a="1"/>
  <c r="D216" i="1" s="1"/>
  <c r="R216" i="1" s="1"/>
  <c r="D217" i="1" a="1"/>
  <c r="D217" i="1" s="1"/>
  <c r="R217" i="1" s="1"/>
  <c r="D218" i="1" a="1"/>
  <c r="D218" i="1" s="1"/>
  <c r="R218" i="1" s="1"/>
  <c r="D219" i="1" a="1"/>
  <c r="D219" i="1" s="1"/>
  <c r="R219" i="1" s="1"/>
  <c r="D220" i="1" a="1"/>
  <c r="D220" i="1" s="1"/>
  <c r="R220" i="1" s="1"/>
  <c r="D221" i="1" a="1"/>
  <c r="D221" i="1" s="1"/>
  <c r="R221" i="1" s="1"/>
  <c r="D222" i="1" a="1"/>
  <c r="D222" i="1" s="1"/>
  <c r="R222" i="1" s="1"/>
  <c r="D223" i="1" a="1"/>
  <c r="D223" i="1" s="1"/>
  <c r="R223" i="1" s="1"/>
  <c r="D224" i="1" a="1"/>
  <c r="D224" i="1" s="1"/>
  <c r="R224" i="1" s="1"/>
  <c r="D225" i="1" a="1"/>
  <c r="D225" i="1" s="1"/>
  <c r="R225" i="1" s="1"/>
  <c r="D226" i="1" a="1"/>
  <c r="D226" i="1" s="1"/>
  <c r="R226" i="1" s="1"/>
  <c r="D227" i="1" a="1"/>
  <c r="D227" i="1" s="1"/>
  <c r="R227" i="1" s="1"/>
  <c r="D228" i="1" a="1"/>
  <c r="D228" i="1" s="1"/>
  <c r="R228" i="1" s="1"/>
  <c r="D229" i="1" a="1"/>
  <c r="D229" i="1" s="1"/>
  <c r="R229" i="1" s="1"/>
  <c r="D230" i="1" a="1"/>
  <c r="D230" i="1" s="1"/>
  <c r="R230" i="1" s="1"/>
  <c r="D231" i="1" a="1"/>
  <c r="D231" i="1" s="1"/>
  <c r="R231" i="1" s="1"/>
  <c r="D232" i="1" a="1"/>
  <c r="D232" i="1" s="1"/>
  <c r="R232" i="1" s="1"/>
  <c r="D233" i="1" a="1"/>
  <c r="D233" i="1" s="1"/>
  <c r="R233" i="1" s="1"/>
  <c r="D234" i="1" a="1"/>
  <c r="D234" i="1" s="1"/>
  <c r="R234" i="1" s="1"/>
  <c r="D235" i="1" a="1"/>
  <c r="D235" i="1" s="1"/>
  <c r="R235" i="1" s="1"/>
  <c r="D236" i="1" a="1"/>
  <c r="D236" i="1" s="1"/>
  <c r="R236" i="1" s="1"/>
  <c r="D237" i="1" a="1"/>
  <c r="D237" i="1" s="1"/>
  <c r="R237" i="1" s="1"/>
  <c r="D238" i="1" a="1"/>
  <c r="D238" i="1" s="1"/>
  <c r="R238" i="1" s="1"/>
  <c r="D239" i="1" a="1"/>
  <c r="D239" i="1" s="1"/>
  <c r="R239" i="1" s="1"/>
  <c r="D240" i="1" a="1"/>
  <c r="D240" i="1" s="1"/>
  <c r="R240" i="1" s="1"/>
  <c r="D241" i="1" a="1"/>
  <c r="D241" i="1" s="1"/>
  <c r="R241" i="1" s="1"/>
  <c r="D242" i="1" a="1"/>
  <c r="D242" i="1" s="1"/>
  <c r="R242" i="1" s="1"/>
  <c r="D243" i="1" a="1"/>
  <c r="D243" i="1" s="1"/>
  <c r="R243" i="1" s="1"/>
  <c r="D244" i="1" a="1"/>
  <c r="D244" i="1" s="1"/>
  <c r="R244" i="1" s="1"/>
  <c r="D245" i="1" a="1"/>
  <c r="D245" i="1" s="1"/>
  <c r="R245" i="1" s="1"/>
  <c r="D246" i="1" a="1"/>
  <c r="D246" i="1" s="1"/>
  <c r="R246" i="1" s="1"/>
  <c r="D247" i="1" a="1"/>
  <c r="D247" i="1" s="1"/>
  <c r="R247" i="1" s="1"/>
  <c r="D248" i="1" a="1"/>
  <c r="D248" i="1" s="1"/>
  <c r="R248" i="1" s="1"/>
  <c r="D249" i="1" a="1"/>
  <c r="D249" i="1" s="1"/>
  <c r="R249" i="1" s="1"/>
  <c r="D250" i="1" a="1"/>
  <c r="D250" i="1" s="1"/>
  <c r="R250" i="1" s="1"/>
  <c r="D251" i="1" a="1"/>
  <c r="D251" i="1" s="1"/>
  <c r="R251" i="1" s="1"/>
  <c r="D252" i="1" a="1"/>
  <c r="D252" i="1" s="1"/>
  <c r="R252" i="1" s="1"/>
  <c r="D253" i="1" a="1"/>
  <c r="D253" i="1" s="1"/>
  <c r="R253" i="1" s="1"/>
  <c r="D254" i="1" a="1"/>
  <c r="D254" i="1" s="1"/>
  <c r="R254" i="1" s="1"/>
  <c r="D255" i="1" a="1"/>
  <c r="D255" i="1" s="1"/>
  <c r="R255" i="1" s="1"/>
  <c r="D256" i="1" a="1"/>
  <c r="D256" i="1" s="1"/>
  <c r="R256" i="1" s="1"/>
  <c r="D257" i="1" a="1"/>
  <c r="D257" i="1" s="1"/>
  <c r="R257" i="1" s="1"/>
  <c r="D258" i="1" a="1"/>
  <c r="D258" i="1" s="1"/>
  <c r="R258" i="1" s="1"/>
  <c r="D259" i="1" a="1"/>
  <c r="D259" i="1" s="1"/>
  <c r="R259" i="1" s="1"/>
  <c r="D260" i="1" a="1"/>
  <c r="D260" i="1" s="1"/>
  <c r="R260" i="1" s="1"/>
  <c r="D261" i="1" a="1"/>
  <c r="D261" i="1" s="1"/>
  <c r="R261" i="1" s="1"/>
  <c r="D262" i="1" a="1"/>
  <c r="D262" i="1" s="1"/>
  <c r="R262" i="1" s="1"/>
  <c r="D263" i="1" a="1"/>
  <c r="D263" i="1" s="1"/>
  <c r="R263" i="1" s="1"/>
  <c r="D264" i="1" a="1"/>
  <c r="D264" i="1" s="1"/>
  <c r="R264" i="1" s="1"/>
  <c r="D265" i="1" a="1"/>
  <c r="D265" i="1" s="1"/>
  <c r="R265" i="1" s="1"/>
  <c r="D266" i="1" a="1"/>
  <c r="D266" i="1" s="1"/>
  <c r="R266" i="1" s="1"/>
  <c r="D267" i="1" a="1"/>
  <c r="D267" i="1" s="1"/>
  <c r="R267" i="1" s="1"/>
  <c r="D268" i="1" a="1"/>
  <c r="D268" i="1" s="1"/>
  <c r="R268" i="1" s="1"/>
  <c r="D269" i="1" a="1"/>
  <c r="D269" i="1" s="1"/>
  <c r="R269" i="1" s="1"/>
  <c r="D270" i="1" a="1"/>
  <c r="D270" i="1" s="1"/>
  <c r="R270" i="1" s="1"/>
  <c r="D271" i="1" a="1"/>
  <c r="D271" i="1" s="1"/>
  <c r="R271" i="1" s="1"/>
  <c r="D272" i="1" a="1"/>
  <c r="D272" i="1" s="1"/>
  <c r="R272" i="1" s="1"/>
  <c r="D273" i="1" a="1"/>
  <c r="D273" i="1" s="1"/>
  <c r="R273" i="1" s="1"/>
  <c r="D274" i="1" a="1"/>
  <c r="D274" i="1" s="1"/>
  <c r="R274" i="1" s="1"/>
  <c r="D275" i="1" a="1"/>
  <c r="D275" i="1" s="1"/>
  <c r="R275" i="1" s="1"/>
  <c r="D276" i="1" a="1"/>
  <c r="D276" i="1" s="1"/>
  <c r="R276" i="1" s="1"/>
  <c r="D277" i="1" a="1"/>
  <c r="D277" i="1" s="1"/>
  <c r="R277" i="1" s="1"/>
  <c r="D278" i="1" a="1"/>
  <c r="D278" i="1" s="1"/>
  <c r="R278" i="1" s="1"/>
  <c r="D279" i="1" a="1"/>
  <c r="D279" i="1" s="1"/>
  <c r="R279" i="1" s="1"/>
  <c r="D280" i="1" a="1"/>
  <c r="D280" i="1" s="1"/>
  <c r="R280" i="1" s="1"/>
  <c r="D281" i="1" a="1"/>
  <c r="D281" i="1" s="1"/>
  <c r="R281" i="1" s="1"/>
  <c r="D282" i="1" a="1"/>
  <c r="D282" i="1" s="1"/>
  <c r="R282" i="1" s="1"/>
  <c r="D283" i="1" a="1"/>
  <c r="D283" i="1" s="1"/>
  <c r="R283" i="1" s="1"/>
  <c r="D284" i="1" a="1"/>
  <c r="D284" i="1" s="1"/>
  <c r="R284" i="1" s="1"/>
  <c r="D285" i="1" a="1"/>
  <c r="D285" i="1" s="1"/>
  <c r="R285" i="1" s="1"/>
  <c r="D286" i="1" a="1"/>
  <c r="D286" i="1" s="1"/>
  <c r="R286" i="1" s="1"/>
  <c r="D287" i="1" a="1"/>
  <c r="D287" i="1" s="1"/>
  <c r="R287" i="1" s="1"/>
  <c r="D288" i="1" a="1"/>
  <c r="D288" i="1" s="1"/>
  <c r="R288" i="1" s="1"/>
  <c r="D289" i="1" a="1"/>
  <c r="D289" i="1" s="1"/>
  <c r="R289" i="1" s="1"/>
  <c r="D290" i="1" a="1"/>
  <c r="D290" i="1" s="1"/>
  <c r="R290" i="1" s="1"/>
  <c r="D291" i="1" a="1"/>
  <c r="D291" i="1" s="1"/>
  <c r="R291" i="1" s="1"/>
  <c r="D292" i="1" a="1"/>
  <c r="D292" i="1" s="1"/>
  <c r="R292" i="1" s="1"/>
  <c r="D293" i="1" a="1"/>
  <c r="D293" i="1" s="1"/>
  <c r="R293" i="1" s="1"/>
  <c r="D294" i="1" a="1"/>
  <c r="D294" i="1" s="1"/>
  <c r="R294" i="1" s="1"/>
  <c r="D295" i="1" a="1"/>
  <c r="D295" i="1" s="1"/>
  <c r="R295" i="1" s="1"/>
  <c r="D296" i="1" a="1"/>
  <c r="D296" i="1" s="1"/>
  <c r="R296" i="1" s="1"/>
  <c r="D297" i="1" a="1"/>
  <c r="D297" i="1" s="1"/>
  <c r="R297" i="1" s="1"/>
  <c r="D298" i="1" a="1"/>
  <c r="D298" i="1" s="1"/>
  <c r="R298" i="1" s="1"/>
  <c r="D299" i="1" a="1"/>
  <c r="D299" i="1" s="1"/>
  <c r="R299" i="1" s="1"/>
  <c r="D300" i="1" a="1"/>
  <c r="D300" i="1" s="1"/>
  <c r="R300" i="1" s="1"/>
  <c r="D301" i="1" a="1"/>
  <c r="D301" i="1" s="1"/>
  <c r="R301" i="1" s="1"/>
  <c r="D302" i="1" a="1"/>
  <c r="D302" i="1" s="1"/>
  <c r="R302" i="1" s="1"/>
  <c r="D303" i="1" a="1"/>
  <c r="D303" i="1" s="1"/>
  <c r="R303" i="1" s="1"/>
  <c r="D304" i="1" a="1"/>
  <c r="D304" i="1" s="1"/>
  <c r="R304" i="1" s="1"/>
  <c r="D305" i="1" a="1"/>
  <c r="D305" i="1" s="1"/>
  <c r="R305" i="1" s="1"/>
  <c r="D306" i="1" a="1"/>
  <c r="D306" i="1" s="1"/>
  <c r="R306" i="1" s="1"/>
  <c r="D307" i="1" a="1"/>
  <c r="D307" i="1" s="1"/>
  <c r="R307" i="1" s="1"/>
  <c r="D308" i="1" a="1"/>
  <c r="D308" i="1" s="1"/>
  <c r="R308" i="1" s="1"/>
  <c r="D309" i="1" a="1"/>
  <c r="D309" i="1" s="1"/>
  <c r="R309" i="1" s="1"/>
  <c r="D310" i="1" a="1"/>
  <c r="D310" i="1" s="1"/>
  <c r="R310" i="1" s="1"/>
  <c r="D311" i="1" a="1"/>
  <c r="D311" i="1" s="1"/>
  <c r="R311" i="1" s="1"/>
  <c r="D312" i="1" a="1"/>
  <c r="D312" i="1" s="1"/>
  <c r="R312" i="1" s="1"/>
  <c r="D313" i="1" a="1"/>
  <c r="D313" i="1" s="1"/>
  <c r="R313" i="1" s="1"/>
  <c r="D314" i="1" a="1"/>
  <c r="D314" i="1" s="1"/>
  <c r="R314" i="1" s="1"/>
  <c r="D315" i="1" a="1"/>
  <c r="D315" i="1" s="1"/>
  <c r="R315" i="1" s="1"/>
  <c r="D316" i="1" a="1"/>
  <c r="D316" i="1" s="1"/>
  <c r="R316" i="1" s="1"/>
  <c r="D317" i="1" a="1"/>
  <c r="D317" i="1" s="1"/>
  <c r="R317" i="1" s="1"/>
  <c r="D318" i="1" a="1"/>
  <c r="D318" i="1" s="1"/>
  <c r="R318" i="1" s="1"/>
  <c r="D319" i="1" a="1"/>
  <c r="D319" i="1" s="1"/>
  <c r="R319" i="1" s="1"/>
  <c r="D320" i="1" a="1"/>
  <c r="D320" i="1" s="1"/>
  <c r="R320" i="1" s="1"/>
  <c r="D321" i="1" a="1"/>
  <c r="D321" i="1" s="1"/>
  <c r="R321" i="1" s="1"/>
  <c r="D322" i="1" a="1"/>
  <c r="D322" i="1" s="1"/>
  <c r="R322" i="1" s="1"/>
  <c r="D323" i="1" a="1"/>
  <c r="D323" i="1" s="1"/>
  <c r="R323" i="1" s="1"/>
  <c r="D324" i="1" a="1"/>
  <c r="D324" i="1" s="1"/>
  <c r="R324" i="1" s="1"/>
  <c r="D325" i="1" a="1"/>
  <c r="D325" i="1" s="1"/>
  <c r="R325" i="1" s="1"/>
  <c r="D326" i="1" a="1"/>
  <c r="D326" i="1" s="1"/>
  <c r="R326" i="1" s="1"/>
  <c r="D327" i="1" a="1"/>
  <c r="D327" i="1" s="1"/>
  <c r="R327" i="1" s="1"/>
  <c r="D328" i="1" a="1"/>
  <c r="D328" i="1" s="1"/>
  <c r="R328" i="1" s="1"/>
  <c r="D329" i="1" a="1"/>
  <c r="D329" i="1" s="1"/>
  <c r="R329" i="1" s="1"/>
  <c r="D330" i="1" a="1"/>
  <c r="D330" i="1" s="1"/>
  <c r="R330" i="1" s="1"/>
  <c r="D331" i="1" a="1"/>
  <c r="D331" i="1" s="1"/>
  <c r="R331" i="1" s="1"/>
  <c r="D332" i="1" a="1"/>
  <c r="D332" i="1" s="1"/>
  <c r="R332" i="1" s="1"/>
  <c r="D333" i="1" a="1"/>
  <c r="D333" i="1" s="1"/>
  <c r="R333" i="1" s="1"/>
  <c r="D334" i="1" a="1"/>
  <c r="D334" i="1" s="1"/>
  <c r="R334" i="1" s="1"/>
  <c r="D335" i="1" a="1"/>
  <c r="D335" i="1" s="1"/>
  <c r="R335" i="1" s="1"/>
  <c r="D336" i="1" a="1"/>
  <c r="D336" i="1" s="1"/>
  <c r="R336" i="1" s="1"/>
  <c r="D337" i="1" a="1"/>
  <c r="D337" i="1" s="1"/>
  <c r="R337" i="1" s="1"/>
  <c r="D338" i="1" a="1"/>
  <c r="D338" i="1" s="1"/>
  <c r="R338" i="1" s="1"/>
  <c r="D339" i="1" a="1"/>
  <c r="D339" i="1" s="1"/>
  <c r="R339" i="1" s="1"/>
  <c r="D340" i="1" a="1"/>
  <c r="D340" i="1" s="1"/>
  <c r="R340" i="1" s="1"/>
  <c r="D341" i="1" a="1"/>
  <c r="D341" i="1" s="1"/>
  <c r="R341" i="1" s="1"/>
  <c r="D342" i="1" a="1"/>
  <c r="D342" i="1" s="1"/>
  <c r="R342" i="1" s="1"/>
  <c r="D343" i="1" a="1"/>
  <c r="D343" i="1" s="1"/>
  <c r="R343" i="1" s="1"/>
  <c r="D344" i="1" a="1"/>
  <c r="D344" i="1" s="1"/>
  <c r="R344" i="1" s="1"/>
  <c r="D345" i="1" a="1"/>
  <c r="D345" i="1" s="1"/>
  <c r="R345" i="1" s="1"/>
  <c r="D346" i="1" a="1"/>
  <c r="D346" i="1" s="1"/>
  <c r="R346" i="1" s="1"/>
  <c r="D347" i="1" a="1"/>
  <c r="D347" i="1" s="1"/>
  <c r="R347" i="1" s="1"/>
  <c r="D348" i="1" a="1"/>
  <c r="D348" i="1" s="1"/>
  <c r="R348" i="1" s="1"/>
  <c r="D349" i="1" a="1"/>
  <c r="D349" i="1" s="1"/>
  <c r="R349" i="1" s="1"/>
  <c r="D350" i="1" a="1"/>
  <c r="D350" i="1" s="1"/>
  <c r="R350" i="1" s="1"/>
  <c r="D351" i="1" a="1"/>
  <c r="D351" i="1" s="1"/>
  <c r="R351" i="1" s="1"/>
  <c r="D352" i="1" a="1"/>
  <c r="D352" i="1" s="1"/>
  <c r="R352" i="1" s="1"/>
  <c r="D353" i="1" a="1"/>
  <c r="D353" i="1" s="1"/>
  <c r="R353" i="1" s="1"/>
  <c r="D354" i="1" a="1"/>
  <c r="D354" i="1" s="1"/>
  <c r="R354" i="1" s="1"/>
  <c r="D355" i="1" a="1"/>
  <c r="D355" i="1" s="1"/>
  <c r="R355" i="1" s="1"/>
  <c r="D356" i="1" a="1"/>
  <c r="D356" i="1" s="1"/>
  <c r="R356" i="1" s="1"/>
  <c r="D357" i="1" a="1"/>
  <c r="D357" i="1" s="1"/>
  <c r="R357" i="1" s="1"/>
  <c r="D358" i="1" a="1"/>
  <c r="D358" i="1" s="1"/>
  <c r="R358" i="1" s="1"/>
  <c r="D359" i="1" a="1"/>
  <c r="D359" i="1" s="1"/>
  <c r="R359" i="1" s="1"/>
  <c r="D360" i="1" a="1"/>
  <c r="D360" i="1" s="1"/>
  <c r="R360" i="1" s="1"/>
  <c r="D361" i="1" a="1"/>
  <c r="D361" i="1" s="1"/>
  <c r="R361" i="1" s="1"/>
  <c r="D362" i="1" a="1"/>
  <c r="D362" i="1" s="1"/>
  <c r="R362" i="1" s="1"/>
  <c r="D363" i="1" a="1"/>
  <c r="D363" i="1" s="1"/>
  <c r="R363" i="1" s="1"/>
  <c r="D364" i="1" a="1"/>
  <c r="D364" i="1" s="1"/>
  <c r="R364" i="1" s="1"/>
  <c r="D365" i="1" a="1"/>
  <c r="D365" i="1" s="1"/>
  <c r="R365" i="1" s="1"/>
  <c r="D366" i="1" a="1"/>
  <c r="D366" i="1" s="1"/>
  <c r="R366" i="1" s="1"/>
  <c r="D367" i="1" a="1"/>
  <c r="D367" i="1" s="1"/>
  <c r="R367" i="1" s="1"/>
  <c r="D368" i="1" a="1"/>
  <c r="D368" i="1" s="1"/>
  <c r="R368" i="1" s="1"/>
  <c r="D369" i="1" a="1"/>
  <c r="D369" i="1" s="1"/>
  <c r="R369" i="1" s="1"/>
  <c r="D370" i="1" a="1"/>
  <c r="D370" i="1" s="1"/>
  <c r="R370" i="1" s="1"/>
  <c r="D371" i="1" a="1"/>
  <c r="D371" i="1" s="1"/>
  <c r="R371" i="1" s="1"/>
  <c r="D372" i="1" a="1"/>
  <c r="D372" i="1" s="1"/>
  <c r="R372" i="1" s="1"/>
  <c r="D373" i="1" a="1"/>
  <c r="D373" i="1" s="1"/>
  <c r="R373" i="1" s="1"/>
  <c r="D374" i="1" a="1"/>
  <c r="D374" i="1" s="1"/>
  <c r="R374" i="1" s="1"/>
  <c r="D375" i="1" a="1"/>
  <c r="D375" i="1" s="1"/>
  <c r="R375" i="1" s="1"/>
  <c r="D376" i="1" a="1"/>
  <c r="D376" i="1" s="1"/>
  <c r="R376" i="1" s="1"/>
  <c r="D377" i="1" a="1"/>
  <c r="D377" i="1" s="1"/>
  <c r="R377" i="1" s="1"/>
  <c r="D378" i="1" a="1"/>
  <c r="D378" i="1" s="1"/>
  <c r="R378" i="1" s="1"/>
  <c r="D379" i="1" a="1"/>
  <c r="D379" i="1" s="1"/>
  <c r="R379" i="1" s="1"/>
  <c r="D380" i="1" a="1"/>
  <c r="D380" i="1" s="1"/>
  <c r="R380" i="1" s="1"/>
  <c r="D381" i="1" a="1"/>
  <c r="D381" i="1" s="1"/>
  <c r="R381" i="1" s="1"/>
  <c r="D382" i="1" a="1"/>
  <c r="D382" i="1" s="1"/>
  <c r="R382" i="1" s="1"/>
  <c r="D383" i="1" a="1"/>
  <c r="D383" i="1" s="1"/>
  <c r="R383" i="1" s="1"/>
  <c r="D384" i="1" a="1"/>
  <c r="D384" i="1" s="1"/>
  <c r="R384" i="1" s="1"/>
  <c r="D385" i="1" a="1"/>
  <c r="D385" i="1" s="1"/>
  <c r="R385" i="1" s="1"/>
  <c r="D386" i="1" a="1"/>
  <c r="D386" i="1" s="1"/>
  <c r="R386" i="1" s="1"/>
  <c r="D387" i="1" a="1"/>
  <c r="D387" i="1" s="1"/>
  <c r="R387" i="1" s="1"/>
  <c r="D388" i="1" a="1"/>
  <c r="D388" i="1" s="1"/>
  <c r="R388" i="1" s="1"/>
  <c r="D389" i="1" a="1"/>
  <c r="D389" i="1" s="1"/>
  <c r="R389" i="1" s="1"/>
  <c r="D390" i="1" a="1"/>
  <c r="D390" i="1" s="1"/>
  <c r="R390" i="1" s="1"/>
  <c r="D391" i="1" a="1"/>
  <c r="D391" i="1" s="1"/>
  <c r="R391" i="1" s="1"/>
  <c r="D392" i="1" a="1"/>
  <c r="D392" i="1" s="1"/>
  <c r="R392" i="1" s="1"/>
  <c r="D393" i="1" a="1"/>
  <c r="D393" i="1" s="1"/>
  <c r="R393" i="1" s="1"/>
  <c r="D394" i="1" a="1"/>
  <c r="D394" i="1" s="1"/>
  <c r="R394" i="1" s="1"/>
  <c r="D395" i="1" a="1"/>
  <c r="D395" i="1" s="1"/>
  <c r="R395" i="1" s="1"/>
  <c r="D396" i="1" a="1"/>
  <c r="D396" i="1" s="1"/>
  <c r="R396" i="1" s="1"/>
  <c r="D397" i="1" a="1"/>
  <c r="D397" i="1" s="1"/>
  <c r="R397" i="1" s="1"/>
  <c r="D398" i="1" a="1"/>
  <c r="D398" i="1" s="1"/>
  <c r="R398" i="1" s="1"/>
  <c r="D399" i="1" a="1"/>
  <c r="D399" i="1" s="1"/>
  <c r="R399" i="1" s="1"/>
  <c r="D400" i="1" a="1"/>
  <c r="D400" i="1" s="1"/>
  <c r="R400" i="1" s="1"/>
  <c r="D401" i="1" a="1"/>
  <c r="D401" i="1" s="1"/>
  <c r="R401" i="1" s="1"/>
  <c r="D402" i="1" a="1"/>
  <c r="D402" i="1" s="1"/>
  <c r="R402" i="1" s="1"/>
  <c r="D403" i="1" a="1"/>
  <c r="D403" i="1" s="1"/>
  <c r="R403" i="1" s="1"/>
  <c r="D404" i="1" a="1"/>
  <c r="D404" i="1" s="1"/>
  <c r="R404" i="1" s="1"/>
  <c r="D405" i="1" a="1"/>
  <c r="D405" i="1" s="1"/>
  <c r="R405" i="1" s="1"/>
  <c r="D406" i="1" a="1"/>
  <c r="D406" i="1" s="1"/>
  <c r="R406" i="1" s="1"/>
  <c r="D407" i="1" a="1"/>
  <c r="D407" i="1" s="1"/>
  <c r="R407" i="1" s="1"/>
  <c r="D408" i="1" a="1"/>
  <c r="D408" i="1" s="1"/>
  <c r="R408" i="1" s="1"/>
  <c r="D409" i="1" a="1"/>
  <c r="D409" i="1" s="1"/>
  <c r="R409" i="1" s="1"/>
  <c r="D410" i="1" a="1"/>
  <c r="D410" i="1" s="1"/>
  <c r="R410" i="1" s="1"/>
  <c r="D411" i="1" a="1"/>
  <c r="D411" i="1" s="1"/>
  <c r="R411" i="1" s="1"/>
  <c r="D412" i="1" a="1"/>
  <c r="D412" i="1" s="1"/>
  <c r="R412" i="1" s="1"/>
  <c r="D413" i="1" a="1"/>
  <c r="D413" i="1" s="1"/>
  <c r="R413" i="1" s="1"/>
  <c r="D414" i="1" a="1"/>
  <c r="D414" i="1" s="1"/>
  <c r="R414" i="1" s="1"/>
  <c r="D415" i="1" a="1"/>
  <c r="D415" i="1" s="1"/>
  <c r="R415" i="1" s="1"/>
  <c r="D416" i="1" a="1"/>
  <c r="D416" i="1" s="1"/>
  <c r="R416" i="1" s="1"/>
  <c r="D417" i="1" a="1"/>
  <c r="D417" i="1" s="1"/>
  <c r="R417" i="1" s="1"/>
  <c r="D418" i="1" a="1"/>
  <c r="D418" i="1" s="1"/>
  <c r="R418" i="1" s="1"/>
  <c r="D419" i="1" a="1"/>
  <c r="D419" i="1" s="1"/>
  <c r="R419" i="1" s="1"/>
  <c r="D420" i="1" a="1"/>
  <c r="D420" i="1" s="1"/>
  <c r="R420" i="1" s="1"/>
  <c r="D421" i="1" a="1"/>
  <c r="D421" i="1" s="1"/>
  <c r="R421" i="1" s="1"/>
  <c r="D422" i="1" a="1"/>
  <c r="D422" i="1" s="1"/>
  <c r="R422" i="1" s="1"/>
  <c r="D423" i="1" a="1"/>
  <c r="D423" i="1" s="1"/>
  <c r="R423" i="1" s="1"/>
  <c r="D424" i="1" a="1"/>
  <c r="D424" i="1" s="1"/>
  <c r="R424" i="1" s="1"/>
  <c r="D425" i="1" a="1"/>
  <c r="D425" i="1" s="1"/>
  <c r="R425" i="1" s="1"/>
  <c r="D426" i="1" a="1"/>
  <c r="D426" i="1" s="1"/>
  <c r="R426" i="1" s="1"/>
  <c r="D427" i="1" a="1"/>
  <c r="D427" i="1" s="1"/>
  <c r="R427" i="1" s="1"/>
  <c r="D428" i="1" a="1"/>
  <c r="D428" i="1" s="1"/>
  <c r="R428" i="1" s="1"/>
  <c r="D429" i="1" a="1"/>
  <c r="D429" i="1" s="1"/>
  <c r="R429" i="1" s="1"/>
  <c r="D430" i="1" a="1"/>
  <c r="D430" i="1" s="1"/>
  <c r="R430" i="1" s="1"/>
  <c r="D431" i="1" a="1"/>
  <c r="D431" i="1" s="1"/>
  <c r="R431" i="1" s="1"/>
  <c r="D432" i="1" a="1"/>
  <c r="D432" i="1" s="1"/>
  <c r="R432" i="1" s="1"/>
  <c r="D433" i="1" a="1"/>
  <c r="D433" i="1" s="1"/>
  <c r="R433" i="1" s="1"/>
  <c r="D434" i="1" a="1"/>
  <c r="D434" i="1" s="1"/>
  <c r="R434" i="1" s="1"/>
  <c r="D435" i="1" a="1"/>
  <c r="D435" i="1" s="1"/>
  <c r="R435" i="1" s="1"/>
  <c r="D436" i="1" a="1"/>
  <c r="D436" i="1" s="1"/>
  <c r="R436" i="1" s="1"/>
  <c r="D437" i="1" a="1"/>
  <c r="D437" i="1" s="1"/>
  <c r="R437" i="1" s="1"/>
  <c r="D438" i="1" a="1"/>
  <c r="D438" i="1" s="1"/>
  <c r="R438" i="1" s="1"/>
  <c r="D439" i="1" a="1"/>
  <c r="D439" i="1" s="1"/>
  <c r="R439" i="1" s="1"/>
  <c r="D440" i="1" a="1"/>
  <c r="D440" i="1" s="1"/>
  <c r="R440" i="1" s="1"/>
  <c r="D441" i="1" a="1"/>
  <c r="D441" i="1" s="1"/>
  <c r="R441" i="1" s="1"/>
  <c r="D442" i="1" a="1"/>
  <c r="D442" i="1" s="1"/>
  <c r="R442" i="1" s="1"/>
  <c r="D443" i="1" a="1"/>
  <c r="D443" i="1" s="1"/>
  <c r="R443" i="1" s="1"/>
  <c r="D444" i="1" a="1"/>
  <c r="D444" i="1" s="1"/>
  <c r="R444" i="1" s="1"/>
  <c r="D445" i="1" a="1"/>
  <c r="D445" i="1" s="1"/>
  <c r="R445" i="1" s="1"/>
  <c r="D446" i="1" a="1"/>
  <c r="D446" i="1" s="1"/>
  <c r="R446" i="1" s="1"/>
  <c r="D447" i="1" a="1"/>
  <c r="D447" i="1" s="1"/>
  <c r="R447" i="1" s="1"/>
  <c r="D448" i="1" a="1"/>
  <c r="D448" i="1" s="1"/>
  <c r="R448" i="1" s="1"/>
  <c r="D449" i="1" a="1"/>
  <c r="D449" i="1" s="1"/>
  <c r="R449" i="1" s="1"/>
  <c r="D450" i="1" a="1"/>
  <c r="D450" i="1" s="1"/>
  <c r="R450" i="1" s="1"/>
  <c r="D451" i="1" a="1"/>
  <c r="D451" i="1" s="1"/>
  <c r="R451" i="1" s="1"/>
  <c r="D452" i="1" a="1"/>
  <c r="D452" i="1" s="1"/>
  <c r="R452" i="1" s="1"/>
  <c r="D453" i="1" a="1"/>
  <c r="D453" i="1" s="1"/>
  <c r="R453" i="1" s="1"/>
  <c r="D454" i="1" a="1"/>
  <c r="D454" i="1" s="1"/>
  <c r="R454" i="1" s="1"/>
  <c r="D455" i="1" a="1"/>
  <c r="D455" i="1" s="1"/>
  <c r="R455" i="1" s="1"/>
  <c r="D456" i="1" a="1"/>
  <c r="D456" i="1" s="1"/>
  <c r="R456" i="1" s="1"/>
  <c r="D457" i="1" a="1"/>
  <c r="D457" i="1" s="1"/>
  <c r="R457" i="1" s="1"/>
  <c r="D458" i="1" a="1"/>
  <c r="D458" i="1" s="1"/>
  <c r="R458" i="1" s="1"/>
  <c r="D459" i="1" a="1"/>
  <c r="D459" i="1" s="1"/>
  <c r="R459" i="1" s="1"/>
  <c r="D460" i="1" a="1"/>
  <c r="D460" i="1" s="1"/>
  <c r="R460" i="1" s="1"/>
  <c r="D461" i="1" a="1"/>
  <c r="D461" i="1" s="1"/>
  <c r="R461" i="1" s="1"/>
  <c r="D462" i="1" a="1"/>
  <c r="D462" i="1" s="1"/>
  <c r="R462" i="1" s="1"/>
  <c r="D463" i="1" a="1"/>
  <c r="D463" i="1" s="1"/>
  <c r="R463" i="1" s="1"/>
  <c r="D464" i="1" a="1"/>
  <c r="D464" i="1" s="1"/>
  <c r="R464" i="1" s="1"/>
  <c r="D465" i="1" a="1"/>
  <c r="D465" i="1" s="1"/>
  <c r="R465" i="1" s="1"/>
  <c r="D466" i="1" a="1"/>
  <c r="D466" i="1" s="1"/>
  <c r="R466" i="1" s="1"/>
  <c r="D467" i="1" a="1"/>
  <c r="D467" i="1" s="1"/>
  <c r="R467" i="1" s="1"/>
  <c r="D468" i="1" a="1"/>
  <c r="D468" i="1" s="1"/>
  <c r="R468" i="1" s="1"/>
  <c r="D469" i="1" a="1"/>
  <c r="D469" i="1" s="1"/>
  <c r="R469" i="1" s="1"/>
  <c r="D470" i="1" a="1"/>
  <c r="D470" i="1" s="1"/>
  <c r="R470" i="1" s="1"/>
  <c r="D471" i="1" a="1"/>
  <c r="D471" i="1" s="1"/>
  <c r="R471" i="1" s="1"/>
  <c r="D472" i="1" a="1"/>
  <c r="D472" i="1" s="1"/>
  <c r="R472" i="1" s="1"/>
  <c r="D473" i="1" a="1"/>
  <c r="D473" i="1" s="1"/>
  <c r="R473" i="1" s="1"/>
  <c r="D474" i="1" a="1"/>
  <c r="D474" i="1" s="1"/>
  <c r="R474" i="1" s="1"/>
  <c r="D475" i="1" a="1"/>
  <c r="D475" i="1" s="1"/>
  <c r="R475" i="1" s="1"/>
  <c r="D476" i="1" a="1"/>
  <c r="D476" i="1" s="1"/>
  <c r="R476" i="1" s="1"/>
  <c r="D477" i="1" a="1"/>
  <c r="D477" i="1" s="1"/>
  <c r="R477" i="1" s="1"/>
  <c r="D478" i="1" a="1"/>
  <c r="D478" i="1" s="1"/>
  <c r="R478" i="1" s="1"/>
  <c r="D479" i="1" a="1"/>
  <c r="D479" i="1" s="1"/>
  <c r="R479" i="1" s="1"/>
  <c r="D480" i="1" a="1"/>
  <c r="D480" i="1" s="1"/>
  <c r="R480" i="1" s="1"/>
  <c r="D481" i="1" a="1"/>
  <c r="D481" i="1" s="1"/>
  <c r="R481" i="1" s="1"/>
  <c r="D482" i="1" a="1"/>
  <c r="D482" i="1" s="1"/>
  <c r="R482" i="1" s="1"/>
  <c r="D483" i="1" a="1"/>
  <c r="D483" i="1" s="1"/>
  <c r="R483" i="1" s="1"/>
  <c r="D484" i="1" a="1"/>
  <c r="D484" i="1" s="1"/>
  <c r="R484" i="1" s="1"/>
  <c r="D485" i="1" a="1"/>
  <c r="D485" i="1" s="1"/>
  <c r="R485" i="1" s="1"/>
  <c r="D486" i="1" a="1"/>
  <c r="D486" i="1" s="1"/>
  <c r="R486" i="1" s="1"/>
  <c r="D487" i="1" a="1"/>
  <c r="D487" i="1" s="1"/>
  <c r="R487" i="1" s="1"/>
  <c r="D488" i="1" a="1"/>
  <c r="D488" i="1" s="1"/>
  <c r="R488" i="1" s="1"/>
  <c r="D489" i="1" a="1"/>
  <c r="D489" i="1" s="1"/>
  <c r="R489" i="1" s="1"/>
  <c r="D490" i="1" a="1"/>
  <c r="D490" i="1" s="1"/>
  <c r="R490" i="1" s="1"/>
  <c r="D491" i="1" a="1"/>
  <c r="D491" i="1" s="1"/>
  <c r="R491" i="1" s="1"/>
  <c r="D492" i="1" a="1"/>
  <c r="D492" i="1" s="1"/>
  <c r="R492" i="1" s="1"/>
  <c r="D493" i="1" a="1"/>
  <c r="D493" i="1" s="1"/>
  <c r="R493" i="1" s="1"/>
  <c r="D494" i="1" a="1"/>
  <c r="D494" i="1" s="1"/>
  <c r="R494" i="1" s="1"/>
  <c r="D495" i="1" a="1"/>
  <c r="D495" i="1" s="1"/>
  <c r="R495" i="1" s="1"/>
  <c r="D496" i="1" a="1"/>
  <c r="D496" i="1" s="1"/>
  <c r="R496" i="1" s="1"/>
  <c r="D497" i="1" a="1"/>
  <c r="D497" i="1" s="1"/>
  <c r="R497" i="1" s="1"/>
  <c r="D498" i="1" a="1"/>
  <c r="D498" i="1" s="1"/>
  <c r="R498" i="1" s="1"/>
  <c r="D499" i="1" a="1"/>
  <c r="D499" i="1" s="1"/>
  <c r="R499" i="1" s="1"/>
  <c r="D500" i="1" a="1"/>
  <c r="D500" i="1" s="1"/>
  <c r="R500" i="1" s="1"/>
  <c r="C2" i="1" a="1"/>
  <c r="C2" i="1" s="1"/>
  <c r="C3" i="1" a="1"/>
  <c r="C3" i="1" s="1"/>
  <c r="C4" i="1" a="1"/>
  <c r="C4" i="1" s="1"/>
  <c r="C5" i="1" a="1"/>
  <c r="C5" i="1" s="1"/>
  <c r="C6" i="1" a="1"/>
  <c r="C6" i="1" s="1"/>
  <c r="C7" i="1" a="1"/>
  <c r="C7" i="1" s="1"/>
  <c r="C8" i="1" a="1"/>
  <c r="C8" i="1" s="1"/>
  <c r="C9" i="1" a="1"/>
  <c r="C9" i="1" s="1"/>
  <c r="C10" i="1" a="1"/>
  <c r="C10" i="1" s="1"/>
  <c r="C11" i="1" a="1"/>
  <c r="C11" i="1" s="1"/>
  <c r="C12" i="1" a="1"/>
  <c r="C12" i="1" s="1"/>
  <c r="C13" i="1" a="1"/>
  <c r="C13" i="1" s="1"/>
  <c r="C14" i="1" a="1"/>
  <c r="C14" i="1" s="1"/>
  <c r="C15" i="1" a="1"/>
  <c r="C15" i="1" s="1"/>
  <c r="C16" i="1" a="1"/>
  <c r="C16" i="1" s="1"/>
  <c r="C17" i="1" a="1"/>
  <c r="C17" i="1" s="1"/>
  <c r="C18" i="1" a="1"/>
  <c r="C18" i="1" s="1"/>
  <c r="C19" i="1" a="1"/>
  <c r="C19" i="1" s="1"/>
  <c r="C20" i="1" a="1"/>
  <c r="C20" i="1" s="1"/>
  <c r="C21" i="1" a="1"/>
  <c r="C21" i="1" s="1"/>
  <c r="C22" i="1" a="1"/>
  <c r="C22" i="1" s="1"/>
  <c r="C23" i="1" a="1"/>
  <c r="C23" i="1" s="1"/>
  <c r="C24" i="1" a="1"/>
  <c r="C24" i="1" s="1"/>
  <c r="C25" i="1" a="1"/>
  <c r="C25" i="1" s="1"/>
  <c r="C26" i="1" a="1"/>
  <c r="C26" i="1" s="1"/>
  <c r="C27" i="1" a="1"/>
  <c r="C27" i="1" s="1"/>
  <c r="C28" i="1" a="1"/>
  <c r="C28" i="1" s="1"/>
  <c r="C29" i="1" a="1"/>
  <c r="C29" i="1" s="1"/>
  <c r="C30" i="1" a="1"/>
  <c r="C30" i="1" s="1"/>
  <c r="C31" i="1" a="1"/>
  <c r="C31" i="1" s="1"/>
  <c r="C32" i="1" a="1"/>
  <c r="C32" i="1" s="1"/>
  <c r="C33" i="1" a="1"/>
  <c r="C33" i="1" s="1"/>
  <c r="C34" i="1" a="1"/>
  <c r="C34" i="1" s="1"/>
  <c r="C35" i="1" a="1"/>
  <c r="C35" i="1" s="1"/>
  <c r="C36" i="1" a="1"/>
  <c r="C36" i="1" s="1"/>
  <c r="C37" i="1" a="1"/>
  <c r="C37" i="1" s="1"/>
  <c r="C38" i="1" a="1"/>
  <c r="C38" i="1" s="1"/>
  <c r="C39" i="1" a="1"/>
  <c r="C39" i="1" s="1"/>
  <c r="C40" i="1" a="1"/>
  <c r="C40" i="1" s="1"/>
  <c r="C41" i="1" a="1"/>
  <c r="C41" i="1" s="1"/>
  <c r="C42" i="1" a="1"/>
  <c r="C42" i="1" s="1"/>
  <c r="C43" i="1" a="1"/>
  <c r="C43" i="1" s="1"/>
  <c r="C44" i="1" a="1"/>
  <c r="C44" i="1" s="1"/>
  <c r="C45" i="1" a="1"/>
  <c r="C45" i="1" s="1"/>
  <c r="C46" i="1" a="1"/>
  <c r="C46" i="1" s="1"/>
  <c r="C47" i="1" a="1"/>
  <c r="C47" i="1" s="1"/>
  <c r="C48" i="1" a="1"/>
  <c r="C48" i="1" s="1"/>
  <c r="C49" i="1" a="1"/>
  <c r="C49" i="1" s="1"/>
  <c r="C50" i="1" a="1"/>
  <c r="C50" i="1" s="1"/>
  <c r="C51" i="1" a="1"/>
  <c r="C51" i="1" s="1"/>
  <c r="C52" i="1" a="1"/>
  <c r="C52" i="1" s="1"/>
  <c r="C53" i="1" a="1"/>
  <c r="C53" i="1" s="1"/>
  <c r="C54" i="1" a="1"/>
  <c r="C54" i="1" s="1"/>
  <c r="C55" i="1" a="1"/>
  <c r="C55" i="1" s="1"/>
  <c r="C56" i="1" a="1"/>
  <c r="C56" i="1" s="1"/>
  <c r="C57" i="1" a="1"/>
  <c r="C57" i="1" s="1"/>
  <c r="C58" i="1" a="1"/>
  <c r="C58" i="1" s="1"/>
  <c r="C59" i="1" a="1"/>
  <c r="C59" i="1" s="1"/>
  <c r="C60" i="1" a="1"/>
  <c r="C60" i="1" s="1"/>
  <c r="C61" i="1" a="1"/>
  <c r="C61" i="1" s="1"/>
  <c r="C62" i="1" a="1"/>
  <c r="C62" i="1" s="1"/>
  <c r="C63" i="1" a="1"/>
  <c r="C63" i="1" s="1"/>
  <c r="C64" i="1" a="1"/>
  <c r="C64" i="1" s="1"/>
  <c r="C65" i="1" a="1"/>
  <c r="C65" i="1" s="1"/>
  <c r="C66" i="1" a="1"/>
  <c r="C66" i="1" s="1"/>
  <c r="C67" i="1" a="1"/>
  <c r="C67" i="1" s="1"/>
  <c r="C68" i="1" a="1"/>
  <c r="C68" i="1" s="1"/>
  <c r="C69" i="1" a="1"/>
  <c r="C69" i="1" s="1"/>
  <c r="C70" i="1" a="1"/>
  <c r="C70" i="1" s="1"/>
  <c r="C71" i="1" a="1"/>
  <c r="C71" i="1" s="1"/>
  <c r="C72" i="1" a="1"/>
  <c r="C72" i="1" s="1"/>
  <c r="C73" i="1" a="1"/>
  <c r="C73" i="1" s="1"/>
  <c r="C74" i="1" a="1"/>
  <c r="C74" i="1" s="1"/>
  <c r="C75" i="1" a="1"/>
  <c r="C75" i="1" s="1"/>
  <c r="C76" i="1" a="1"/>
  <c r="C76" i="1" s="1"/>
  <c r="C77" i="1" a="1"/>
  <c r="C77" i="1" s="1"/>
  <c r="C78" i="1" a="1"/>
  <c r="C78" i="1" s="1"/>
  <c r="C79" i="1" a="1"/>
  <c r="C79" i="1" s="1"/>
  <c r="C80" i="1" a="1"/>
  <c r="C80" i="1" s="1"/>
  <c r="C81" i="1" a="1"/>
  <c r="C81" i="1" s="1"/>
  <c r="C82" i="1" a="1"/>
  <c r="C82" i="1" s="1"/>
  <c r="C83" i="1" a="1"/>
  <c r="C83" i="1" s="1"/>
  <c r="C84" i="1" a="1"/>
  <c r="C84" i="1" s="1"/>
  <c r="C85" i="1" a="1"/>
  <c r="C85" i="1" s="1"/>
  <c r="C86" i="1" a="1"/>
  <c r="C86" i="1" s="1"/>
  <c r="C87" i="1" a="1"/>
  <c r="C87" i="1" s="1"/>
  <c r="C88" i="1" a="1"/>
  <c r="C88" i="1" s="1"/>
  <c r="C89" i="1" a="1"/>
  <c r="C89" i="1" s="1"/>
  <c r="C90" i="1" a="1"/>
  <c r="C90" i="1" s="1"/>
  <c r="C91" i="1" a="1"/>
  <c r="C91" i="1" s="1"/>
  <c r="C92" i="1" a="1"/>
  <c r="C92" i="1" s="1"/>
  <c r="C93" i="1" a="1"/>
  <c r="C93" i="1" s="1"/>
  <c r="C94" i="1" a="1"/>
  <c r="C94" i="1" s="1"/>
  <c r="C95" i="1" a="1"/>
  <c r="C95" i="1" s="1"/>
  <c r="C96" i="1" a="1"/>
  <c r="C96" i="1" s="1"/>
  <c r="C97" i="1" a="1"/>
  <c r="C97" i="1" s="1"/>
  <c r="C98" i="1" a="1"/>
  <c r="C98" i="1" s="1"/>
  <c r="C99" i="1" a="1"/>
  <c r="C99" i="1" s="1"/>
  <c r="C100" i="1" a="1"/>
  <c r="C100" i="1" s="1"/>
  <c r="C101" i="1" a="1"/>
  <c r="C101" i="1" s="1"/>
  <c r="C102" i="1" a="1"/>
  <c r="C102" i="1" s="1"/>
  <c r="C103" i="1" a="1"/>
  <c r="C103" i="1" s="1"/>
  <c r="C104" i="1" a="1"/>
  <c r="C104" i="1" s="1"/>
  <c r="C105" i="1" a="1"/>
  <c r="C105" i="1" s="1"/>
  <c r="C106" i="1" a="1"/>
  <c r="C106" i="1" s="1"/>
  <c r="C107" i="1" a="1"/>
  <c r="C107" i="1" s="1"/>
  <c r="C108" i="1" a="1"/>
  <c r="C108" i="1" s="1"/>
  <c r="C109" i="1" a="1"/>
  <c r="C109" i="1" s="1"/>
  <c r="C110" i="1" a="1"/>
  <c r="C110" i="1" s="1"/>
  <c r="C111" i="1" a="1"/>
  <c r="C111" i="1" s="1"/>
  <c r="C112" i="1" a="1"/>
  <c r="C112" i="1" s="1"/>
  <c r="C113" i="1" a="1"/>
  <c r="C113" i="1" s="1"/>
  <c r="C114" i="1" a="1"/>
  <c r="C114" i="1" s="1"/>
  <c r="C115" i="1" a="1"/>
  <c r="C115" i="1" s="1"/>
  <c r="C116" i="1" a="1"/>
  <c r="C116" i="1" s="1"/>
  <c r="C117" i="1" a="1"/>
  <c r="C117" i="1" s="1"/>
  <c r="C118" i="1" a="1"/>
  <c r="C118" i="1" s="1"/>
  <c r="C119" i="1" a="1"/>
  <c r="C119" i="1" s="1"/>
  <c r="C120" i="1" a="1"/>
  <c r="C120" i="1" s="1"/>
  <c r="C121" i="1" a="1"/>
  <c r="C121" i="1" s="1"/>
  <c r="C122" i="1" a="1"/>
  <c r="C122" i="1" s="1"/>
  <c r="C123" i="1" a="1"/>
  <c r="C123" i="1" s="1"/>
  <c r="C124" i="1" a="1"/>
  <c r="C124" i="1" s="1"/>
  <c r="C125" i="1" a="1"/>
  <c r="C125" i="1" s="1"/>
  <c r="C126" i="1" a="1"/>
  <c r="C126" i="1" s="1"/>
  <c r="C127" i="1" a="1"/>
  <c r="C127" i="1" s="1"/>
  <c r="C128" i="1" a="1"/>
  <c r="C128" i="1" s="1"/>
  <c r="C129" i="1" a="1"/>
  <c r="C129" i="1" s="1"/>
  <c r="C130" i="1" a="1"/>
  <c r="C130" i="1" s="1"/>
  <c r="C131" i="1" a="1"/>
  <c r="C131" i="1" s="1"/>
  <c r="C132" i="1" a="1"/>
  <c r="C132" i="1" s="1"/>
  <c r="C133" i="1" a="1"/>
  <c r="C133" i="1" s="1"/>
  <c r="C134" i="1" a="1"/>
  <c r="C134" i="1" s="1"/>
  <c r="C135" i="1" a="1"/>
  <c r="C135" i="1" s="1"/>
  <c r="C136" i="1" a="1"/>
  <c r="C136" i="1" s="1"/>
  <c r="C137" i="1" a="1"/>
  <c r="C137" i="1" s="1"/>
  <c r="C138" i="1" a="1"/>
  <c r="C138" i="1" s="1"/>
  <c r="C139" i="1" a="1"/>
  <c r="C139" i="1" s="1"/>
  <c r="C140" i="1" a="1"/>
  <c r="C140" i="1" s="1"/>
  <c r="C141" i="1" a="1"/>
  <c r="C141" i="1" s="1"/>
  <c r="C142" i="1" a="1"/>
  <c r="C142" i="1" s="1"/>
  <c r="C143" i="1" a="1"/>
  <c r="C143" i="1" s="1"/>
  <c r="C144" i="1" a="1"/>
  <c r="C144" i="1" s="1"/>
  <c r="C145" i="1" a="1"/>
  <c r="C145" i="1" s="1"/>
  <c r="C146" i="1" a="1"/>
  <c r="C146" i="1" s="1"/>
  <c r="C147" i="1" a="1"/>
  <c r="C147" i="1" s="1"/>
  <c r="C148" i="1" a="1"/>
  <c r="C148" i="1" s="1"/>
  <c r="C149" i="1" a="1"/>
  <c r="C149" i="1" s="1"/>
  <c r="C150" i="1" a="1"/>
  <c r="C150" i="1" s="1"/>
  <c r="C151" i="1" a="1"/>
  <c r="C151" i="1" s="1"/>
  <c r="C152" i="1" a="1"/>
  <c r="C152" i="1" s="1"/>
  <c r="C153" i="1" a="1"/>
  <c r="C153" i="1" s="1"/>
  <c r="C154" i="1" a="1"/>
  <c r="C154" i="1" s="1"/>
  <c r="C155" i="1" a="1"/>
  <c r="C155" i="1" s="1"/>
  <c r="C156" i="1" a="1"/>
  <c r="C156" i="1" s="1"/>
  <c r="C157" i="1" a="1"/>
  <c r="C157" i="1" s="1"/>
  <c r="C158" i="1" a="1"/>
  <c r="C158" i="1" s="1"/>
  <c r="C159" i="1" a="1"/>
  <c r="C159" i="1" s="1"/>
  <c r="C160" i="1" a="1"/>
  <c r="C160" i="1" s="1"/>
  <c r="C161" i="1" a="1"/>
  <c r="C161" i="1" s="1"/>
  <c r="C162" i="1" a="1"/>
  <c r="C162" i="1" s="1"/>
  <c r="C163" i="1" a="1"/>
  <c r="C163" i="1" s="1"/>
  <c r="C164" i="1" a="1"/>
  <c r="C164" i="1" s="1"/>
  <c r="C165" i="1" a="1"/>
  <c r="C165" i="1" s="1"/>
  <c r="C166" i="1" a="1"/>
  <c r="C166" i="1" s="1"/>
  <c r="C167" i="1" a="1"/>
  <c r="C167" i="1" s="1"/>
  <c r="C168" i="1" a="1"/>
  <c r="C168" i="1" s="1"/>
  <c r="C169" i="1" a="1"/>
  <c r="C169" i="1" s="1"/>
  <c r="C170" i="1" a="1"/>
  <c r="C170" i="1" s="1"/>
  <c r="C171" i="1" a="1"/>
  <c r="C171" i="1" s="1"/>
  <c r="C172" i="1" a="1"/>
  <c r="C172" i="1" s="1"/>
  <c r="C173" i="1" a="1"/>
  <c r="C173" i="1" s="1"/>
  <c r="C174" i="1" a="1"/>
  <c r="C174" i="1" s="1"/>
  <c r="C175" i="1" a="1"/>
  <c r="C175" i="1" s="1"/>
  <c r="C176" i="1" a="1"/>
  <c r="C176" i="1" s="1"/>
  <c r="C177" i="1" a="1"/>
  <c r="C177" i="1" s="1"/>
  <c r="C178" i="1" a="1"/>
  <c r="C178" i="1" s="1"/>
  <c r="C179" i="1" a="1"/>
  <c r="C179" i="1" s="1"/>
  <c r="C180" i="1" a="1"/>
  <c r="C180" i="1" s="1"/>
  <c r="C181" i="1" a="1"/>
  <c r="C181" i="1" s="1"/>
  <c r="C182" i="1" a="1"/>
  <c r="C182" i="1" s="1"/>
  <c r="C183" i="1" a="1"/>
  <c r="C183" i="1" s="1"/>
  <c r="C184" i="1" a="1"/>
  <c r="C184" i="1" s="1"/>
  <c r="C185" i="1" a="1"/>
  <c r="C185" i="1" s="1"/>
  <c r="C186" i="1" a="1"/>
  <c r="C186" i="1" s="1"/>
  <c r="C187" i="1" a="1"/>
  <c r="C187" i="1" s="1"/>
  <c r="C188" i="1" a="1"/>
  <c r="C188" i="1" s="1"/>
  <c r="C189" i="1" a="1"/>
  <c r="C189" i="1" s="1"/>
  <c r="C190" i="1" a="1"/>
  <c r="C190" i="1" s="1"/>
  <c r="C191" i="1" a="1"/>
  <c r="C191" i="1" s="1"/>
  <c r="C192" i="1" a="1"/>
  <c r="C192" i="1" s="1"/>
  <c r="C193" i="1" a="1"/>
  <c r="C193" i="1" s="1"/>
  <c r="C194" i="1" a="1"/>
  <c r="C194" i="1" s="1"/>
  <c r="C195" i="1" a="1"/>
  <c r="C195" i="1" s="1"/>
  <c r="C196" i="1" a="1"/>
  <c r="C196" i="1" s="1"/>
  <c r="C197" i="1" a="1"/>
  <c r="C197" i="1" s="1"/>
  <c r="C198" i="1" a="1"/>
  <c r="C198" i="1" s="1"/>
  <c r="C199" i="1" a="1"/>
  <c r="C199" i="1" s="1"/>
  <c r="C200" i="1" a="1"/>
  <c r="C200" i="1" s="1"/>
  <c r="C201" i="1" a="1"/>
  <c r="C201" i="1" s="1"/>
  <c r="C202" i="1" a="1"/>
  <c r="C202" i="1" s="1"/>
  <c r="C203" i="1" a="1"/>
  <c r="C203" i="1" s="1"/>
  <c r="C204" i="1" a="1"/>
  <c r="C204" i="1" s="1"/>
  <c r="C205" i="1" a="1"/>
  <c r="C205" i="1" s="1"/>
  <c r="C206" i="1" a="1"/>
  <c r="C206" i="1" s="1"/>
  <c r="C207" i="1" a="1"/>
  <c r="C207" i="1" s="1"/>
  <c r="C208" i="1" a="1"/>
  <c r="C208" i="1" s="1"/>
  <c r="C209" i="1" a="1"/>
  <c r="C209" i="1" s="1"/>
  <c r="C210" i="1" a="1"/>
  <c r="C210" i="1" s="1"/>
  <c r="C211" i="1" a="1"/>
  <c r="C211" i="1" s="1"/>
  <c r="C212" i="1" a="1"/>
  <c r="C212" i="1" s="1"/>
  <c r="C213" i="1" a="1"/>
  <c r="C213" i="1" s="1"/>
  <c r="C214" i="1" a="1"/>
  <c r="C214" i="1" s="1"/>
  <c r="C215" i="1" a="1"/>
  <c r="C215" i="1" s="1"/>
  <c r="C216" i="1" a="1"/>
  <c r="C216" i="1" s="1"/>
  <c r="C217" i="1" a="1"/>
  <c r="C217" i="1" s="1"/>
  <c r="C218" i="1" a="1"/>
  <c r="C218" i="1" s="1"/>
  <c r="C219" i="1" a="1"/>
  <c r="C219" i="1" s="1"/>
  <c r="C220" i="1" a="1"/>
  <c r="C220" i="1" s="1"/>
  <c r="C221" i="1" a="1"/>
  <c r="C221" i="1" s="1"/>
  <c r="C222" i="1" a="1"/>
  <c r="C222" i="1" s="1"/>
  <c r="C223" i="1" a="1"/>
  <c r="C223" i="1" s="1"/>
  <c r="C224" i="1" a="1"/>
  <c r="C224" i="1" s="1"/>
  <c r="C225" i="1" a="1"/>
  <c r="C225" i="1" s="1"/>
  <c r="C226" i="1" a="1"/>
  <c r="C226" i="1" s="1"/>
  <c r="C227" i="1" a="1"/>
  <c r="C227" i="1" s="1"/>
  <c r="C228" i="1" a="1"/>
  <c r="C228" i="1" s="1"/>
  <c r="C229" i="1" a="1"/>
  <c r="C229" i="1" s="1"/>
  <c r="C230" i="1" a="1"/>
  <c r="C230" i="1" s="1"/>
  <c r="C231" i="1" a="1"/>
  <c r="C231" i="1" s="1"/>
  <c r="C232" i="1" a="1"/>
  <c r="C232" i="1" s="1"/>
  <c r="C233" i="1" a="1"/>
  <c r="C233" i="1" s="1"/>
  <c r="C234" i="1" a="1"/>
  <c r="C234" i="1" s="1"/>
  <c r="C235" i="1" a="1"/>
  <c r="C235" i="1" s="1"/>
  <c r="C236" i="1" a="1"/>
  <c r="C236" i="1" s="1"/>
  <c r="C237" i="1" a="1"/>
  <c r="C237" i="1" s="1"/>
  <c r="C238" i="1" a="1"/>
  <c r="C238" i="1" s="1"/>
  <c r="C239" i="1" a="1"/>
  <c r="C239" i="1" s="1"/>
  <c r="C240" i="1" a="1"/>
  <c r="C240" i="1" s="1"/>
  <c r="C241" i="1" a="1"/>
  <c r="C241" i="1" s="1"/>
  <c r="C242" i="1" a="1"/>
  <c r="C242" i="1" s="1"/>
  <c r="C243" i="1" a="1"/>
  <c r="C243" i="1" s="1"/>
  <c r="C244" i="1" a="1"/>
  <c r="C244" i="1" s="1"/>
  <c r="C245" i="1" a="1"/>
  <c r="C245" i="1" s="1"/>
  <c r="C246" i="1" a="1"/>
  <c r="C246" i="1" s="1"/>
  <c r="C247" i="1" a="1"/>
  <c r="C247" i="1" s="1"/>
  <c r="C248" i="1" a="1"/>
  <c r="C248" i="1" s="1"/>
  <c r="C249" i="1" a="1"/>
  <c r="C249" i="1" s="1"/>
  <c r="C250" i="1" a="1"/>
  <c r="C250" i="1" s="1"/>
  <c r="C251" i="1" a="1"/>
  <c r="C251" i="1" s="1"/>
  <c r="C252" i="1" a="1"/>
  <c r="C252" i="1" s="1"/>
  <c r="C253" i="1" a="1"/>
  <c r="C253" i="1" s="1"/>
  <c r="C254" i="1" a="1"/>
  <c r="C254" i="1" s="1"/>
  <c r="C255" i="1" a="1"/>
  <c r="C255" i="1" s="1"/>
  <c r="C256" i="1" a="1"/>
  <c r="C256" i="1" s="1"/>
  <c r="C257" i="1" a="1"/>
  <c r="C257" i="1" s="1"/>
  <c r="C258" i="1" a="1"/>
  <c r="C258" i="1" s="1"/>
  <c r="C259" i="1" a="1"/>
  <c r="C259" i="1" s="1"/>
  <c r="C260" i="1" a="1"/>
  <c r="C260" i="1" s="1"/>
  <c r="C261" i="1" a="1"/>
  <c r="C261" i="1" s="1"/>
  <c r="C262" i="1" a="1"/>
  <c r="C262" i="1" s="1"/>
  <c r="C263" i="1" a="1"/>
  <c r="C263" i="1" s="1"/>
  <c r="C264" i="1" a="1"/>
  <c r="C264" i="1" s="1"/>
  <c r="C265" i="1" a="1"/>
  <c r="C265" i="1" s="1"/>
  <c r="C266" i="1" a="1"/>
  <c r="C266" i="1" s="1"/>
  <c r="C267" i="1" a="1"/>
  <c r="C267" i="1" s="1"/>
  <c r="C268" i="1" a="1"/>
  <c r="C268" i="1" s="1"/>
  <c r="C269" i="1" a="1"/>
  <c r="C269" i="1" s="1"/>
  <c r="C270" i="1" a="1"/>
  <c r="C270" i="1" s="1"/>
  <c r="C271" i="1" a="1"/>
  <c r="C271" i="1" s="1"/>
  <c r="C272" i="1" a="1"/>
  <c r="C272" i="1" s="1"/>
  <c r="C273" i="1" a="1"/>
  <c r="C273" i="1" s="1"/>
  <c r="C274" i="1" a="1"/>
  <c r="C274" i="1" s="1"/>
  <c r="C275" i="1" a="1"/>
  <c r="C275" i="1" s="1"/>
  <c r="C276" i="1" a="1"/>
  <c r="C276" i="1" s="1"/>
  <c r="C277" i="1" a="1"/>
  <c r="C277" i="1" s="1"/>
  <c r="C278" i="1" a="1"/>
  <c r="C278" i="1" s="1"/>
  <c r="C279" i="1" a="1"/>
  <c r="C279" i="1" s="1"/>
  <c r="C280" i="1" a="1"/>
  <c r="C280" i="1" s="1"/>
  <c r="C281" i="1" a="1"/>
  <c r="C281" i="1" s="1"/>
  <c r="C282" i="1" a="1"/>
  <c r="C282" i="1" s="1"/>
  <c r="C283" i="1" a="1"/>
  <c r="C283" i="1" s="1"/>
  <c r="C284" i="1" a="1"/>
  <c r="C284" i="1" s="1"/>
  <c r="C285" i="1" a="1"/>
  <c r="C285" i="1" s="1"/>
  <c r="C286" i="1" a="1"/>
  <c r="C286" i="1" s="1"/>
  <c r="C287" i="1" a="1"/>
  <c r="C287" i="1" s="1"/>
  <c r="C288" i="1" a="1"/>
  <c r="C288" i="1" s="1"/>
  <c r="C289" i="1" a="1"/>
  <c r="C289" i="1" s="1"/>
  <c r="C290" i="1" a="1"/>
  <c r="C290" i="1" s="1"/>
  <c r="C291" i="1" a="1"/>
  <c r="C291" i="1" s="1"/>
  <c r="C292" i="1" a="1"/>
  <c r="C292" i="1" s="1"/>
  <c r="C293" i="1" a="1"/>
  <c r="C293" i="1" s="1"/>
  <c r="C294" i="1" a="1"/>
  <c r="C294" i="1" s="1"/>
  <c r="C295" i="1" a="1"/>
  <c r="C295" i="1" s="1"/>
  <c r="C296" i="1" a="1"/>
  <c r="C296" i="1" s="1"/>
  <c r="C297" i="1" a="1"/>
  <c r="C297" i="1" s="1"/>
  <c r="C298" i="1" a="1"/>
  <c r="C298" i="1" s="1"/>
  <c r="C299" i="1" a="1"/>
  <c r="C299" i="1" s="1"/>
  <c r="C300" i="1" a="1"/>
  <c r="C300" i="1" s="1"/>
  <c r="C301" i="1" a="1"/>
  <c r="C301" i="1" s="1"/>
  <c r="C302" i="1" a="1"/>
  <c r="C302" i="1" s="1"/>
  <c r="C303" i="1" a="1"/>
  <c r="C303" i="1" s="1"/>
  <c r="C304" i="1" a="1"/>
  <c r="C304" i="1" s="1"/>
  <c r="C305" i="1" a="1"/>
  <c r="C305" i="1" s="1"/>
  <c r="C306" i="1" a="1"/>
  <c r="C306" i="1" s="1"/>
  <c r="C307" i="1" a="1"/>
  <c r="C307" i="1" s="1"/>
  <c r="C308" i="1" a="1"/>
  <c r="C308" i="1" s="1"/>
  <c r="C309" i="1" a="1"/>
  <c r="C309" i="1" s="1"/>
  <c r="C310" i="1" a="1"/>
  <c r="C310" i="1" s="1"/>
  <c r="C311" i="1" a="1"/>
  <c r="C311" i="1" s="1"/>
  <c r="C312" i="1" a="1"/>
  <c r="C312" i="1" s="1"/>
  <c r="C313" i="1" a="1"/>
  <c r="C313" i="1" s="1"/>
  <c r="C314" i="1" a="1"/>
  <c r="C314" i="1" s="1"/>
  <c r="C315" i="1" a="1"/>
  <c r="C315" i="1" s="1"/>
  <c r="C316" i="1" a="1"/>
  <c r="C316" i="1" s="1"/>
  <c r="C317" i="1" a="1"/>
  <c r="C317" i="1" s="1"/>
  <c r="C318" i="1" a="1"/>
  <c r="C318" i="1" s="1"/>
  <c r="C319" i="1" a="1"/>
  <c r="C319" i="1" s="1"/>
  <c r="C320" i="1" a="1"/>
  <c r="C320" i="1" s="1"/>
  <c r="C321" i="1" a="1"/>
  <c r="C321" i="1" s="1"/>
  <c r="C322" i="1" a="1"/>
  <c r="C322" i="1" s="1"/>
  <c r="C323" i="1" a="1"/>
  <c r="C323" i="1" s="1"/>
  <c r="C324" i="1" a="1"/>
  <c r="C324" i="1" s="1"/>
  <c r="C325" i="1" a="1"/>
  <c r="C325" i="1" s="1"/>
  <c r="C326" i="1" a="1"/>
  <c r="C326" i="1" s="1"/>
  <c r="C327" i="1" a="1"/>
  <c r="C327" i="1" s="1"/>
  <c r="C328" i="1" a="1"/>
  <c r="C328" i="1" s="1"/>
  <c r="C329" i="1" a="1"/>
  <c r="C329" i="1" s="1"/>
  <c r="C330" i="1" a="1"/>
  <c r="C330" i="1" s="1"/>
  <c r="C331" i="1" a="1"/>
  <c r="C331" i="1" s="1"/>
  <c r="C332" i="1" a="1"/>
  <c r="C332" i="1" s="1"/>
  <c r="C333" i="1" a="1"/>
  <c r="C333" i="1" s="1"/>
  <c r="C334" i="1" a="1"/>
  <c r="C334" i="1" s="1"/>
  <c r="C335" i="1" a="1"/>
  <c r="C335" i="1" s="1"/>
  <c r="C336" i="1" a="1"/>
  <c r="C336" i="1" s="1"/>
  <c r="C337" i="1" a="1"/>
  <c r="C337" i="1" s="1"/>
  <c r="C338" i="1" a="1"/>
  <c r="C338" i="1" s="1"/>
  <c r="C339" i="1" a="1"/>
  <c r="C339" i="1" s="1"/>
  <c r="C340" i="1" a="1"/>
  <c r="C340" i="1" s="1"/>
  <c r="C341" i="1" a="1"/>
  <c r="C341" i="1" s="1"/>
  <c r="C342" i="1" a="1"/>
  <c r="C342" i="1" s="1"/>
  <c r="C343" i="1" a="1"/>
  <c r="C343" i="1" s="1"/>
  <c r="C344" i="1" a="1"/>
  <c r="C344" i="1" s="1"/>
  <c r="C345" i="1" a="1"/>
  <c r="C345" i="1" s="1"/>
  <c r="C346" i="1" a="1"/>
  <c r="C346" i="1" s="1"/>
  <c r="C347" i="1" a="1"/>
  <c r="C347" i="1" s="1"/>
  <c r="C348" i="1" a="1"/>
  <c r="C348" i="1" s="1"/>
  <c r="C349" i="1" a="1"/>
  <c r="C349" i="1" s="1"/>
  <c r="C350" i="1" a="1"/>
  <c r="C350" i="1" s="1"/>
  <c r="C351" i="1" a="1"/>
  <c r="C351" i="1" s="1"/>
  <c r="C352" i="1" a="1"/>
  <c r="C352" i="1" s="1"/>
  <c r="C353" i="1" a="1"/>
  <c r="C353" i="1" s="1"/>
  <c r="C354" i="1" a="1"/>
  <c r="C354" i="1" s="1"/>
  <c r="C355" i="1" a="1"/>
  <c r="C355" i="1" s="1"/>
  <c r="C356" i="1" a="1"/>
  <c r="C356" i="1" s="1"/>
  <c r="C357" i="1" a="1"/>
  <c r="C357" i="1" s="1"/>
  <c r="C358" i="1" a="1"/>
  <c r="C358" i="1" s="1"/>
  <c r="C359" i="1" a="1"/>
  <c r="C359" i="1" s="1"/>
  <c r="C360" i="1" a="1"/>
  <c r="C360" i="1" s="1"/>
  <c r="C361" i="1" a="1"/>
  <c r="C361" i="1" s="1"/>
  <c r="C362" i="1" a="1"/>
  <c r="C362" i="1" s="1"/>
  <c r="C363" i="1" a="1"/>
  <c r="C363" i="1" s="1"/>
  <c r="C364" i="1" a="1"/>
  <c r="C364" i="1" s="1"/>
  <c r="C365" i="1" a="1"/>
  <c r="C365" i="1" s="1"/>
  <c r="C366" i="1" a="1"/>
  <c r="C366" i="1" s="1"/>
  <c r="C367" i="1" a="1"/>
  <c r="C367" i="1" s="1"/>
  <c r="C368" i="1" a="1"/>
  <c r="C368" i="1" s="1"/>
  <c r="C369" i="1" a="1"/>
  <c r="C369" i="1" s="1"/>
  <c r="C370" i="1" a="1"/>
  <c r="C370" i="1" s="1"/>
  <c r="C371" i="1" a="1"/>
  <c r="C371" i="1" s="1"/>
  <c r="C372" i="1" a="1"/>
  <c r="C372" i="1" s="1"/>
  <c r="C373" i="1" a="1"/>
  <c r="C373" i="1" s="1"/>
  <c r="C374" i="1" a="1"/>
  <c r="C374" i="1" s="1"/>
  <c r="C375" i="1" a="1"/>
  <c r="C375" i="1" s="1"/>
  <c r="C376" i="1" a="1"/>
  <c r="C376" i="1" s="1"/>
  <c r="C377" i="1" a="1"/>
  <c r="C377" i="1" s="1"/>
  <c r="C378" i="1" a="1"/>
  <c r="C378" i="1" s="1"/>
  <c r="C379" i="1" a="1"/>
  <c r="C379" i="1" s="1"/>
  <c r="C380" i="1" a="1"/>
  <c r="C380" i="1" s="1"/>
  <c r="C381" i="1" a="1"/>
  <c r="C381" i="1" s="1"/>
  <c r="C382" i="1" a="1"/>
  <c r="C382" i="1" s="1"/>
  <c r="C383" i="1" a="1"/>
  <c r="C383" i="1" s="1"/>
  <c r="C384" i="1" a="1"/>
  <c r="C384" i="1" s="1"/>
  <c r="C385" i="1" a="1"/>
  <c r="C385" i="1" s="1"/>
  <c r="C386" i="1" a="1"/>
  <c r="C386" i="1" s="1"/>
  <c r="C387" i="1" a="1"/>
  <c r="C387" i="1" s="1"/>
  <c r="C388" i="1" a="1"/>
  <c r="C388" i="1" s="1"/>
  <c r="C389" i="1" a="1"/>
  <c r="C389" i="1" s="1"/>
  <c r="C390" i="1" a="1"/>
  <c r="C390" i="1" s="1"/>
  <c r="C391" i="1" a="1"/>
  <c r="C391" i="1" s="1"/>
  <c r="C392" i="1" a="1"/>
  <c r="C392" i="1" s="1"/>
  <c r="C393" i="1" a="1"/>
  <c r="C393" i="1" s="1"/>
  <c r="C394" i="1" a="1"/>
  <c r="C394" i="1" s="1"/>
  <c r="C395" i="1" a="1"/>
  <c r="C395" i="1" s="1"/>
  <c r="C396" i="1" a="1"/>
  <c r="C396" i="1" s="1"/>
  <c r="C397" i="1" a="1"/>
  <c r="C397" i="1" s="1"/>
  <c r="C398" i="1" a="1"/>
  <c r="C398" i="1" s="1"/>
  <c r="C399" i="1" a="1"/>
  <c r="C399" i="1" s="1"/>
  <c r="C400" i="1" a="1"/>
  <c r="C400" i="1" s="1"/>
  <c r="C401" i="1" a="1"/>
  <c r="C401" i="1" s="1"/>
  <c r="C402" i="1" a="1"/>
  <c r="C402" i="1" s="1"/>
  <c r="C403" i="1" a="1"/>
  <c r="C403" i="1" s="1"/>
  <c r="C404" i="1" a="1"/>
  <c r="C404" i="1" s="1"/>
  <c r="C405" i="1" a="1"/>
  <c r="C405" i="1" s="1"/>
  <c r="C406" i="1" a="1"/>
  <c r="C406" i="1" s="1"/>
  <c r="C407" i="1" a="1"/>
  <c r="C407" i="1" s="1"/>
  <c r="C408" i="1" a="1"/>
  <c r="C408" i="1" s="1"/>
  <c r="C409" i="1" a="1"/>
  <c r="C409" i="1" s="1"/>
  <c r="C410" i="1" a="1"/>
  <c r="C410" i="1" s="1"/>
  <c r="C411" i="1" a="1"/>
  <c r="C411" i="1" s="1"/>
  <c r="C412" i="1" a="1"/>
  <c r="C412" i="1" s="1"/>
  <c r="C413" i="1" a="1"/>
  <c r="C413" i="1" s="1"/>
  <c r="C414" i="1" a="1"/>
  <c r="C414" i="1" s="1"/>
  <c r="C415" i="1" a="1"/>
  <c r="C415" i="1" s="1"/>
  <c r="C416" i="1" a="1"/>
  <c r="C416" i="1" s="1"/>
  <c r="C417" i="1" a="1"/>
  <c r="C417" i="1" s="1"/>
  <c r="C418" i="1" a="1"/>
  <c r="C418" i="1" s="1"/>
  <c r="C419" i="1" a="1"/>
  <c r="C419" i="1" s="1"/>
  <c r="C420" i="1" a="1"/>
  <c r="C420" i="1" s="1"/>
  <c r="C421" i="1" a="1"/>
  <c r="C421" i="1" s="1"/>
  <c r="C422" i="1" a="1"/>
  <c r="C422" i="1" s="1"/>
  <c r="C423" i="1" a="1"/>
  <c r="C423" i="1" s="1"/>
  <c r="C424" i="1" a="1"/>
  <c r="C424" i="1" s="1"/>
  <c r="C425" i="1" a="1"/>
  <c r="C425" i="1" s="1"/>
  <c r="C426" i="1" a="1"/>
  <c r="C426" i="1" s="1"/>
  <c r="C427" i="1" a="1"/>
  <c r="C427" i="1" s="1"/>
  <c r="C428" i="1" a="1"/>
  <c r="C428" i="1" s="1"/>
  <c r="C429" i="1" a="1"/>
  <c r="C429" i="1" s="1"/>
  <c r="C430" i="1" a="1"/>
  <c r="C430" i="1" s="1"/>
  <c r="C431" i="1" a="1"/>
  <c r="C431" i="1" s="1"/>
  <c r="C432" i="1" a="1"/>
  <c r="C432" i="1" s="1"/>
  <c r="C433" i="1" a="1"/>
  <c r="C433" i="1" s="1"/>
  <c r="C434" i="1" a="1"/>
  <c r="C434" i="1" s="1"/>
  <c r="C435" i="1" a="1"/>
  <c r="C435" i="1" s="1"/>
  <c r="C436" i="1" a="1"/>
  <c r="C436" i="1" s="1"/>
  <c r="C437" i="1" a="1"/>
  <c r="C437" i="1" s="1"/>
  <c r="C438" i="1" a="1"/>
  <c r="C438" i="1" s="1"/>
  <c r="C439" i="1" a="1"/>
  <c r="C439" i="1" s="1"/>
  <c r="C440" i="1" a="1"/>
  <c r="C440" i="1" s="1"/>
  <c r="C441" i="1" a="1"/>
  <c r="C441" i="1" s="1"/>
  <c r="C442" i="1" a="1"/>
  <c r="C442" i="1" s="1"/>
  <c r="C443" i="1" a="1"/>
  <c r="C443" i="1" s="1"/>
  <c r="C444" i="1" a="1"/>
  <c r="C444" i="1" s="1"/>
  <c r="C445" i="1" a="1"/>
  <c r="C445" i="1" s="1"/>
  <c r="C446" i="1" a="1"/>
  <c r="C446" i="1" s="1"/>
  <c r="C447" i="1" a="1"/>
  <c r="C447" i="1" s="1"/>
  <c r="C448" i="1" a="1"/>
  <c r="C448" i="1" s="1"/>
  <c r="C449" i="1" a="1"/>
  <c r="C449" i="1" s="1"/>
  <c r="C450" i="1" a="1"/>
  <c r="C450" i="1" s="1"/>
  <c r="C451" i="1" a="1"/>
  <c r="C451" i="1" s="1"/>
  <c r="C452" i="1" a="1"/>
  <c r="C452" i="1" s="1"/>
  <c r="C453" i="1" a="1"/>
  <c r="C453" i="1" s="1"/>
  <c r="C454" i="1" a="1"/>
  <c r="C454" i="1" s="1"/>
  <c r="C455" i="1" a="1"/>
  <c r="C455" i="1" s="1"/>
  <c r="C456" i="1" a="1"/>
  <c r="C456" i="1" s="1"/>
  <c r="C457" i="1" a="1"/>
  <c r="C457" i="1" s="1"/>
  <c r="C458" i="1" a="1"/>
  <c r="C458" i="1" s="1"/>
  <c r="C459" i="1" a="1"/>
  <c r="C459" i="1" s="1"/>
  <c r="C460" i="1" a="1"/>
  <c r="C460" i="1" s="1"/>
  <c r="C461" i="1" a="1"/>
  <c r="C461" i="1" s="1"/>
  <c r="C462" i="1" a="1"/>
  <c r="C462" i="1" s="1"/>
  <c r="C463" i="1" a="1"/>
  <c r="C463" i="1" s="1"/>
  <c r="C464" i="1" a="1"/>
  <c r="C464" i="1" s="1"/>
  <c r="C465" i="1" a="1"/>
  <c r="C465" i="1" s="1"/>
  <c r="C466" i="1" a="1"/>
  <c r="C466" i="1" s="1"/>
  <c r="C467" i="1" a="1"/>
  <c r="C467" i="1" s="1"/>
  <c r="C468" i="1" a="1"/>
  <c r="C468" i="1" s="1"/>
  <c r="C469" i="1" a="1"/>
  <c r="C469" i="1" s="1"/>
  <c r="C470" i="1" a="1"/>
  <c r="C470" i="1" s="1"/>
  <c r="C471" i="1" a="1"/>
  <c r="C471" i="1" s="1"/>
  <c r="C472" i="1" a="1"/>
  <c r="C472" i="1" s="1"/>
  <c r="C473" i="1" a="1"/>
  <c r="C473" i="1" s="1"/>
  <c r="C474" i="1" a="1"/>
  <c r="C474" i="1" s="1"/>
  <c r="C475" i="1" a="1"/>
  <c r="C475" i="1" s="1"/>
  <c r="C476" i="1" a="1"/>
  <c r="C476" i="1" s="1"/>
  <c r="C477" i="1" a="1"/>
  <c r="C477" i="1" s="1"/>
  <c r="C478" i="1" a="1"/>
  <c r="C478" i="1" s="1"/>
  <c r="C479" i="1" a="1"/>
  <c r="C479" i="1" s="1"/>
  <c r="C480" i="1" a="1"/>
  <c r="C480" i="1" s="1"/>
  <c r="C481" i="1" a="1"/>
  <c r="C481" i="1" s="1"/>
  <c r="C482" i="1" a="1"/>
  <c r="C482" i="1" s="1"/>
  <c r="C483" i="1" a="1"/>
  <c r="C483" i="1" s="1"/>
  <c r="C484" i="1" a="1"/>
  <c r="C484" i="1" s="1"/>
  <c r="C485" i="1" a="1"/>
  <c r="C485" i="1" s="1"/>
  <c r="C486" i="1" a="1"/>
  <c r="C486" i="1" s="1"/>
  <c r="C487" i="1" a="1"/>
  <c r="C487" i="1" s="1"/>
  <c r="C488" i="1" a="1"/>
  <c r="C488" i="1" s="1"/>
  <c r="C489" i="1" a="1"/>
  <c r="C489" i="1" s="1"/>
  <c r="C490" i="1" a="1"/>
  <c r="C490" i="1" s="1"/>
  <c r="C491" i="1" a="1"/>
  <c r="C491" i="1" s="1"/>
  <c r="C492" i="1" a="1"/>
  <c r="C492" i="1" s="1"/>
  <c r="C493" i="1" a="1"/>
  <c r="C493" i="1" s="1"/>
  <c r="C494" i="1" a="1"/>
  <c r="C494" i="1" s="1"/>
  <c r="C495" i="1" a="1"/>
  <c r="C495" i="1" s="1"/>
  <c r="C496" i="1" a="1"/>
  <c r="C496" i="1" s="1"/>
  <c r="C497" i="1" a="1"/>
  <c r="C497" i="1" s="1"/>
  <c r="C498" i="1" a="1"/>
  <c r="C498" i="1" s="1"/>
  <c r="C499" i="1" a="1"/>
  <c r="C499" i="1" s="1"/>
  <c r="C500" i="1" a="1"/>
  <c r="C500" i="1" s="1"/>
  <c r="B2" i="1" a="1"/>
  <c r="B2" i="1" s="1"/>
  <c r="B3" i="1" a="1"/>
  <c r="B3" i="1" s="1"/>
  <c r="B4" i="1" a="1"/>
  <c r="B4" i="1" s="1"/>
  <c r="B5" i="1" a="1"/>
  <c r="B5" i="1" s="1"/>
  <c r="B6" i="1" a="1"/>
  <c r="B6" i="1" s="1"/>
  <c r="B7" i="1" a="1"/>
  <c r="B7" i="1" s="1"/>
  <c r="B8" i="1" a="1"/>
  <c r="B8" i="1" s="1"/>
  <c r="B9" i="1" a="1"/>
  <c r="B9" i="1" s="1"/>
  <c r="B10" i="1" a="1"/>
  <c r="B10" i="1" s="1"/>
  <c r="B11" i="1" a="1"/>
  <c r="B11" i="1" s="1"/>
  <c r="B12" i="1" a="1"/>
  <c r="B12" i="1" s="1"/>
  <c r="B13" i="1" a="1"/>
  <c r="B13" i="1" s="1"/>
  <c r="B14" i="1" a="1"/>
  <c r="B14" i="1" s="1"/>
  <c r="B15" i="1" a="1"/>
  <c r="B15" i="1" s="1"/>
  <c r="B16" i="1" a="1"/>
  <c r="B16" i="1" s="1"/>
  <c r="B17" i="1" a="1"/>
  <c r="B17" i="1" s="1"/>
  <c r="B18" i="1" a="1"/>
  <c r="B18" i="1" s="1"/>
  <c r="B19" i="1" a="1"/>
  <c r="B19" i="1" s="1"/>
  <c r="B20" i="1" a="1"/>
  <c r="B20" i="1" s="1"/>
  <c r="B21" i="1" a="1"/>
  <c r="B21" i="1" s="1"/>
  <c r="B22" i="1" a="1"/>
  <c r="B22" i="1" s="1"/>
  <c r="B23" i="1" a="1"/>
  <c r="B23" i="1" s="1"/>
  <c r="B24" i="1" a="1"/>
  <c r="B24" i="1" s="1"/>
  <c r="B25" i="1" a="1"/>
  <c r="B25" i="1" s="1"/>
  <c r="B26" i="1" a="1"/>
  <c r="B26" i="1" s="1"/>
  <c r="B27" i="1" a="1"/>
  <c r="B27" i="1" s="1"/>
  <c r="B28" i="1" a="1"/>
  <c r="B28" i="1" s="1"/>
  <c r="B29" i="1" a="1"/>
  <c r="B29" i="1" s="1"/>
  <c r="B30" i="1" a="1"/>
  <c r="B30" i="1" s="1"/>
  <c r="B31" i="1" a="1"/>
  <c r="B31" i="1" s="1"/>
  <c r="B32" i="1" a="1"/>
  <c r="B32" i="1" s="1"/>
  <c r="B33" i="1" a="1"/>
  <c r="B33" i="1" s="1"/>
  <c r="B34" i="1" a="1"/>
  <c r="B34" i="1" s="1"/>
  <c r="B35" i="1" a="1"/>
  <c r="B35" i="1" s="1"/>
  <c r="B36" i="1" a="1"/>
  <c r="B36" i="1" s="1"/>
  <c r="B37" i="1" a="1"/>
  <c r="B37" i="1" s="1"/>
  <c r="B38" i="1" a="1"/>
  <c r="B38" i="1" s="1"/>
  <c r="B39" i="1" a="1"/>
  <c r="B39" i="1" s="1"/>
  <c r="B40" i="1" a="1"/>
  <c r="B40" i="1" s="1"/>
  <c r="B41" i="1" a="1"/>
  <c r="B41" i="1" s="1"/>
  <c r="B42" i="1" a="1"/>
  <c r="B42" i="1" s="1"/>
  <c r="B43" i="1" a="1"/>
  <c r="B43" i="1" s="1"/>
  <c r="B44" i="1" a="1"/>
  <c r="B44" i="1" s="1"/>
  <c r="B45" i="1" a="1"/>
  <c r="B45" i="1" s="1"/>
  <c r="B46" i="1" a="1"/>
  <c r="B46" i="1" s="1"/>
  <c r="B47" i="1" a="1"/>
  <c r="B47" i="1" s="1"/>
  <c r="B48" i="1" a="1"/>
  <c r="B48" i="1" s="1"/>
  <c r="B49" i="1" a="1"/>
  <c r="B49" i="1" s="1"/>
  <c r="B50" i="1" a="1"/>
  <c r="B50" i="1" s="1"/>
  <c r="B51" i="1" a="1"/>
  <c r="B51" i="1" s="1"/>
  <c r="B52" i="1" a="1"/>
  <c r="B52" i="1" s="1"/>
  <c r="B53" i="1" a="1"/>
  <c r="B53" i="1" s="1"/>
  <c r="B54" i="1" a="1"/>
  <c r="B54" i="1" s="1"/>
  <c r="B55" i="1" a="1"/>
  <c r="B55" i="1" s="1"/>
  <c r="B56" i="1" a="1"/>
  <c r="B56" i="1" s="1"/>
  <c r="B57" i="1" a="1"/>
  <c r="B57" i="1" s="1"/>
  <c r="B58" i="1" a="1"/>
  <c r="B58" i="1" s="1"/>
  <c r="B59" i="1" a="1"/>
  <c r="B59" i="1" s="1"/>
  <c r="B60" i="1" a="1"/>
  <c r="B60" i="1" s="1"/>
  <c r="B61" i="1" a="1"/>
  <c r="B61" i="1" s="1"/>
  <c r="B62" i="1" a="1"/>
  <c r="B62" i="1" s="1"/>
  <c r="B63" i="1" a="1"/>
  <c r="B63" i="1" s="1"/>
  <c r="B64" i="1" a="1"/>
  <c r="B64" i="1" s="1"/>
  <c r="B65" i="1" a="1"/>
  <c r="B65" i="1" s="1"/>
  <c r="B66" i="1" a="1"/>
  <c r="B66" i="1" s="1"/>
  <c r="B67" i="1" a="1"/>
  <c r="B67" i="1" s="1"/>
  <c r="B68" i="1" a="1"/>
  <c r="B68" i="1" s="1"/>
  <c r="B69" i="1" a="1"/>
  <c r="B69" i="1" s="1"/>
  <c r="B70" i="1" a="1"/>
  <c r="B70" i="1" s="1"/>
  <c r="B71" i="1" a="1"/>
  <c r="B71" i="1" s="1"/>
  <c r="B72" i="1" a="1"/>
  <c r="B72" i="1" s="1"/>
  <c r="B73" i="1" a="1"/>
  <c r="B73" i="1" s="1"/>
  <c r="B74" i="1" a="1"/>
  <c r="B74" i="1" s="1"/>
  <c r="B75" i="1" a="1"/>
  <c r="B75" i="1" s="1"/>
  <c r="B76" i="1" a="1"/>
  <c r="B76" i="1" s="1"/>
  <c r="B77" i="1" a="1"/>
  <c r="B77" i="1" s="1"/>
  <c r="B78" i="1" a="1"/>
  <c r="B78" i="1" s="1"/>
  <c r="B79" i="1" a="1"/>
  <c r="B79" i="1" s="1"/>
  <c r="B80" i="1" a="1"/>
  <c r="B80" i="1" s="1"/>
  <c r="B81" i="1" a="1"/>
  <c r="B81" i="1" s="1"/>
  <c r="B82" i="1" a="1"/>
  <c r="B82" i="1" s="1"/>
  <c r="B83" i="1" a="1"/>
  <c r="B83" i="1" s="1"/>
  <c r="B84" i="1" a="1"/>
  <c r="B84" i="1" s="1"/>
  <c r="B85" i="1" a="1"/>
  <c r="B85" i="1" s="1"/>
  <c r="B86" i="1" a="1"/>
  <c r="B86" i="1" s="1"/>
  <c r="B87" i="1" a="1"/>
  <c r="B87" i="1" s="1"/>
  <c r="B88" i="1" a="1"/>
  <c r="B88" i="1" s="1"/>
  <c r="B89" i="1" a="1"/>
  <c r="B89" i="1" s="1"/>
  <c r="B90" i="1" a="1"/>
  <c r="B90" i="1" s="1"/>
  <c r="B91" i="1" a="1"/>
  <c r="B91" i="1" s="1"/>
  <c r="B92" i="1" a="1"/>
  <c r="B92" i="1" s="1"/>
  <c r="B93" i="1" a="1"/>
  <c r="B93" i="1" s="1"/>
  <c r="B94" i="1" a="1"/>
  <c r="B94" i="1" s="1"/>
  <c r="B95" i="1" a="1"/>
  <c r="B95" i="1" s="1"/>
  <c r="B96" i="1" a="1"/>
  <c r="B96" i="1" s="1"/>
  <c r="B97" i="1" a="1"/>
  <c r="B97" i="1" s="1"/>
  <c r="B98" i="1" a="1"/>
  <c r="B98" i="1" s="1"/>
  <c r="B99" i="1" a="1"/>
  <c r="B99" i="1" s="1"/>
  <c r="B100" i="1" a="1"/>
  <c r="B100" i="1" s="1"/>
  <c r="B101" i="1" a="1"/>
  <c r="B101" i="1" s="1"/>
  <c r="B102" i="1" a="1"/>
  <c r="B102" i="1" s="1"/>
  <c r="B103" i="1" a="1"/>
  <c r="B103" i="1" s="1"/>
  <c r="B104" i="1" a="1"/>
  <c r="B104" i="1" s="1"/>
  <c r="B105" i="1" a="1"/>
  <c r="B105" i="1" s="1"/>
  <c r="B106" i="1" a="1"/>
  <c r="B106" i="1" s="1"/>
  <c r="B107" i="1" a="1"/>
  <c r="B107" i="1" s="1"/>
  <c r="B108" i="1" a="1"/>
  <c r="B108" i="1" s="1"/>
  <c r="B109" i="1" a="1"/>
  <c r="B109" i="1" s="1"/>
  <c r="B110" i="1" a="1"/>
  <c r="B110" i="1" s="1"/>
  <c r="B111" i="1" a="1"/>
  <c r="B111" i="1" s="1"/>
  <c r="B112" i="1" a="1"/>
  <c r="B112" i="1" s="1"/>
  <c r="B113" i="1" a="1"/>
  <c r="B113" i="1" s="1"/>
  <c r="B114" i="1" a="1"/>
  <c r="B114" i="1" s="1"/>
  <c r="B115" i="1" a="1"/>
  <c r="B115" i="1" s="1"/>
  <c r="B116" i="1" a="1"/>
  <c r="B116" i="1" s="1"/>
  <c r="B117" i="1" a="1"/>
  <c r="B117" i="1" s="1"/>
  <c r="B118" i="1" a="1"/>
  <c r="B118" i="1" s="1"/>
  <c r="B119" i="1" a="1"/>
  <c r="B119" i="1" s="1"/>
  <c r="B120" i="1" a="1"/>
  <c r="B120" i="1" s="1"/>
  <c r="B121" i="1" a="1"/>
  <c r="B121" i="1" s="1"/>
  <c r="B122" i="1" a="1"/>
  <c r="B122" i="1" s="1"/>
  <c r="B123" i="1" a="1"/>
  <c r="B123" i="1" s="1"/>
  <c r="B124" i="1" a="1"/>
  <c r="B124" i="1" s="1"/>
  <c r="B125" i="1" a="1"/>
  <c r="B125" i="1" s="1"/>
  <c r="B126" i="1" a="1"/>
  <c r="B126" i="1" s="1"/>
  <c r="B127" i="1" a="1"/>
  <c r="B127" i="1" s="1"/>
  <c r="B128" i="1" a="1"/>
  <c r="B128" i="1" s="1"/>
  <c r="B129" i="1" a="1"/>
  <c r="B129" i="1" s="1"/>
  <c r="B130" i="1" a="1"/>
  <c r="B130" i="1" s="1"/>
  <c r="B131" i="1" a="1"/>
  <c r="B131" i="1" s="1"/>
  <c r="B132" i="1" a="1"/>
  <c r="B132" i="1" s="1"/>
  <c r="B133" i="1" a="1"/>
  <c r="B133" i="1" s="1"/>
  <c r="B134" i="1" a="1"/>
  <c r="B134" i="1" s="1"/>
  <c r="B135" i="1" a="1"/>
  <c r="B135" i="1" s="1"/>
  <c r="B136" i="1" a="1"/>
  <c r="B136" i="1" s="1"/>
  <c r="B137" i="1" a="1"/>
  <c r="B137" i="1" s="1"/>
  <c r="B138" i="1" a="1"/>
  <c r="B138" i="1" s="1"/>
  <c r="B139" i="1" a="1"/>
  <c r="B139" i="1" s="1"/>
  <c r="B140" i="1" a="1"/>
  <c r="B140" i="1" s="1"/>
  <c r="B141" i="1" a="1"/>
  <c r="B141" i="1" s="1"/>
  <c r="B142" i="1" a="1"/>
  <c r="B142" i="1" s="1"/>
  <c r="B143" i="1" a="1"/>
  <c r="B143" i="1" s="1"/>
  <c r="B144" i="1" a="1"/>
  <c r="B144" i="1" s="1"/>
  <c r="B145" i="1" a="1"/>
  <c r="B145" i="1" s="1"/>
  <c r="B146" i="1" a="1"/>
  <c r="B146" i="1" s="1"/>
  <c r="B147" i="1" a="1"/>
  <c r="B147" i="1" s="1"/>
  <c r="B148" i="1" a="1"/>
  <c r="B148" i="1" s="1"/>
  <c r="B149" i="1" a="1"/>
  <c r="B149" i="1" s="1"/>
  <c r="B150" i="1" a="1"/>
  <c r="B150" i="1" s="1"/>
  <c r="B151" i="1" a="1"/>
  <c r="B151" i="1" s="1"/>
  <c r="B152" i="1" a="1"/>
  <c r="B152" i="1" s="1"/>
  <c r="B153" i="1" a="1"/>
  <c r="B153" i="1" s="1"/>
  <c r="B154" i="1" a="1"/>
  <c r="B154" i="1" s="1"/>
  <c r="B155" i="1" a="1"/>
  <c r="B155" i="1" s="1"/>
  <c r="B156" i="1" a="1"/>
  <c r="B156" i="1" s="1"/>
  <c r="B157" i="1" a="1"/>
  <c r="B157" i="1" s="1"/>
  <c r="B158" i="1" a="1"/>
  <c r="B158" i="1" s="1"/>
  <c r="B159" i="1" a="1"/>
  <c r="B159" i="1" s="1"/>
  <c r="B160" i="1" a="1"/>
  <c r="B160" i="1" s="1"/>
  <c r="B161" i="1" a="1"/>
  <c r="B161" i="1" s="1"/>
  <c r="B162" i="1" a="1"/>
  <c r="B162" i="1" s="1"/>
  <c r="B163" i="1" a="1"/>
  <c r="B163" i="1" s="1"/>
  <c r="B164" i="1" a="1"/>
  <c r="B164" i="1" s="1"/>
  <c r="B165" i="1" a="1"/>
  <c r="B165" i="1" s="1"/>
  <c r="B166" i="1" a="1"/>
  <c r="B166" i="1" s="1"/>
  <c r="B167" i="1" a="1"/>
  <c r="B167" i="1" s="1"/>
  <c r="B168" i="1" a="1"/>
  <c r="B168" i="1" s="1"/>
  <c r="B169" i="1" a="1"/>
  <c r="B169" i="1" s="1"/>
  <c r="B170" i="1" a="1"/>
  <c r="B170" i="1" s="1"/>
  <c r="B171" i="1" a="1"/>
  <c r="B171" i="1" s="1"/>
  <c r="B172" i="1" a="1"/>
  <c r="B172" i="1" s="1"/>
  <c r="B173" i="1" a="1"/>
  <c r="B173" i="1" s="1"/>
  <c r="B174" i="1" a="1"/>
  <c r="B174" i="1" s="1"/>
  <c r="B175" i="1" a="1"/>
  <c r="B175" i="1" s="1"/>
  <c r="B176" i="1" a="1"/>
  <c r="B176" i="1" s="1"/>
  <c r="B177" i="1" a="1"/>
  <c r="B177" i="1" s="1"/>
  <c r="B178" i="1" a="1"/>
  <c r="B178" i="1" s="1"/>
  <c r="B179" i="1" a="1"/>
  <c r="B179" i="1" s="1"/>
  <c r="B180" i="1" a="1"/>
  <c r="B180" i="1" s="1"/>
  <c r="B181" i="1" a="1"/>
  <c r="B181" i="1" s="1"/>
  <c r="B182" i="1" a="1"/>
  <c r="B182" i="1" s="1"/>
  <c r="B183" i="1" a="1"/>
  <c r="B183" i="1" s="1"/>
  <c r="B184" i="1" a="1"/>
  <c r="B184" i="1" s="1"/>
  <c r="B185" i="1" a="1"/>
  <c r="B185" i="1" s="1"/>
  <c r="B186" i="1" a="1"/>
  <c r="B186" i="1" s="1"/>
  <c r="B187" i="1" a="1"/>
  <c r="B187" i="1" s="1"/>
  <c r="B188" i="1" a="1"/>
  <c r="B188" i="1" s="1"/>
  <c r="B189" i="1" a="1"/>
  <c r="B189" i="1" s="1"/>
  <c r="B190" i="1" a="1"/>
  <c r="B190" i="1" s="1"/>
  <c r="B191" i="1" a="1"/>
  <c r="B191" i="1" s="1"/>
  <c r="B192" i="1" a="1"/>
  <c r="B192" i="1" s="1"/>
  <c r="B193" i="1" a="1"/>
  <c r="B193" i="1" s="1"/>
  <c r="B194" i="1" a="1"/>
  <c r="B194" i="1" s="1"/>
  <c r="B195" i="1" a="1"/>
  <c r="B195" i="1" s="1"/>
  <c r="B196" i="1" a="1"/>
  <c r="B196" i="1" s="1"/>
  <c r="B197" i="1" a="1"/>
  <c r="B197" i="1" s="1"/>
  <c r="B198" i="1" a="1"/>
  <c r="B198" i="1" s="1"/>
  <c r="B199" i="1" a="1"/>
  <c r="B199" i="1" s="1"/>
  <c r="B200" i="1" a="1"/>
  <c r="B200" i="1" s="1"/>
  <c r="B201" i="1" a="1"/>
  <c r="B201" i="1" s="1"/>
  <c r="B202" i="1" a="1"/>
  <c r="B202" i="1" s="1"/>
  <c r="B203" i="1" a="1"/>
  <c r="B203" i="1" s="1"/>
  <c r="B204" i="1" a="1"/>
  <c r="B204" i="1" s="1"/>
  <c r="B205" i="1" a="1"/>
  <c r="B205" i="1" s="1"/>
  <c r="B206" i="1" a="1"/>
  <c r="B206" i="1" s="1"/>
  <c r="B207" i="1" a="1"/>
  <c r="B207" i="1" s="1"/>
  <c r="B208" i="1" a="1"/>
  <c r="B208" i="1" s="1"/>
  <c r="B209" i="1" a="1"/>
  <c r="B209" i="1" s="1"/>
  <c r="B210" i="1" a="1"/>
  <c r="B210" i="1" s="1"/>
  <c r="B211" i="1" a="1"/>
  <c r="B211" i="1" s="1"/>
  <c r="B212" i="1" a="1"/>
  <c r="B212" i="1" s="1"/>
  <c r="B213" i="1" a="1"/>
  <c r="B213" i="1" s="1"/>
  <c r="B214" i="1" a="1"/>
  <c r="B214" i="1" s="1"/>
  <c r="B215" i="1" a="1"/>
  <c r="B215" i="1" s="1"/>
  <c r="B216" i="1" a="1"/>
  <c r="B216" i="1" s="1"/>
  <c r="B217" i="1" a="1"/>
  <c r="B217" i="1" s="1"/>
  <c r="B218" i="1" a="1"/>
  <c r="B218" i="1" s="1"/>
  <c r="B219" i="1" a="1"/>
  <c r="B219" i="1" s="1"/>
  <c r="B220" i="1" a="1"/>
  <c r="B220" i="1" s="1"/>
  <c r="B221" i="1" a="1"/>
  <c r="B221" i="1" s="1"/>
  <c r="B222" i="1" a="1"/>
  <c r="B222" i="1" s="1"/>
  <c r="B223" i="1" a="1"/>
  <c r="B223" i="1" s="1"/>
  <c r="B224" i="1" a="1"/>
  <c r="B224" i="1" s="1"/>
  <c r="B225" i="1" a="1"/>
  <c r="B225" i="1" s="1"/>
  <c r="B226" i="1" a="1"/>
  <c r="B226" i="1" s="1"/>
  <c r="B227" i="1" a="1"/>
  <c r="B227" i="1" s="1"/>
  <c r="B228" i="1" a="1"/>
  <c r="B228" i="1" s="1"/>
  <c r="B229" i="1" a="1"/>
  <c r="B229" i="1" s="1"/>
  <c r="B230" i="1" a="1"/>
  <c r="B230" i="1" s="1"/>
  <c r="B231" i="1" a="1"/>
  <c r="B231" i="1" s="1"/>
  <c r="B232" i="1" a="1"/>
  <c r="B232" i="1" s="1"/>
  <c r="B233" i="1" a="1"/>
  <c r="B233" i="1" s="1"/>
  <c r="B234" i="1" a="1"/>
  <c r="B234" i="1" s="1"/>
  <c r="B235" i="1" a="1"/>
  <c r="B235" i="1" s="1"/>
  <c r="B236" i="1" a="1"/>
  <c r="B236" i="1" s="1"/>
  <c r="B237" i="1" a="1"/>
  <c r="B237" i="1" s="1"/>
  <c r="B238" i="1" a="1"/>
  <c r="B238" i="1" s="1"/>
  <c r="B239" i="1" a="1"/>
  <c r="B239" i="1" s="1"/>
  <c r="B240" i="1" a="1"/>
  <c r="B240" i="1" s="1"/>
  <c r="B241" i="1" a="1"/>
  <c r="B241" i="1" s="1"/>
  <c r="B242" i="1" a="1"/>
  <c r="B242" i="1" s="1"/>
  <c r="B243" i="1" a="1"/>
  <c r="B243" i="1" s="1"/>
  <c r="B244" i="1" a="1"/>
  <c r="B244" i="1" s="1"/>
  <c r="B245" i="1" a="1"/>
  <c r="B245" i="1" s="1"/>
  <c r="B246" i="1" a="1"/>
  <c r="B246" i="1" s="1"/>
  <c r="B247" i="1" a="1"/>
  <c r="B247" i="1" s="1"/>
  <c r="B248" i="1" a="1"/>
  <c r="B248" i="1" s="1"/>
  <c r="B249" i="1" a="1"/>
  <c r="B249" i="1" s="1"/>
  <c r="B250" i="1" a="1"/>
  <c r="B250" i="1" s="1"/>
  <c r="B251" i="1" a="1"/>
  <c r="B251" i="1" s="1"/>
  <c r="B252" i="1" a="1"/>
  <c r="B252" i="1" s="1"/>
  <c r="B253" i="1" a="1"/>
  <c r="B253" i="1" s="1"/>
  <c r="B254" i="1" a="1"/>
  <c r="B254" i="1" s="1"/>
  <c r="B255" i="1" a="1"/>
  <c r="B255" i="1" s="1"/>
  <c r="B256" i="1" a="1"/>
  <c r="B256" i="1" s="1"/>
  <c r="B257" i="1" a="1"/>
  <c r="B257" i="1" s="1"/>
  <c r="B258" i="1" a="1"/>
  <c r="B258" i="1" s="1"/>
  <c r="B259" i="1" a="1"/>
  <c r="B259" i="1" s="1"/>
  <c r="B260" i="1" a="1"/>
  <c r="B260" i="1" s="1"/>
  <c r="B261" i="1" a="1"/>
  <c r="B261" i="1" s="1"/>
  <c r="B262" i="1" a="1"/>
  <c r="B262" i="1" s="1"/>
  <c r="B263" i="1" a="1"/>
  <c r="B263" i="1" s="1"/>
  <c r="B264" i="1" a="1"/>
  <c r="B264" i="1" s="1"/>
  <c r="B265" i="1" a="1"/>
  <c r="B265" i="1" s="1"/>
  <c r="B266" i="1" a="1"/>
  <c r="B266" i="1" s="1"/>
  <c r="B267" i="1" a="1"/>
  <c r="B267" i="1" s="1"/>
  <c r="B268" i="1" a="1"/>
  <c r="B268" i="1" s="1"/>
  <c r="B269" i="1" a="1"/>
  <c r="B269" i="1" s="1"/>
  <c r="B270" i="1" a="1"/>
  <c r="B270" i="1" s="1"/>
  <c r="B271" i="1" a="1"/>
  <c r="B271" i="1" s="1"/>
  <c r="B272" i="1" a="1"/>
  <c r="B272" i="1" s="1"/>
  <c r="B273" i="1" a="1"/>
  <c r="B273" i="1" s="1"/>
  <c r="B274" i="1" a="1"/>
  <c r="B274" i="1" s="1"/>
  <c r="B275" i="1" a="1"/>
  <c r="B275" i="1" s="1"/>
  <c r="B276" i="1" a="1"/>
  <c r="B276" i="1" s="1"/>
  <c r="B277" i="1" a="1"/>
  <c r="B277" i="1" s="1"/>
  <c r="B278" i="1" a="1"/>
  <c r="B278" i="1" s="1"/>
  <c r="B279" i="1" a="1"/>
  <c r="B279" i="1" s="1"/>
  <c r="B280" i="1" a="1"/>
  <c r="B280" i="1" s="1"/>
  <c r="B281" i="1" a="1"/>
  <c r="B281" i="1" s="1"/>
  <c r="B282" i="1" a="1"/>
  <c r="B282" i="1" s="1"/>
  <c r="B283" i="1" a="1"/>
  <c r="B283" i="1" s="1"/>
  <c r="B284" i="1" a="1"/>
  <c r="B284" i="1" s="1"/>
  <c r="B285" i="1" a="1"/>
  <c r="B285" i="1" s="1"/>
  <c r="B286" i="1" a="1"/>
  <c r="B286" i="1" s="1"/>
  <c r="B287" i="1" a="1"/>
  <c r="B287" i="1" s="1"/>
  <c r="B288" i="1" a="1"/>
  <c r="B288" i="1" s="1"/>
  <c r="B289" i="1" a="1"/>
  <c r="B289" i="1" s="1"/>
  <c r="B290" i="1" a="1"/>
  <c r="B290" i="1" s="1"/>
  <c r="B291" i="1" a="1"/>
  <c r="B291" i="1" s="1"/>
  <c r="B292" i="1" a="1"/>
  <c r="B292" i="1" s="1"/>
  <c r="B293" i="1" a="1"/>
  <c r="B293" i="1" s="1"/>
  <c r="B294" i="1" a="1"/>
  <c r="B294" i="1" s="1"/>
  <c r="B295" i="1" a="1"/>
  <c r="B295" i="1" s="1"/>
  <c r="B296" i="1" a="1"/>
  <c r="B296" i="1" s="1"/>
  <c r="B297" i="1" a="1"/>
  <c r="B297" i="1" s="1"/>
  <c r="B298" i="1" a="1"/>
  <c r="B298" i="1" s="1"/>
  <c r="B299" i="1" a="1"/>
  <c r="B299" i="1" s="1"/>
  <c r="B300" i="1" a="1"/>
  <c r="B300" i="1" s="1"/>
  <c r="B301" i="1" a="1"/>
  <c r="B301" i="1" s="1"/>
  <c r="B302" i="1" a="1"/>
  <c r="B302" i="1" s="1"/>
  <c r="B303" i="1" a="1"/>
  <c r="B303" i="1" s="1"/>
  <c r="B304" i="1" a="1"/>
  <c r="B304" i="1" s="1"/>
  <c r="B305" i="1" a="1"/>
  <c r="B305" i="1" s="1"/>
  <c r="B306" i="1" a="1"/>
  <c r="B306" i="1" s="1"/>
  <c r="B307" i="1" a="1"/>
  <c r="B307" i="1" s="1"/>
  <c r="B308" i="1" a="1"/>
  <c r="B308" i="1" s="1"/>
  <c r="B309" i="1" a="1"/>
  <c r="B309" i="1" s="1"/>
  <c r="B310" i="1" a="1"/>
  <c r="B310" i="1" s="1"/>
  <c r="B311" i="1" a="1"/>
  <c r="B311" i="1" s="1"/>
  <c r="B312" i="1" a="1"/>
  <c r="B312" i="1" s="1"/>
  <c r="B313" i="1" a="1"/>
  <c r="B313" i="1" s="1"/>
  <c r="B314" i="1" a="1"/>
  <c r="B314" i="1" s="1"/>
  <c r="B315" i="1" a="1"/>
  <c r="B315" i="1" s="1"/>
  <c r="B316" i="1" a="1"/>
  <c r="B316" i="1" s="1"/>
  <c r="B317" i="1" a="1"/>
  <c r="B317" i="1" s="1"/>
  <c r="B318" i="1" a="1"/>
  <c r="B318" i="1" s="1"/>
  <c r="B319" i="1" a="1"/>
  <c r="B319" i="1" s="1"/>
  <c r="B320" i="1" a="1"/>
  <c r="B320" i="1" s="1"/>
  <c r="B321" i="1" a="1"/>
  <c r="B321" i="1" s="1"/>
  <c r="B322" i="1" a="1"/>
  <c r="B322" i="1" s="1"/>
  <c r="B323" i="1" a="1"/>
  <c r="B323" i="1" s="1"/>
  <c r="B324" i="1" a="1"/>
  <c r="B324" i="1" s="1"/>
  <c r="B325" i="1" a="1"/>
  <c r="B325" i="1" s="1"/>
  <c r="B326" i="1" a="1"/>
  <c r="B326" i="1" s="1"/>
  <c r="B327" i="1" a="1"/>
  <c r="B327" i="1" s="1"/>
  <c r="B328" i="1" a="1"/>
  <c r="B328" i="1" s="1"/>
  <c r="B329" i="1" a="1"/>
  <c r="B329" i="1" s="1"/>
  <c r="B330" i="1" a="1"/>
  <c r="B330" i="1" s="1"/>
  <c r="B331" i="1" a="1"/>
  <c r="B331" i="1" s="1"/>
  <c r="B332" i="1" a="1"/>
  <c r="B332" i="1" s="1"/>
  <c r="B333" i="1" a="1"/>
  <c r="B333" i="1" s="1"/>
  <c r="B334" i="1" a="1"/>
  <c r="B334" i="1" s="1"/>
  <c r="B335" i="1" a="1"/>
  <c r="B335" i="1" s="1"/>
  <c r="B336" i="1" a="1"/>
  <c r="B336" i="1" s="1"/>
  <c r="B337" i="1" a="1"/>
  <c r="B337" i="1" s="1"/>
  <c r="B338" i="1" a="1"/>
  <c r="B338" i="1" s="1"/>
  <c r="B339" i="1" a="1"/>
  <c r="B339" i="1" s="1"/>
  <c r="B340" i="1" a="1"/>
  <c r="B340" i="1" s="1"/>
  <c r="B341" i="1" a="1"/>
  <c r="B341" i="1" s="1"/>
  <c r="B342" i="1" a="1"/>
  <c r="B342" i="1" s="1"/>
  <c r="B343" i="1" a="1"/>
  <c r="B343" i="1" s="1"/>
  <c r="B344" i="1" a="1"/>
  <c r="B344" i="1" s="1"/>
  <c r="B345" i="1" a="1"/>
  <c r="B345" i="1" s="1"/>
  <c r="B346" i="1" a="1"/>
  <c r="B346" i="1" s="1"/>
  <c r="B347" i="1" a="1"/>
  <c r="B347" i="1" s="1"/>
  <c r="B348" i="1" a="1"/>
  <c r="B348" i="1" s="1"/>
  <c r="B349" i="1" a="1"/>
  <c r="B349" i="1" s="1"/>
  <c r="B350" i="1" a="1"/>
  <c r="B350" i="1" s="1"/>
  <c r="B351" i="1" a="1"/>
  <c r="B351" i="1" s="1"/>
  <c r="B352" i="1" a="1"/>
  <c r="B352" i="1" s="1"/>
  <c r="B353" i="1" a="1"/>
  <c r="B353" i="1" s="1"/>
  <c r="B354" i="1" a="1"/>
  <c r="B354" i="1" s="1"/>
  <c r="B355" i="1" a="1"/>
  <c r="B355" i="1" s="1"/>
  <c r="B356" i="1" a="1"/>
  <c r="B356" i="1" s="1"/>
  <c r="B357" i="1" a="1"/>
  <c r="B357" i="1" s="1"/>
  <c r="B358" i="1" a="1"/>
  <c r="B358" i="1" s="1"/>
  <c r="B359" i="1" a="1"/>
  <c r="B359" i="1" s="1"/>
  <c r="B360" i="1" a="1"/>
  <c r="B360" i="1" s="1"/>
  <c r="B361" i="1" a="1"/>
  <c r="B361" i="1" s="1"/>
  <c r="B362" i="1" a="1"/>
  <c r="B362" i="1" s="1"/>
  <c r="B363" i="1" a="1"/>
  <c r="B363" i="1" s="1"/>
  <c r="B364" i="1" a="1"/>
  <c r="B364" i="1" s="1"/>
  <c r="B365" i="1" a="1"/>
  <c r="B365" i="1" s="1"/>
  <c r="B366" i="1" a="1"/>
  <c r="B366" i="1" s="1"/>
  <c r="B367" i="1" a="1"/>
  <c r="B367" i="1" s="1"/>
  <c r="B368" i="1" a="1"/>
  <c r="B368" i="1" s="1"/>
  <c r="B369" i="1" a="1"/>
  <c r="B369" i="1" s="1"/>
  <c r="B370" i="1" a="1"/>
  <c r="B370" i="1" s="1"/>
  <c r="B371" i="1" a="1"/>
  <c r="B371" i="1" s="1"/>
  <c r="B372" i="1" a="1"/>
  <c r="B372" i="1" s="1"/>
  <c r="B373" i="1" a="1"/>
  <c r="B373" i="1" s="1"/>
  <c r="B374" i="1" a="1"/>
  <c r="B374" i="1" s="1"/>
  <c r="B375" i="1" a="1"/>
  <c r="B375" i="1" s="1"/>
  <c r="B376" i="1" a="1"/>
  <c r="B376" i="1" s="1"/>
  <c r="B377" i="1" a="1"/>
  <c r="B377" i="1" s="1"/>
  <c r="B378" i="1" a="1"/>
  <c r="B378" i="1" s="1"/>
  <c r="B379" i="1" a="1"/>
  <c r="B379" i="1" s="1"/>
  <c r="B380" i="1" a="1"/>
  <c r="B380" i="1" s="1"/>
  <c r="B381" i="1" a="1"/>
  <c r="B381" i="1" s="1"/>
  <c r="B382" i="1" a="1"/>
  <c r="B382" i="1" s="1"/>
  <c r="B383" i="1" a="1"/>
  <c r="B383" i="1" s="1"/>
  <c r="B384" i="1" a="1"/>
  <c r="B384" i="1" s="1"/>
  <c r="B385" i="1" a="1"/>
  <c r="B385" i="1" s="1"/>
  <c r="B386" i="1" a="1"/>
  <c r="B386" i="1" s="1"/>
  <c r="B387" i="1" a="1"/>
  <c r="B387" i="1" s="1"/>
  <c r="B388" i="1" a="1"/>
  <c r="B388" i="1" s="1"/>
  <c r="B389" i="1" a="1"/>
  <c r="B389" i="1" s="1"/>
  <c r="B390" i="1" a="1"/>
  <c r="B390" i="1" s="1"/>
  <c r="B391" i="1" a="1"/>
  <c r="B391" i="1" s="1"/>
  <c r="B392" i="1" a="1"/>
  <c r="B392" i="1" s="1"/>
  <c r="B393" i="1" a="1"/>
  <c r="B393" i="1" s="1"/>
  <c r="B394" i="1" a="1"/>
  <c r="B394" i="1" s="1"/>
  <c r="B395" i="1" a="1"/>
  <c r="B395" i="1" s="1"/>
  <c r="B396" i="1" a="1"/>
  <c r="B396" i="1" s="1"/>
  <c r="B397" i="1" a="1"/>
  <c r="B397" i="1" s="1"/>
  <c r="B398" i="1" a="1"/>
  <c r="B398" i="1" s="1"/>
  <c r="B399" i="1" a="1"/>
  <c r="B399" i="1" s="1"/>
  <c r="B400" i="1" a="1"/>
  <c r="B400" i="1" s="1"/>
  <c r="B401" i="1" a="1"/>
  <c r="B401" i="1" s="1"/>
  <c r="B402" i="1" a="1"/>
  <c r="B402" i="1" s="1"/>
  <c r="B403" i="1" a="1"/>
  <c r="B403" i="1" s="1"/>
  <c r="B404" i="1" a="1"/>
  <c r="B404" i="1" s="1"/>
  <c r="B405" i="1" a="1"/>
  <c r="B405" i="1" s="1"/>
  <c r="B406" i="1" a="1"/>
  <c r="B406" i="1" s="1"/>
  <c r="B407" i="1" a="1"/>
  <c r="B407" i="1" s="1"/>
  <c r="B408" i="1" a="1"/>
  <c r="B408" i="1" s="1"/>
  <c r="B409" i="1" a="1"/>
  <c r="B409" i="1" s="1"/>
  <c r="B410" i="1" a="1"/>
  <c r="B410" i="1" s="1"/>
  <c r="B411" i="1" a="1"/>
  <c r="B411" i="1" s="1"/>
  <c r="B412" i="1" a="1"/>
  <c r="B412" i="1" s="1"/>
  <c r="B413" i="1" a="1"/>
  <c r="B413" i="1" s="1"/>
  <c r="B414" i="1" a="1"/>
  <c r="B414" i="1" s="1"/>
  <c r="B415" i="1" a="1"/>
  <c r="B415" i="1" s="1"/>
  <c r="B416" i="1" a="1"/>
  <c r="B416" i="1" s="1"/>
  <c r="B417" i="1" a="1"/>
  <c r="B417" i="1" s="1"/>
  <c r="B418" i="1" a="1"/>
  <c r="B418" i="1" s="1"/>
  <c r="B419" i="1" a="1"/>
  <c r="B419" i="1" s="1"/>
  <c r="B420" i="1" a="1"/>
  <c r="B420" i="1" s="1"/>
  <c r="B421" i="1" a="1"/>
  <c r="B421" i="1" s="1"/>
  <c r="B422" i="1" a="1"/>
  <c r="B422" i="1" s="1"/>
  <c r="B423" i="1" a="1"/>
  <c r="B423" i="1" s="1"/>
  <c r="B424" i="1" a="1"/>
  <c r="B424" i="1" s="1"/>
  <c r="B425" i="1" a="1"/>
  <c r="B425" i="1" s="1"/>
  <c r="B426" i="1" a="1"/>
  <c r="B426" i="1" s="1"/>
  <c r="B427" i="1" a="1"/>
  <c r="B427" i="1" s="1"/>
  <c r="B428" i="1" a="1"/>
  <c r="B428" i="1" s="1"/>
  <c r="B429" i="1" a="1"/>
  <c r="B429" i="1" s="1"/>
  <c r="B430" i="1" a="1"/>
  <c r="B430" i="1" s="1"/>
  <c r="B431" i="1" a="1"/>
  <c r="B431" i="1" s="1"/>
  <c r="B432" i="1" a="1"/>
  <c r="B432" i="1" s="1"/>
  <c r="B433" i="1" a="1"/>
  <c r="B433" i="1" s="1"/>
  <c r="B434" i="1" a="1"/>
  <c r="B434" i="1" s="1"/>
  <c r="B435" i="1" a="1"/>
  <c r="B435" i="1" s="1"/>
  <c r="B436" i="1" a="1"/>
  <c r="B436" i="1" s="1"/>
  <c r="B437" i="1" a="1"/>
  <c r="B437" i="1" s="1"/>
  <c r="B438" i="1" a="1"/>
  <c r="B438" i="1" s="1"/>
  <c r="B439" i="1" a="1"/>
  <c r="B439" i="1" s="1"/>
  <c r="B440" i="1" a="1"/>
  <c r="B440" i="1" s="1"/>
  <c r="B441" i="1" a="1"/>
  <c r="B441" i="1" s="1"/>
  <c r="B442" i="1" a="1"/>
  <c r="B442" i="1" s="1"/>
  <c r="B443" i="1" a="1"/>
  <c r="B443" i="1" s="1"/>
  <c r="B444" i="1" a="1"/>
  <c r="B444" i="1" s="1"/>
  <c r="B445" i="1" a="1"/>
  <c r="B445" i="1" s="1"/>
  <c r="B446" i="1" a="1"/>
  <c r="B446" i="1" s="1"/>
  <c r="B447" i="1" a="1"/>
  <c r="B447" i="1" s="1"/>
  <c r="B448" i="1" a="1"/>
  <c r="B448" i="1" s="1"/>
  <c r="B449" i="1" a="1"/>
  <c r="B449" i="1" s="1"/>
  <c r="B450" i="1" a="1"/>
  <c r="B450" i="1" s="1"/>
  <c r="B451" i="1" a="1"/>
  <c r="B451" i="1" s="1"/>
  <c r="B452" i="1" a="1"/>
  <c r="B452" i="1" s="1"/>
  <c r="B453" i="1" a="1"/>
  <c r="B453" i="1" s="1"/>
  <c r="B454" i="1" a="1"/>
  <c r="B454" i="1" s="1"/>
  <c r="B455" i="1" a="1"/>
  <c r="B455" i="1" s="1"/>
  <c r="B456" i="1" a="1"/>
  <c r="B456" i="1" s="1"/>
  <c r="B457" i="1" a="1"/>
  <c r="B457" i="1" s="1"/>
  <c r="B458" i="1" a="1"/>
  <c r="B458" i="1" s="1"/>
  <c r="B459" i="1" a="1"/>
  <c r="B459" i="1" s="1"/>
  <c r="B460" i="1" a="1"/>
  <c r="B460" i="1" s="1"/>
  <c r="B461" i="1" a="1"/>
  <c r="B461" i="1" s="1"/>
  <c r="B462" i="1" a="1"/>
  <c r="B462" i="1" s="1"/>
  <c r="B463" i="1" a="1"/>
  <c r="B463" i="1" s="1"/>
  <c r="B464" i="1" a="1"/>
  <c r="B464" i="1" s="1"/>
  <c r="B465" i="1" a="1"/>
  <c r="B465" i="1" s="1"/>
  <c r="B466" i="1" a="1"/>
  <c r="B466" i="1" s="1"/>
  <c r="B467" i="1" a="1"/>
  <c r="B467" i="1" s="1"/>
  <c r="B468" i="1" a="1"/>
  <c r="B468" i="1" s="1"/>
  <c r="B469" i="1" a="1"/>
  <c r="B469" i="1" s="1"/>
  <c r="B470" i="1" a="1"/>
  <c r="B470" i="1" s="1"/>
  <c r="B471" i="1" a="1"/>
  <c r="B471" i="1" s="1"/>
  <c r="B472" i="1" a="1"/>
  <c r="B472" i="1" s="1"/>
  <c r="B473" i="1" a="1"/>
  <c r="B473" i="1" s="1"/>
  <c r="B474" i="1" a="1"/>
  <c r="B474" i="1" s="1"/>
  <c r="B475" i="1" a="1"/>
  <c r="B475" i="1" s="1"/>
  <c r="B476" i="1" a="1"/>
  <c r="B476" i="1" s="1"/>
  <c r="B477" i="1" a="1"/>
  <c r="B477" i="1" s="1"/>
  <c r="B478" i="1" a="1"/>
  <c r="B478" i="1" s="1"/>
  <c r="B479" i="1" a="1"/>
  <c r="B479" i="1" s="1"/>
  <c r="B480" i="1" a="1"/>
  <c r="B480" i="1" s="1"/>
  <c r="B481" i="1" a="1"/>
  <c r="B481" i="1" s="1"/>
  <c r="B482" i="1" a="1"/>
  <c r="B482" i="1" s="1"/>
  <c r="B483" i="1" a="1"/>
  <c r="B483" i="1" s="1"/>
  <c r="B484" i="1" a="1"/>
  <c r="B484" i="1" s="1"/>
  <c r="B485" i="1" a="1"/>
  <c r="B485" i="1" s="1"/>
  <c r="B486" i="1" a="1"/>
  <c r="B486" i="1" s="1"/>
  <c r="B487" i="1" a="1"/>
  <c r="B487" i="1" s="1"/>
  <c r="B488" i="1" a="1"/>
  <c r="B488" i="1" s="1"/>
  <c r="B489" i="1" a="1"/>
  <c r="B489" i="1" s="1"/>
  <c r="B490" i="1" a="1"/>
  <c r="B490" i="1" s="1"/>
  <c r="B491" i="1" a="1"/>
  <c r="B491" i="1" s="1"/>
  <c r="B492" i="1" a="1"/>
  <c r="B492" i="1" s="1"/>
  <c r="B493" i="1" a="1"/>
  <c r="B493" i="1" s="1"/>
  <c r="B494" i="1" a="1"/>
  <c r="B494" i="1" s="1"/>
  <c r="B495" i="1" a="1"/>
  <c r="B495" i="1" s="1"/>
  <c r="B496" i="1" a="1"/>
  <c r="B496" i="1" s="1"/>
  <c r="B497" i="1" a="1"/>
  <c r="B497" i="1" s="1"/>
  <c r="B498" i="1" a="1"/>
  <c r="B498" i="1" s="1"/>
  <c r="B499" i="1" a="1"/>
  <c r="B499" i="1" s="1"/>
  <c r="B500" i="1" a="1"/>
  <c r="B500" i="1" s="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2" i="1"/>
  <c r="H2" i="1"/>
  <c r="A2" i="1"/>
  <c r="O6" i="1" l="1"/>
  <c r="O314" i="1"/>
  <c r="P314" i="1" s="1"/>
  <c r="O263" i="1"/>
  <c r="P263" i="1" s="1"/>
  <c r="O10" i="1"/>
  <c r="O56" i="1"/>
  <c r="O490" i="1"/>
  <c r="P490" i="1" s="1"/>
  <c r="O264" i="1"/>
  <c r="P264" i="1" s="1"/>
  <c r="O184" i="1"/>
  <c r="O26" i="1"/>
  <c r="O360" i="1"/>
  <c r="P360" i="1" s="1"/>
  <c r="O391" i="1"/>
  <c r="P391" i="1" s="1"/>
  <c r="O433" i="1"/>
  <c r="P433" i="1" s="1"/>
  <c r="O234" i="1"/>
  <c r="P234" i="1" s="1"/>
  <c r="O456" i="1"/>
  <c r="P456" i="1" s="1"/>
  <c r="O232" i="1"/>
  <c r="P232" i="1" s="1"/>
  <c r="O152" i="1"/>
  <c r="P152" i="1" s="1"/>
  <c r="O423" i="1"/>
  <c r="P423" i="1" s="1"/>
  <c r="O407" i="1"/>
  <c r="P407" i="1" s="1"/>
  <c r="O71" i="1"/>
  <c r="P71" i="1" s="1"/>
  <c r="O55" i="1"/>
  <c r="Q55" i="1" s="1"/>
  <c r="O39" i="1"/>
  <c r="P39" i="1" s="1"/>
  <c r="O448" i="1"/>
  <c r="P448" i="1" s="1"/>
  <c r="O320" i="1"/>
  <c r="P320" i="1" s="1"/>
  <c r="O426" i="1"/>
  <c r="P426" i="1" s="1"/>
  <c r="O362" i="1"/>
  <c r="P362" i="1" s="1"/>
  <c r="O346" i="1"/>
  <c r="P346" i="1" s="1"/>
  <c r="O58" i="1"/>
  <c r="O305" i="1"/>
  <c r="P305" i="1" s="1"/>
  <c r="O192" i="1"/>
  <c r="P192" i="1" s="1"/>
  <c r="O408" i="1"/>
  <c r="P408" i="1" s="1"/>
  <c r="O200" i="1"/>
  <c r="P200" i="1" s="1"/>
  <c r="O177" i="1"/>
  <c r="P177" i="1" s="1"/>
  <c r="O487" i="1"/>
  <c r="P487" i="1" s="1"/>
  <c r="O455" i="1"/>
  <c r="P455" i="1" s="1"/>
  <c r="O375" i="1"/>
  <c r="P375" i="1" s="1"/>
  <c r="O359" i="1"/>
  <c r="P359" i="1" s="1"/>
  <c r="O279" i="1"/>
  <c r="P279" i="1" s="1"/>
  <c r="O183" i="1"/>
  <c r="O64" i="1"/>
  <c r="P64" i="1" s="1"/>
  <c r="O49" i="1"/>
  <c r="O327" i="1"/>
  <c r="P327" i="1" s="1"/>
  <c r="O311" i="1"/>
  <c r="P311" i="1" s="1"/>
  <c r="O295" i="1"/>
  <c r="P295" i="1" s="1"/>
  <c r="O215" i="1"/>
  <c r="O167" i="1"/>
  <c r="P167" i="1" s="1"/>
  <c r="O135" i="1"/>
  <c r="P135" i="1" s="1"/>
  <c r="O449" i="1"/>
  <c r="P449" i="1" s="1"/>
  <c r="O321" i="1"/>
  <c r="P321" i="1" s="1"/>
  <c r="O193" i="1"/>
  <c r="O65" i="1"/>
  <c r="P65" i="1" s="1"/>
  <c r="O432" i="1"/>
  <c r="P432" i="1" s="1"/>
  <c r="O304" i="1"/>
  <c r="P304" i="1" s="1"/>
  <c r="O176" i="1"/>
  <c r="O48" i="1"/>
  <c r="Q48" i="1" s="1"/>
  <c r="O417" i="1"/>
  <c r="P417" i="1" s="1"/>
  <c r="O289" i="1"/>
  <c r="P289" i="1" s="1"/>
  <c r="O161" i="1"/>
  <c r="O33" i="1"/>
  <c r="O416" i="1"/>
  <c r="P416" i="1" s="1"/>
  <c r="O288" i="1"/>
  <c r="P288" i="1" s="1"/>
  <c r="O160" i="1"/>
  <c r="P160" i="1" s="1"/>
  <c r="O32" i="1"/>
  <c r="P32" i="1" s="1"/>
  <c r="O401" i="1"/>
  <c r="P401" i="1" s="1"/>
  <c r="O273" i="1"/>
  <c r="P273" i="1" s="1"/>
  <c r="O145" i="1"/>
  <c r="O17" i="1"/>
  <c r="P17" i="1" s="1"/>
  <c r="O400" i="1"/>
  <c r="P400" i="1" s="1"/>
  <c r="O272" i="1"/>
  <c r="P272" i="1" s="1"/>
  <c r="O144" i="1"/>
  <c r="O16" i="1"/>
  <c r="P16" i="1" s="1"/>
  <c r="O385" i="1"/>
  <c r="P385" i="1" s="1"/>
  <c r="O257" i="1"/>
  <c r="P257" i="1" s="1"/>
  <c r="O129" i="1"/>
  <c r="O8" i="1"/>
  <c r="O384" i="1"/>
  <c r="P384" i="1" s="1"/>
  <c r="O256" i="1"/>
  <c r="P256" i="1" s="1"/>
  <c r="O128" i="1"/>
  <c r="P128" i="1" s="1"/>
  <c r="O497" i="1"/>
  <c r="P497" i="1" s="1"/>
  <c r="O369" i="1"/>
  <c r="P369" i="1" s="1"/>
  <c r="O241" i="1"/>
  <c r="P241" i="1" s="1"/>
  <c r="O113" i="1"/>
  <c r="O496" i="1"/>
  <c r="P496" i="1" s="1"/>
  <c r="O368" i="1"/>
  <c r="P368" i="1" s="1"/>
  <c r="O240" i="1"/>
  <c r="P240" i="1" s="1"/>
  <c r="O112" i="1"/>
  <c r="P112" i="1" s="1"/>
  <c r="O481" i="1"/>
  <c r="P481" i="1" s="1"/>
  <c r="O353" i="1"/>
  <c r="P353" i="1" s="1"/>
  <c r="O225" i="1"/>
  <c r="P225" i="1" s="1"/>
  <c r="O97" i="1"/>
  <c r="O458" i="1"/>
  <c r="P458" i="1" s="1"/>
  <c r="O442" i="1"/>
  <c r="P442" i="1" s="1"/>
  <c r="O410" i="1"/>
  <c r="P410" i="1" s="1"/>
  <c r="O394" i="1"/>
  <c r="P394" i="1" s="1"/>
  <c r="O298" i="1"/>
  <c r="P298" i="1" s="1"/>
  <c r="O250" i="1"/>
  <c r="P250" i="1" s="1"/>
  <c r="O202" i="1"/>
  <c r="P202" i="1" s="1"/>
  <c r="O186" i="1"/>
  <c r="O138" i="1"/>
  <c r="P138" i="1" s="1"/>
  <c r="O122" i="1"/>
  <c r="P122" i="1" s="1"/>
  <c r="O90" i="1"/>
  <c r="P90" i="1" s="1"/>
  <c r="O74" i="1"/>
  <c r="P74" i="1" s="1"/>
  <c r="O42" i="1"/>
  <c r="P42" i="1" s="1"/>
  <c r="O480" i="1"/>
  <c r="P480" i="1" s="1"/>
  <c r="O352" i="1"/>
  <c r="P352" i="1" s="1"/>
  <c r="O224" i="1"/>
  <c r="O96" i="1"/>
  <c r="O465" i="1"/>
  <c r="P465" i="1" s="1"/>
  <c r="O337" i="1"/>
  <c r="P337" i="1" s="1"/>
  <c r="O209" i="1"/>
  <c r="P209" i="1" s="1"/>
  <c r="O81" i="1"/>
  <c r="P81" i="1" s="1"/>
  <c r="O440" i="1"/>
  <c r="P440" i="1" s="1"/>
  <c r="O392" i="1"/>
  <c r="P392" i="1" s="1"/>
  <c r="O312" i="1"/>
  <c r="P312" i="1" s="1"/>
  <c r="O168" i="1"/>
  <c r="P168" i="1" s="1"/>
  <c r="O40" i="1"/>
  <c r="P40" i="1" s="1"/>
  <c r="O7" i="1"/>
  <c r="P7" i="1" s="1"/>
  <c r="O464" i="1"/>
  <c r="P464" i="1" s="1"/>
  <c r="O336" i="1"/>
  <c r="P336" i="1" s="1"/>
  <c r="O208" i="1"/>
  <c r="P208" i="1" s="1"/>
  <c r="O80" i="1"/>
  <c r="O495" i="1"/>
  <c r="P495" i="1" s="1"/>
  <c r="O479" i="1"/>
  <c r="P479" i="1" s="1"/>
  <c r="O463" i="1"/>
  <c r="P463" i="1" s="1"/>
  <c r="O447" i="1"/>
  <c r="P447" i="1" s="1"/>
  <c r="O431" i="1"/>
  <c r="P431" i="1" s="1"/>
  <c r="O415" i="1"/>
  <c r="P415" i="1" s="1"/>
  <c r="O399" i="1"/>
  <c r="P399" i="1" s="1"/>
  <c r="O383" i="1"/>
  <c r="P383" i="1" s="1"/>
  <c r="O367" i="1"/>
  <c r="P367" i="1" s="1"/>
  <c r="O351" i="1"/>
  <c r="P351" i="1" s="1"/>
  <c r="O335" i="1"/>
  <c r="P335" i="1" s="1"/>
  <c r="O319" i="1"/>
  <c r="P319" i="1" s="1"/>
  <c r="O303" i="1"/>
  <c r="P303" i="1" s="1"/>
  <c r="O287" i="1"/>
  <c r="P287" i="1" s="1"/>
  <c r="O271" i="1"/>
  <c r="P271" i="1" s="1"/>
  <c r="O255" i="1"/>
  <c r="P255" i="1" s="1"/>
  <c r="O239" i="1"/>
  <c r="P239" i="1" s="1"/>
  <c r="O223" i="1"/>
  <c r="O207" i="1"/>
  <c r="P207" i="1" s="1"/>
  <c r="O191" i="1"/>
  <c r="O175" i="1"/>
  <c r="P175" i="1" s="1"/>
  <c r="O159" i="1"/>
  <c r="P159" i="1" s="1"/>
  <c r="O143" i="1"/>
  <c r="P143" i="1" s="1"/>
  <c r="O127" i="1"/>
  <c r="P127" i="1" s="1"/>
  <c r="O111" i="1"/>
  <c r="P111" i="1" s="1"/>
  <c r="O95" i="1"/>
  <c r="P95" i="1" s="1"/>
  <c r="O79" i="1"/>
  <c r="Q79" i="1" s="1"/>
  <c r="O63" i="1"/>
  <c r="P63" i="1" s="1"/>
  <c r="O47" i="1"/>
  <c r="P47" i="1" s="1"/>
  <c r="O31" i="1"/>
  <c r="P31" i="1" s="1"/>
  <c r="O15" i="1"/>
  <c r="P15" i="1" s="1"/>
  <c r="O494" i="1"/>
  <c r="P494" i="1" s="1"/>
  <c r="O478" i="1"/>
  <c r="P478" i="1" s="1"/>
  <c r="O462" i="1"/>
  <c r="P462" i="1" s="1"/>
  <c r="O446" i="1"/>
  <c r="P446" i="1" s="1"/>
  <c r="O430" i="1"/>
  <c r="P430" i="1" s="1"/>
  <c r="O414" i="1"/>
  <c r="P414" i="1" s="1"/>
  <c r="O398" i="1"/>
  <c r="P398" i="1" s="1"/>
  <c r="O382" i="1"/>
  <c r="P382" i="1" s="1"/>
  <c r="O366" i="1"/>
  <c r="P366" i="1" s="1"/>
  <c r="O350" i="1"/>
  <c r="P350" i="1" s="1"/>
  <c r="O334" i="1"/>
  <c r="P334" i="1" s="1"/>
  <c r="O318" i="1"/>
  <c r="P318" i="1" s="1"/>
  <c r="O302" i="1"/>
  <c r="P302" i="1" s="1"/>
  <c r="O286" i="1"/>
  <c r="P286" i="1" s="1"/>
  <c r="O270" i="1"/>
  <c r="P270" i="1" s="1"/>
  <c r="O254" i="1"/>
  <c r="P254" i="1" s="1"/>
  <c r="O238" i="1"/>
  <c r="P238" i="1" s="1"/>
  <c r="O222" i="1"/>
  <c r="O206" i="1"/>
  <c r="O190" i="1"/>
  <c r="P190" i="1" s="1"/>
  <c r="O174" i="1"/>
  <c r="O158" i="1"/>
  <c r="P158" i="1" s="1"/>
  <c r="O142" i="1"/>
  <c r="P142" i="1" s="1"/>
  <c r="O126" i="1"/>
  <c r="P126" i="1" s="1"/>
  <c r="O110" i="1"/>
  <c r="P110" i="1" s="1"/>
  <c r="O94" i="1"/>
  <c r="O78" i="1"/>
  <c r="P78" i="1" s="1"/>
  <c r="O62" i="1"/>
  <c r="P62" i="1" s="1"/>
  <c r="O46" i="1"/>
  <c r="P46" i="1" s="1"/>
  <c r="O30" i="1"/>
  <c r="P30" i="1" s="1"/>
  <c r="O14" i="1"/>
  <c r="Q14" i="1" s="1"/>
  <c r="O493" i="1"/>
  <c r="P493" i="1" s="1"/>
  <c r="O477" i="1"/>
  <c r="P477" i="1" s="1"/>
  <c r="O461" i="1"/>
  <c r="P461" i="1" s="1"/>
  <c r="O445" i="1"/>
  <c r="P445" i="1" s="1"/>
  <c r="O429" i="1"/>
  <c r="P429" i="1" s="1"/>
  <c r="O413" i="1"/>
  <c r="P413" i="1" s="1"/>
  <c r="O397" i="1"/>
  <c r="P397" i="1" s="1"/>
  <c r="O381" i="1"/>
  <c r="P381" i="1" s="1"/>
  <c r="O365" i="1"/>
  <c r="P365" i="1" s="1"/>
  <c r="O349" i="1"/>
  <c r="P349" i="1" s="1"/>
  <c r="O333" i="1"/>
  <c r="P333" i="1" s="1"/>
  <c r="O317" i="1"/>
  <c r="P317" i="1" s="1"/>
  <c r="O301" i="1"/>
  <c r="P301" i="1" s="1"/>
  <c r="O285" i="1"/>
  <c r="P285" i="1" s="1"/>
  <c r="O269" i="1"/>
  <c r="P269" i="1" s="1"/>
  <c r="O253" i="1"/>
  <c r="P253" i="1" s="1"/>
  <c r="O237" i="1"/>
  <c r="P237" i="1" s="1"/>
  <c r="O221" i="1"/>
  <c r="P221" i="1" s="1"/>
  <c r="O205" i="1"/>
  <c r="O189" i="1"/>
  <c r="P189" i="1" s="1"/>
  <c r="O173" i="1"/>
  <c r="P173" i="1" s="1"/>
  <c r="O157" i="1"/>
  <c r="P157" i="1" s="1"/>
  <c r="O141" i="1"/>
  <c r="P141" i="1" s="1"/>
  <c r="O125" i="1"/>
  <c r="P125" i="1" s="1"/>
  <c r="O109" i="1"/>
  <c r="P109" i="1" s="1"/>
  <c r="O93" i="1"/>
  <c r="P93" i="1" s="1"/>
  <c r="O77" i="1"/>
  <c r="O61" i="1"/>
  <c r="P61" i="1" s="1"/>
  <c r="O45" i="1"/>
  <c r="P45" i="1" s="1"/>
  <c r="O29" i="1"/>
  <c r="P29" i="1" s="1"/>
  <c r="O13" i="1"/>
  <c r="P13" i="1" s="1"/>
  <c r="O492" i="1"/>
  <c r="P492" i="1" s="1"/>
  <c r="O476" i="1"/>
  <c r="P476" i="1" s="1"/>
  <c r="O460" i="1"/>
  <c r="P460" i="1" s="1"/>
  <c r="O444" i="1"/>
  <c r="P444" i="1" s="1"/>
  <c r="O428" i="1"/>
  <c r="P428" i="1" s="1"/>
  <c r="O412" i="1"/>
  <c r="P412" i="1" s="1"/>
  <c r="O396" i="1"/>
  <c r="P396" i="1" s="1"/>
  <c r="O380" i="1"/>
  <c r="P380" i="1" s="1"/>
  <c r="O364" i="1"/>
  <c r="P364" i="1" s="1"/>
  <c r="O348" i="1"/>
  <c r="P348" i="1" s="1"/>
  <c r="O332" i="1"/>
  <c r="P332" i="1" s="1"/>
  <c r="O316" i="1"/>
  <c r="P316" i="1" s="1"/>
  <c r="O300" i="1"/>
  <c r="P300" i="1" s="1"/>
  <c r="O284" i="1"/>
  <c r="P284" i="1" s="1"/>
  <c r="O268" i="1"/>
  <c r="P268" i="1" s="1"/>
  <c r="O252" i="1"/>
  <c r="P252" i="1" s="1"/>
  <c r="O236" i="1"/>
  <c r="P236" i="1" s="1"/>
  <c r="O220" i="1"/>
  <c r="P220" i="1" s="1"/>
  <c r="O204" i="1"/>
  <c r="P204" i="1" s="1"/>
  <c r="O188" i="1"/>
  <c r="O172" i="1"/>
  <c r="P172" i="1" s="1"/>
  <c r="O156" i="1"/>
  <c r="O140" i="1"/>
  <c r="O124" i="1"/>
  <c r="P124" i="1" s="1"/>
  <c r="O108" i="1"/>
  <c r="P108" i="1" s="1"/>
  <c r="O92" i="1"/>
  <c r="P92" i="1" s="1"/>
  <c r="O76" i="1"/>
  <c r="P76" i="1" s="1"/>
  <c r="O60" i="1"/>
  <c r="P60" i="1" s="1"/>
  <c r="O44" i="1"/>
  <c r="P44" i="1" s="1"/>
  <c r="O28" i="1"/>
  <c r="Q28" i="1" s="1"/>
  <c r="O12" i="1"/>
  <c r="P12" i="1" s="1"/>
  <c r="O491" i="1"/>
  <c r="P491" i="1" s="1"/>
  <c r="O475" i="1"/>
  <c r="P475" i="1" s="1"/>
  <c r="O459" i="1"/>
  <c r="P459" i="1" s="1"/>
  <c r="O443" i="1"/>
  <c r="P443" i="1" s="1"/>
  <c r="O427" i="1"/>
  <c r="P427" i="1" s="1"/>
  <c r="O411" i="1"/>
  <c r="P411" i="1" s="1"/>
  <c r="O395" i="1"/>
  <c r="P395" i="1" s="1"/>
  <c r="O379" i="1"/>
  <c r="P379" i="1" s="1"/>
  <c r="O363" i="1"/>
  <c r="P363" i="1" s="1"/>
  <c r="O347" i="1"/>
  <c r="P347" i="1" s="1"/>
  <c r="O331" i="1"/>
  <c r="P331" i="1" s="1"/>
  <c r="O315" i="1"/>
  <c r="P315" i="1" s="1"/>
  <c r="O299" i="1"/>
  <c r="P299" i="1" s="1"/>
  <c r="O283" i="1"/>
  <c r="P283" i="1" s="1"/>
  <c r="O267" i="1"/>
  <c r="P267" i="1" s="1"/>
  <c r="O251" i="1"/>
  <c r="P251" i="1" s="1"/>
  <c r="O235" i="1"/>
  <c r="P235" i="1" s="1"/>
  <c r="O219" i="1"/>
  <c r="P219" i="1" s="1"/>
  <c r="O203" i="1"/>
  <c r="P203" i="1" s="1"/>
  <c r="O187" i="1"/>
  <c r="P187" i="1" s="1"/>
  <c r="O171" i="1"/>
  <c r="P171" i="1" s="1"/>
  <c r="O155" i="1"/>
  <c r="P155" i="1" s="1"/>
  <c r="O139" i="1"/>
  <c r="O123" i="1"/>
  <c r="P123" i="1" s="1"/>
  <c r="O107" i="1"/>
  <c r="P107" i="1" s="1"/>
  <c r="O91" i="1"/>
  <c r="P91" i="1" s="1"/>
  <c r="O75" i="1"/>
  <c r="P75" i="1" s="1"/>
  <c r="O59" i="1"/>
  <c r="P59" i="1" s="1"/>
  <c r="O43" i="1"/>
  <c r="O27" i="1"/>
  <c r="P27" i="1" s="1"/>
  <c r="O11" i="1"/>
  <c r="P11" i="1" s="1"/>
  <c r="O474" i="1"/>
  <c r="P474" i="1" s="1"/>
  <c r="O378" i="1"/>
  <c r="P378" i="1" s="1"/>
  <c r="O330" i="1"/>
  <c r="P330" i="1" s="1"/>
  <c r="O282" i="1"/>
  <c r="P282" i="1" s="1"/>
  <c r="O266" i="1"/>
  <c r="P266" i="1" s="1"/>
  <c r="O218" i="1"/>
  <c r="P218" i="1" s="1"/>
  <c r="O170" i="1"/>
  <c r="O154" i="1"/>
  <c r="P154" i="1" s="1"/>
  <c r="O106" i="1"/>
  <c r="P106" i="1" s="1"/>
  <c r="O489" i="1"/>
  <c r="P489" i="1" s="1"/>
  <c r="O473" i="1"/>
  <c r="P473" i="1" s="1"/>
  <c r="O457" i="1"/>
  <c r="P457" i="1" s="1"/>
  <c r="O441" i="1"/>
  <c r="P441" i="1" s="1"/>
  <c r="O425" i="1"/>
  <c r="P425" i="1" s="1"/>
  <c r="O409" i="1"/>
  <c r="P409" i="1" s="1"/>
  <c r="O393" i="1"/>
  <c r="P393" i="1" s="1"/>
  <c r="O377" i="1"/>
  <c r="P377" i="1" s="1"/>
  <c r="O361" i="1"/>
  <c r="P361" i="1" s="1"/>
  <c r="O345" i="1"/>
  <c r="P345" i="1" s="1"/>
  <c r="O329" i="1"/>
  <c r="P329" i="1" s="1"/>
  <c r="O313" i="1"/>
  <c r="P313" i="1" s="1"/>
  <c r="O297" i="1"/>
  <c r="P297" i="1" s="1"/>
  <c r="O281" i="1"/>
  <c r="P281" i="1" s="1"/>
  <c r="O265" i="1"/>
  <c r="P265" i="1" s="1"/>
  <c r="O249" i="1"/>
  <c r="P249" i="1" s="1"/>
  <c r="O233" i="1"/>
  <c r="P233" i="1" s="1"/>
  <c r="O217" i="1"/>
  <c r="P217" i="1" s="1"/>
  <c r="O201" i="1"/>
  <c r="P201" i="1" s="1"/>
  <c r="O185" i="1"/>
  <c r="P185" i="1" s="1"/>
  <c r="O169" i="1"/>
  <c r="P169" i="1" s="1"/>
  <c r="O153" i="1"/>
  <c r="P153" i="1" s="1"/>
  <c r="O137" i="1"/>
  <c r="P137" i="1" s="1"/>
  <c r="O121" i="1"/>
  <c r="P121" i="1" s="1"/>
  <c r="O105" i="1"/>
  <c r="P105" i="1" s="1"/>
  <c r="O89" i="1"/>
  <c r="P89" i="1" s="1"/>
  <c r="O73" i="1"/>
  <c r="P73" i="1" s="1"/>
  <c r="O57" i="1"/>
  <c r="P57" i="1" s="1"/>
  <c r="O41" i="1"/>
  <c r="P41" i="1" s="1"/>
  <c r="O25" i="1"/>
  <c r="P25" i="1" s="1"/>
  <c r="O9" i="1"/>
  <c r="O488" i="1"/>
  <c r="P488" i="1" s="1"/>
  <c r="O472" i="1"/>
  <c r="P472" i="1" s="1"/>
  <c r="O424" i="1"/>
  <c r="P424" i="1" s="1"/>
  <c r="O376" i="1"/>
  <c r="P376" i="1" s="1"/>
  <c r="O344" i="1"/>
  <c r="P344" i="1" s="1"/>
  <c r="O328" i="1"/>
  <c r="P328" i="1" s="1"/>
  <c r="O296" i="1"/>
  <c r="P296" i="1" s="1"/>
  <c r="O280" i="1"/>
  <c r="P280" i="1" s="1"/>
  <c r="O248" i="1"/>
  <c r="P248" i="1" s="1"/>
  <c r="O216" i="1"/>
  <c r="P216" i="1" s="1"/>
  <c r="O136" i="1"/>
  <c r="P136" i="1" s="1"/>
  <c r="O120" i="1"/>
  <c r="Q120" i="1" s="1"/>
  <c r="O104" i="1"/>
  <c r="P104" i="1" s="1"/>
  <c r="O88" i="1"/>
  <c r="P88" i="1" s="1"/>
  <c r="O72" i="1"/>
  <c r="O24" i="1"/>
  <c r="O471" i="1"/>
  <c r="P471" i="1" s="1"/>
  <c r="O439" i="1"/>
  <c r="P439" i="1" s="1"/>
  <c r="O343" i="1"/>
  <c r="P343" i="1" s="1"/>
  <c r="O247" i="1"/>
  <c r="P247" i="1" s="1"/>
  <c r="O231" i="1"/>
  <c r="P231" i="1" s="1"/>
  <c r="O199" i="1"/>
  <c r="P199" i="1" s="1"/>
  <c r="O151" i="1"/>
  <c r="P151" i="1" s="1"/>
  <c r="O119" i="1"/>
  <c r="P119" i="1" s="1"/>
  <c r="O103" i="1"/>
  <c r="P103" i="1" s="1"/>
  <c r="O87" i="1"/>
  <c r="P87" i="1" s="1"/>
  <c r="O23" i="1"/>
  <c r="P23" i="1" s="1"/>
  <c r="O486" i="1"/>
  <c r="P486" i="1" s="1"/>
  <c r="O470" i="1"/>
  <c r="P470" i="1" s="1"/>
  <c r="O454" i="1"/>
  <c r="P454" i="1" s="1"/>
  <c r="O438" i="1"/>
  <c r="P438" i="1" s="1"/>
  <c r="O422" i="1"/>
  <c r="P422" i="1" s="1"/>
  <c r="O406" i="1"/>
  <c r="P406" i="1" s="1"/>
  <c r="O390" i="1"/>
  <c r="P390" i="1" s="1"/>
  <c r="O374" i="1"/>
  <c r="P374" i="1" s="1"/>
  <c r="O358" i="1"/>
  <c r="P358" i="1" s="1"/>
  <c r="O342" i="1"/>
  <c r="P342" i="1" s="1"/>
  <c r="O326" i="1"/>
  <c r="P326" i="1" s="1"/>
  <c r="O310" i="1"/>
  <c r="P310" i="1" s="1"/>
  <c r="O294" i="1"/>
  <c r="P294" i="1" s="1"/>
  <c r="O278" i="1"/>
  <c r="P278" i="1" s="1"/>
  <c r="O262" i="1"/>
  <c r="P262" i="1" s="1"/>
  <c r="O246" i="1"/>
  <c r="P246" i="1" s="1"/>
  <c r="O230" i="1"/>
  <c r="P230" i="1" s="1"/>
  <c r="O214" i="1"/>
  <c r="P214" i="1" s="1"/>
  <c r="O198" i="1"/>
  <c r="P198" i="1" s="1"/>
  <c r="O182" i="1"/>
  <c r="P182" i="1" s="1"/>
  <c r="O166" i="1"/>
  <c r="P166" i="1" s="1"/>
  <c r="O150" i="1"/>
  <c r="P150" i="1" s="1"/>
  <c r="O134" i="1"/>
  <c r="P134" i="1" s="1"/>
  <c r="O118" i="1"/>
  <c r="P118" i="1" s="1"/>
  <c r="O102" i="1"/>
  <c r="P102" i="1" s="1"/>
  <c r="O86" i="1"/>
  <c r="P86" i="1" s="1"/>
  <c r="O70" i="1"/>
  <c r="P70" i="1" s="1"/>
  <c r="O54" i="1"/>
  <c r="P54" i="1" s="1"/>
  <c r="O38" i="1"/>
  <c r="P38" i="1" s="1"/>
  <c r="O22" i="1"/>
  <c r="P22" i="1" s="1"/>
  <c r="O485" i="1"/>
  <c r="P485" i="1" s="1"/>
  <c r="O469" i="1"/>
  <c r="P469" i="1" s="1"/>
  <c r="O453" i="1"/>
  <c r="P453" i="1" s="1"/>
  <c r="O437" i="1"/>
  <c r="P437" i="1" s="1"/>
  <c r="O421" i="1"/>
  <c r="P421" i="1" s="1"/>
  <c r="O405" i="1"/>
  <c r="P405" i="1" s="1"/>
  <c r="O389" i="1"/>
  <c r="P389" i="1" s="1"/>
  <c r="O373" i="1"/>
  <c r="P373" i="1" s="1"/>
  <c r="O357" i="1"/>
  <c r="P357" i="1" s="1"/>
  <c r="O341" i="1"/>
  <c r="P341" i="1" s="1"/>
  <c r="O325" i="1"/>
  <c r="P325" i="1" s="1"/>
  <c r="O309" i="1"/>
  <c r="P309" i="1" s="1"/>
  <c r="O293" i="1"/>
  <c r="P293" i="1" s="1"/>
  <c r="O277" i="1"/>
  <c r="P277" i="1" s="1"/>
  <c r="O261" i="1"/>
  <c r="P261" i="1" s="1"/>
  <c r="O245" i="1"/>
  <c r="P245" i="1" s="1"/>
  <c r="O229" i="1"/>
  <c r="P229" i="1" s="1"/>
  <c r="O213" i="1"/>
  <c r="P213" i="1" s="1"/>
  <c r="O197" i="1"/>
  <c r="P197" i="1" s="1"/>
  <c r="O181" i="1"/>
  <c r="P181" i="1" s="1"/>
  <c r="O165" i="1"/>
  <c r="P165" i="1" s="1"/>
  <c r="O149" i="1"/>
  <c r="P149" i="1" s="1"/>
  <c r="O133" i="1"/>
  <c r="P133" i="1" s="1"/>
  <c r="O117" i="1"/>
  <c r="P117" i="1" s="1"/>
  <c r="O101" i="1"/>
  <c r="P101" i="1" s="1"/>
  <c r="O85" i="1"/>
  <c r="P85" i="1" s="1"/>
  <c r="O69" i="1"/>
  <c r="P69" i="1" s="1"/>
  <c r="O53" i="1"/>
  <c r="P53" i="1" s="1"/>
  <c r="O37" i="1"/>
  <c r="P37" i="1" s="1"/>
  <c r="O21" i="1"/>
  <c r="P21" i="1" s="1"/>
  <c r="O5" i="1"/>
  <c r="P5" i="1" s="1"/>
  <c r="O500" i="1"/>
  <c r="P500" i="1" s="1"/>
  <c r="O484" i="1"/>
  <c r="P484" i="1" s="1"/>
  <c r="O468" i="1"/>
  <c r="P468" i="1" s="1"/>
  <c r="O452" i="1"/>
  <c r="P452" i="1" s="1"/>
  <c r="O436" i="1"/>
  <c r="P436" i="1" s="1"/>
  <c r="O420" i="1"/>
  <c r="P420" i="1" s="1"/>
  <c r="O404" i="1"/>
  <c r="P404" i="1" s="1"/>
  <c r="O388" i="1"/>
  <c r="P388" i="1" s="1"/>
  <c r="O372" i="1"/>
  <c r="P372" i="1" s="1"/>
  <c r="O356" i="1"/>
  <c r="P356" i="1" s="1"/>
  <c r="O340" i="1"/>
  <c r="P340" i="1" s="1"/>
  <c r="O324" i="1"/>
  <c r="P324" i="1" s="1"/>
  <c r="O308" i="1"/>
  <c r="P308" i="1" s="1"/>
  <c r="O292" i="1"/>
  <c r="P292" i="1" s="1"/>
  <c r="O276" i="1"/>
  <c r="P276" i="1" s="1"/>
  <c r="O260" i="1"/>
  <c r="P260" i="1" s="1"/>
  <c r="O244" i="1"/>
  <c r="P244" i="1" s="1"/>
  <c r="O228" i="1"/>
  <c r="P228" i="1" s="1"/>
  <c r="O212" i="1"/>
  <c r="P212" i="1" s="1"/>
  <c r="O196" i="1"/>
  <c r="P196" i="1" s="1"/>
  <c r="O180" i="1"/>
  <c r="P180" i="1" s="1"/>
  <c r="O164" i="1"/>
  <c r="P164" i="1" s="1"/>
  <c r="O148" i="1"/>
  <c r="P148" i="1" s="1"/>
  <c r="O132" i="1"/>
  <c r="Q132" i="1" s="1"/>
  <c r="O116" i="1"/>
  <c r="P116" i="1" s="1"/>
  <c r="O100" i="1"/>
  <c r="P100" i="1" s="1"/>
  <c r="O84" i="1"/>
  <c r="P84" i="1" s="1"/>
  <c r="O68" i="1"/>
  <c r="P68" i="1" s="1"/>
  <c r="O52" i="1"/>
  <c r="P52" i="1" s="1"/>
  <c r="O36" i="1"/>
  <c r="P36" i="1" s="1"/>
  <c r="O20" i="1"/>
  <c r="P20" i="1" s="1"/>
  <c r="O4" i="1"/>
  <c r="P4" i="1" s="1"/>
  <c r="O499" i="1"/>
  <c r="P499" i="1" s="1"/>
  <c r="O483" i="1"/>
  <c r="P483" i="1" s="1"/>
  <c r="O467" i="1"/>
  <c r="P467" i="1" s="1"/>
  <c r="O451" i="1"/>
  <c r="P451" i="1" s="1"/>
  <c r="O435" i="1"/>
  <c r="P435" i="1" s="1"/>
  <c r="O419" i="1"/>
  <c r="P419" i="1" s="1"/>
  <c r="O403" i="1"/>
  <c r="P403" i="1" s="1"/>
  <c r="O387" i="1"/>
  <c r="P387" i="1" s="1"/>
  <c r="O371" i="1"/>
  <c r="P371" i="1" s="1"/>
  <c r="O355" i="1"/>
  <c r="P355" i="1" s="1"/>
  <c r="O339" i="1"/>
  <c r="P339" i="1" s="1"/>
  <c r="O323" i="1"/>
  <c r="P323" i="1" s="1"/>
  <c r="O307" i="1"/>
  <c r="P307" i="1" s="1"/>
  <c r="O291" i="1"/>
  <c r="P291" i="1" s="1"/>
  <c r="O275" i="1"/>
  <c r="P275" i="1" s="1"/>
  <c r="O259" i="1"/>
  <c r="P259" i="1" s="1"/>
  <c r="O243" i="1"/>
  <c r="P243" i="1" s="1"/>
  <c r="O227" i="1"/>
  <c r="P227" i="1" s="1"/>
  <c r="O211" i="1"/>
  <c r="P211" i="1" s="1"/>
  <c r="O195" i="1"/>
  <c r="P195" i="1" s="1"/>
  <c r="O179" i="1"/>
  <c r="P179" i="1" s="1"/>
  <c r="O163" i="1"/>
  <c r="P163" i="1" s="1"/>
  <c r="O147" i="1"/>
  <c r="P147" i="1" s="1"/>
  <c r="O131" i="1"/>
  <c r="P131" i="1" s="1"/>
  <c r="O115" i="1"/>
  <c r="P115" i="1" s="1"/>
  <c r="O99" i="1"/>
  <c r="P99" i="1" s="1"/>
  <c r="O83" i="1"/>
  <c r="P83" i="1" s="1"/>
  <c r="O67" i="1"/>
  <c r="P67" i="1" s="1"/>
  <c r="O51" i="1"/>
  <c r="P51" i="1" s="1"/>
  <c r="O35" i="1"/>
  <c r="P35" i="1" s="1"/>
  <c r="O19" i="1"/>
  <c r="P19" i="1" s="1"/>
  <c r="O3" i="1"/>
  <c r="P3" i="1" s="1"/>
  <c r="O498" i="1"/>
  <c r="P498" i="1" s="1"/>
  <c r="O482" i="1"/>
  <c r="P482" i="1" s="1"/>
  <c r="O466" i="1"/>
  <c r="P466" i="1" s="1"/>
  <c r="O450" i="1"/>
  <c r="P450" i="1" s="1"/>
  <c r="O434" i="1"/>
  <c r="P434" i="1" s="1"/>
  <c r="O418" i="1"/>
  <c r="P418" i="1" s="1"/>
  <c r="O402" i="1"/>
  <c r="P402" i="1" s="1"/>
  <c r="O386" i="1"/>
  <c r="P386" i="1" s="1"/>
  <c r="O370" i="1"/>
  <c r="P370" i="1" s="1"/>
  <c r="O354" i="1"/>
  <c r="P354" i="1" s="1"/>
  <c r="O338" i="1"/>
  <c r="P338" i="1" s="1"/>
  <c r="O322" i="1"/>
  <c r="P322" i="1" s="1"/>
  <c r="O306" i="1"/>
  <c r="P306" i="1" s="1"/>
  <c r="O290" i="1"/>
  <c r="P290" i="1" s="1"/>
  <c r="O274" i="1"/>
  <c r="P274" i="1" s="1"/>
  <c r="O258" i="1"/>
  <c r="P258" i="1" s="1"/>
  <c r="O242" i="1"/>
  <c r="P242" i="1" s="1"/>
  <c r="O226" i="1"/>
  <c r="P226" i="1" s="1"/>
  <c r="O210" i="1"/>
  <c r="P210" i="1" s="1"/>
  <c r="O194" i="1"/>
  <c r="P194" i="1" s="1"/>
  <c r="O178" i="1"/>
  <c r="P178" i="1" s="1"/>
  <c r="O162" i="1"/>
  <c r="P162" i="1" s="1"/>
  <c r="O146" i="1"/>
  <c r="P146" i="1" s="1"/>
  <c r="O130" i="1"/>
  <c r="O114" i="1"/>
  <c r="P114" i="1" s="1"/>
  <c r="O98" i="1"/>
  <c r="Q98" i="1" s="1"/>
  <c r="O82" i="1"/>
  <c r="P82" i="1" s="1"/>
  <c r="O66" i="1"/>
  <c r="P66" i="1" s="1"/>
  <c r="O50" i="1"/>
  <c r="P50" i="1" s="1"/>
  <c r="O34" i="1"/>
  <c r="P34" i="1" s="1"/>
  <c r="O18" i="1"/>
  <c r="P18" i="1" s="1"/>
  <c r="O2" i="1"/>
  <c r="P2" i="1" s="1"/>
  <c r="P56" i="1"/>
  <c r="P215" i="1"/>
  <c r="P183" i="1"/>
  <c r="P80" i="1"/>
  <c r="P58" i="1"/>
  <c r="P26" i="1"/>
  <c r="P10" i="1"/>
  <c r="P6" i="1"/>
  <c r="P145" i="1"/>
  <c r="P129" i="1"/>
  <c r="P113" i="1"/>
  <c r="P97" i="1"/>
  <c r="Q49" i="1"/>
  <c r="P222" i="1"/>
  <c r="P94" i="1"/>
  <c r="P205" i="1"/>
  <c r="P77" i="1"/>
  <c r="P188" i="1"/>
  <c r="P156" i="1"/>
  <c r="Q60" i="1"/>
  <c r="P139" i="1"/>
  <c r="P43" i="1"/>
  <c r="P170" i="1"/>
  <c r="Q9" i="1"/>
  <c r="P72" i="1"/>
  <c r="P24" i="1"/>
  <c r="P130" i="1"/>
  <c r="Q224" i="1"/>
  <c r="P176" i="1"/>
  <c r="P144" i="1"/>
  <c r="P161" i="1"/>
  <c r="Q33" i="1"/>
  <c r="P223" i="1"/>
  <c r="P206" i="1"/>
  <c r="P140" i="1"/>
  <c r="P191" i="1"/>
  <c r="P174" i="1"/>
  <c r="P8" i="1"/>
  <c r="P186" i="1"/>
  <c r="P193" i="1"/>
  <c r="P184" i="1"/>
  <c r="P224" i="1"/>
  <c r="P96" i="1"/>
  <c r="L3" i="3"/>
  <c r="F3" i="3"/>
  <c r="D3" i="3"/>
  <c r="S240" i="1"/>
  <c r="S96" i="1"/>
  <c r="S65" i="1"/>
  <c r="S465" i="1"/>
  <c r="S449" i="1"/>
  <c r="S433" i="1"/>
  <c r="S321" i="1"/>
  <c r="S289" i="1"/>
  <c r="S161" i="1"/>
  <c r="S113" i="1"/>
  <c r="S81" i="1"/>
  <c r="S351" i="1"/>
  <c r="S114" i="1"/>
  <c r="S129" i="1"/>
  <c r="S478" i="1"/>
  <c r="S242" i="1"/>
  <c r="S269" i="1"/>
  <c r="S154" i="1"/>
  <c r="S388" i="1"/>
  <c r="S340" i="1"/>
  <c r="S464" i="1"/>
  <c r="S336" i="1"/>
  <c r="S272" i="1"/>
  <c r="S160" i="1"/>
  <c r="S48" i="1"/>
  <c r="S77" i="1"/>
  <c r="S396" i="1"/>
  <c r="S332" i="1"/>
  <c r="S188" i="1"/>
  <c r="S411" i="1"/>
  <c r="S11" i="1"/>
  <c r="S137" i="1"/>
  <c r="S248" i="1"/>
  <c r="S231" i="1"/>
  <c r="S422" i="1"/>
  <c r="S150" i="1"/>
  <c r="S229" i="1"/>
  <c r="S148" i="1"/>
  <c r="S402" i="1"/>
  <c r="S145" i="1"/>
  <c r="S17" i="1"/>
  <c r="S480" i="1"/>
  <c r="S320" i="1"/>
  <c r="S208" i="1"/>
  <c r="S144" i="1"/>
  <c r="S463" i="1"/>
  <c r="S430" i="1"/>
  <c r="S398" i="1"/>
  <c r="S318" i="1"/>
  <c r="S477" i="1"/>
  <c r="S220" i="1"/>
  <c r="S140" i="1"/>
  <c r="S28" i="1"/>
  <c r="S395" i="1"/>
  <c r="S379" i="1"/>
  <c r="S330" i="1"/>
  <c r="S266" i="1"/>
  <c r="S170" i="1"/>
  <c r="S233" i="1"/>
  <c r="S185" i="1"/>
  <c r="S344" i="1"/>
  <c r="S358" i="1"/>
  <c r="S294" i="1"/>
  <c r="S230" i="1"/>
  <c r="S198" i="1"/>
  <c r="S149" i="1"/>
  <c r="S53" i="1"/>
  <c r="S372" i="1"/>
  <c r="S467" i="1"/>
  <c r="S385" i="1"/>
  <c r="S369" i="1"/>
  <c r="S448" i="1"/>
  <c r="S352" i="1"/>
  <c r="S256" i="1"/>
  <c r="S176" i="1"/>
  <c r="S287" i="1"/>
  <c r="S111" i="1"/>
  <c r="S462" i="1"/>
  <c r="I286" i="1"/>
  <c r="S413" i="1"/>
  <c r="S61" i="1"/>
  <c r="S412" i="1"/>
  <c r="S252" i="1"/>
  <c r="S156" i="1"/>
  <c r="S108" i="1"/>
  <c r="S267" i="1"/>
  <c r="S219" i="1"/>
  <c r="S378" i="1"/>
  <c r="S377" i="1"/>
  <c r="S329" i="1"/>
  <c r="S249" i="1"/>
  <c r="S41" i="1"/>
  <c r="S438" i="1"/>
  <c r="S262" i="1"/>
  <c r="S134" i="1"/>
  <c r="S38" i="1"/>
  <c r="S309" i="1"/>
  <c r="S260" i="1"/>
  <c r="S212" i="1"/>
  <c r="S196" i="1"/>
  <c r="S164" i="1"/>
  <c r="S339" i="1"/>
  <c r="S275" i="1"/>
  <c r="S115" i="1"/>
  <c r="S482" i="1"/>
  <c r="S34" i="1"/>
  <c r="S239" i="1"/>
  <c r="S47" i="1"/>
  <c r="S349" i="1"/>
  <c r="S109" i="1"/>
  <c r="S29" i="1"/>
  <c r="S284" i="1"/>
  <c r="S92" i="1"/>
  <c r="S475" i="1"/>
  <c r="S443" i="1"/>
  <c r="S347" i="1"/>
  <c r="S331" i="1"/>
  <c r="S155" i="1"/>
  <c r="S107" i="1"/>
  <c r="S27" i="1"/>
  <c r="S474" i="1"/>
  <c r="S106" i="1"/>
  <c r="S345" i="1"/>
  <c r="S281" i="1"/>
  <c r="S89" i="1"/>
  <c r="S57" i="1"/>
  <c r="S424" i="1"/>
  <c r="S439" i="1"/>
  <c r="S343" i="1"/>
  <c r="S119" i="1"/>
  <c r="S406" i="1"/>
  <c r="S390" i="1"/>
  <c r="S310" i="1"/>
  <c r="S86" i="1"/>
  <c r="S389" i="1"/>
  <c r="S341" i="1"/>
  <c r="S293" i="1"/>
  <c r="S277" i="1"/>
  <c r="S213" i="1"/>
  <c r="S69" i="1"/>
  <c r="S37" i="1"/>
  <c r="S500" i="1"/>
  <c r="S452" i="1"/>
  <c r="S132" i="1"/>
  <c r="S36" i="1"/>
  <c r="S20" i="1"/>
  <c r="S371" i="1"/>
  <c r="S307" i="1"/>
  <c r="S259" i="1"/>
  <c r="S211" i="1"/>
  <c r="S51" i="1"/>
  <c r="S3" i="1"/>
  <c r="S498" i="1"/>
  <c r="S354" i="1"/>
  <c r="S98" i="1"/>
  <c r="S2" i="1"/>
  <c r="S481" i="1"/>
  <c r="S417" i="1"/>
  <c r="S273" i="1"/>
  <c r="S257" i="1"/>
  <c r="S241" i="1"/>
  <c r="S177" i="1"/>
  <c r="S49" i="1"/>
  <c r="S400" i="1"/>
  <c r="S384" i="1"/>
  <c r="S304" i="1"/>
  <c r="S288" i="1"/>
  <c r="S128" i="1"/>
  <c r="S16" i="1"/>
  <c r="S497" i="1"/>
  <c r="S401" i="1"/>
  <c r="S353" i="1"/>
  <c r="S337" i="1"/>
  <c r="S193" i="1"/>
  <c r="S33" i="1"/>
  <c r="S416" i="1"/>
  <c r="S64" i="1"/>
  <c r="S432" i="1"/>
  <c r="S368" i="1"/>
  <c r="S224" i="1"/>
  <c r="S112" i="1"/>
  <c r="S80" i="1"/>
  <c r="S479" i="1"/>
  <c r="S383" i="1"/>
  <c r="S319" i="1"/>
  <c r="S255" i="1"/>
  <c r="S223" i="1"/>
  <c r="S496" i="1"/>
  <c r="S494" i="1"/>
  <c r="S446" i="1"/>
  <c r="I110" i="1"/>
  <c r="S78" i="1"/>
  <c r="S14" i="1"/>
  <c r="S32" i="1"/>
  <c r="S493" i="1"/>
  <c r="S365" i="1"/>
  <c r="S333" i="1"/>
  <c r="S301" i="1"/>
  <c r="S285" i="1"/>
  <c r="S237" i="1"/>
  <c r="S141" i="1"/>
  <c r="S45" i="1"/>
  <c r="S476" i="1"/>
  <c r="S428" i="1"/>
  <c r="S348" i="1"/>
  <c r="S236" i="1"/>
  <c r="S12" i="1"/>
  <c r="S459" i="1"/>
  <c r="S299" i="1"/>
  <c r="S235" i="1"/>
  <c r="S203" i="1"/>
  <c r="S187" i="1"/>
  <c r="S171" i="1"/>
  <c r="S139" i="1"/>
  <c r="S192" i="1"/>
  <c r="S473" i="1"/>
  <c r="S265" i="1"/>
  <c r="S217" i="1"/>
  <c r="S153" i="1"/>
  <c r="S121" i="1"/>
  <c r="S105" i="1"/>
  <c r="S73" i="1"/>
  <c r="S9" i="1"/>
  <c r="S488" i="1"/>
  <c r="S328" i="1"/>
  <c r="S296" i="1"/>
  <c r="S136" i="1"/>
  <c r="S104" i="1"/>
  <c r="S199" i="1"/>
  <c r="S103" i="1"/>
  <c r="S87" i="1"/>
  <c r="S470" i="1"/>
  <c r="S342" i="1"/>
  <c r="S326" i="1"/>
  <c r="S214" i="1"/>
  <c r="S70" i="1"/>
  <c r="S54" i="1"/>
  <c r="S437" i="1"/>
  <c r="S373" i="1"/>
  <c r="S245" i="1"/>
  <c r="S165" i="1"/>
  <c r="S133" i="1"/>
  <c r="S117" i="1"/>
  <c r="S484" i="1"/>
  <c r="S404" i="1"/>
  <c r="S324" i="1"/>
  <c r="S68" i="1"/>
  <c r="S499" i="1"/>
  <c r="S419" i="1"/>
  <c r="S387" i="1"/>
  <c r="S355" i="1"/>
  <c r="S291" i="1"/>
  <c r="S243" i="1"/>
  <c r="S131" i="1"/>
  <c r="S83" i="1"/>
  <c r="S67" i="1"/>
  <c r="S35" i="1"/>
  <c r="S466" i="1"/>
  <c r="S450" i="1"/>
  <c r="S290" i="1"/>
  <c r="S258" i="1"/>
  <c r="S178" i="1"/>
  <c r="S146" i="1"/>
  <c r="S82" i="1"/>
  <c r="S66" i="1"/>
  <c r="S425" i="1"/>
  <c r="S282" i="1"/>
  <c r="S218" i="1"/>
  <c r="S489" i="1"/>
  <c r="S393" i="1"/>
  <c r="S297" i="1"/>
  <c r="S25" i="1"/>
  <c r="S472" i="1"/>
  <c r="S376" i="1"/>
  <c r="S280" i="1"/>
  <c r="S216" i="1"/>
  <c r="S120" i="1"/>
  <c r="S88" i="1"/>
  <c r="S72" i="1"/>
  <c r="S24" i="1"/>
  <c r="S361" i="1"/>
  <c r="S471" i="1"/>
  <c r="S247" i="1"/>
  <c r="S151" i="1"/>
  <c r="S23" i="1"/>
  <c r="S486" i="1"/>
  <c r="S454" i="1"/>
  <c r="S374" i="1"/>
  <c r="S278" i="1"/>
  <c r="S246" i="1"/>
  <c r="S182" i="1"/>
  <c r="S166" i="1"/>
  <c r="S118" i="1"/>
  <c r="S102" i="1"/>
  <c r="S22" i="1"/>
  <c r="S485" i="1"/>
  <c r="S469" i="1"/>
  <c r="S453" i="1"/>
  <c r="S421" i="1"/>
  <c r="S405" i="1"/>
  <c r="S357" i="1"/>
  <c r="S325" i="1"/>
  <c r="S261" i="1"/>
  <c r="S197" i="1"/>
  <c r="S181" i="1"/>
  <c r="S101" i="1"/>
  <c r="S85" i="1"/>
  <c r="S21" i="1"/>
  <c r="S5" i="1"/>
  <c r="S468" i="1"/>
  <c r="S436" i="1"/>
  <c r="S420" i="1"/>
  <c r="S356" i="1"/>
  <c r="S308" i="1"/>
  <c r="S292" i="1"/>
  <c r="S276" i="1"/>
  <c r="S244" i="1"/>
  <c r="S228" i="1"/>
  <c r="S180" i="1"/>
  <c r="S116" i="1"/>
  <c r="S100" i="1"/>
  <c r="S84" i="1"/>
  <c r="S52" i="1"/>
  <c r="S4" i="1"/>
  <c r="S441" i="1"/>
  <c r="S169" i="1"/>
  <c r="S483" i="1"/>
  <c r="S435" i="1"/>
  <c r="S403" i="1"/>
  <c r="S323" i="1"/>
  <c r="S227" i="1"/>
  <c r="S195" i="1"/>
  <c r="S179" i="1"/>
  <c r="S163" i="1"/>
  <c r="S147" i="1"/>
  <c r="S99" i="1"/>
  <c r="S19" i="1"/>
  <c r="S457" i="1"/>
  <c r="S201" i="1"/>
  <c r="S434" i="1"/>
  <c r="S418" i="1"/>
  <c r="S386" i="1"/>
  <c r="S370" i="1"/>
  <c r="S338" i="1"/>
  <c r="S322" i="1"/>
  <c r="S306" i="1"/>
  <c r="S274" i="1"/>
  <c r="S226" i="1"/>
  <c r="S210" i="1"/>
  <c r="S194" i="1"/>
  <c r="S162" i="1"/>
  <c r="S130" i="1"/>
  <c r="S50" i="1"/>
  <c r="S18" i="1"/>
  <c r="S305" i="1"/>
  <c r="S225" i="1"/>
  <c r="S209" i="1"/>
  <c r="S97" i="1"/>
  <c r="S415" i="1"/>
  <c r="S399" i="1"/>
  <c r="S367" i="1"/>
  <c r="S335" i="1"/>
  <c r="S271" i="1"/>
  <c r="S191" i="1"/>
  <c r="S175" i="1"/>
  <c r="S143" i="1"/>
  <c r="S127" i="1"/>
  <c r="S79" i="1"/>
  <c r="S63" i="1"/>
  <c r="S15" i="1"/>
  <c r="S366" i="1"/>
  <c r="S350" i="1"/>
  <c r="S206" i="1"/>
  <c r="S94" i="1"/>
  <c r="S30" i="1"/>
  <c r="S461" i="1"/>
  <c r="S445" i="1"/>
  <c r="S429" i="1"/>
  <c r="S397" i="1"/>
  <c r="S381" i="1"/>
  <c r="S317" i="1"/>
  <c r="S253" i="1"/>
  <c r="S221" i="1"/>
  <c r="S205" i="1"/>
  <c r="S189" i="1"/>
  <c r="S173" i="1"/>
  <c r="S157" i="1"/>
  <c r="S125" i="1"/>
  <c r="S93" i="1"/>
  <c r="S13" i="1"/>
  <c r="S492" i="1"/>
  <c r="S460" i="1"/>
  <c r="S444" i="1"/>
  <c r="S380" i="1"/>
  <c r="S364" i="1"/>
  <c r="S316" i="1"/>
  <c r="S300" i="1"/>
  <c r="S268" i="1"/>
  <c r="S204" i="1"/>
  <c r="S172" i="1"/>
  <c r="S124" i="1"/>
  <c r="S76" i="1"/>
  <c r="S60" i="1"/>
  <c r="S44" i="1"/>
  <c r="S409" i="1"/>
  <c r="S313" i="1"/>
  <c r="S491" i="1"/>
  <c r="S427" i="1"/>
  <c r="S363" i="1"/>
  <c r="S315" i="1"/>
  <c r="S283" i="1"/>
  <c r="S251" i="1"/>
  <c r="S123" i="1"/>
  <c r="S91" i="1"/>
  <c r="S75" i="1"/>
  <c r="S59" i="1"/>
  <c r="S43" i="1"/>
  <c r="S495" i="1"/>
  <c r="S447" i="1"/>
  <c r="S431" i="1"/>
  <c r="S303" i="1"/>
  <c r="S207" i="1"/>
  <c r="S159" i="1"/>
  <c r="S95" i="1"/>
  <c r="S31" i="1"/>
  <c r="S414" i="1"/>
  <c r="S382" i="1"/>
  <c r="I334" i="1"/>
  <c r="S302" i="1"/>
  <c r="S270" i="1"/>
  <c r="S254" i="1"/>
  <c r="S238" i="1"/>
  <c r="S222" i="1"/>
  <c r="S190" i="1"/>
  <c r="S174" i="1"/>
  <c r="S158" i="1"/>
  <c r="S142" i="1"/>
  <c r="S126" i="1"/>
  <c r="S62" i="1"/>
  <c r="S46" i="1"/>
  <c r="S334" i="1"/>
  <c r="S286" i="1"/>
  <c r="S110" i="1"/>
  <c r="I451" i="1"/>
  <c r="S451" i="1"/>
  <c r="I253" i="1"/>
  <c r="I290" i="1"/>
  <c r="I499" i="1"/>
  <c r="I354" i="1"/>
  <c r="I384" i="1"/>
  <c r="I47" i="1"/>
  <c r="I398" i="1"/>
  <c r="I158" i="1"/>
  <c r="I413" i="1"/>
  <c r="I285" i="1"/>
  <c r="I173" i="1"/>
  <c r="I77" i="1"/>
  <c r="I364" i="1"/>
  <c r="I187" i="1"/>
  <c r="I217" i="1"/>
  <c r="I478" i="1"/>
  <c r="I94" i="1"/>
  <c r="I429" i="1"/>
  <c r="I269" i="1"/>
  <c r="I61" i="1"/>
  <c r="I460" i="1"/>
  <c r="I469" i="1"/>
  <c r="I260" i="1"/>
  <c r="I492" i="1"/>
  <c r="I300" i="1"/>
  <c r="I153" i="1"/>
  <c r="I344" i="1"/>
  <c r="I296" i="1"/>
  <c r="I280" i="1"/>
  <c r="I199" i="1"/>
  <c r="I291" i="1"/>
  <c r="I497" i="1"/>
  <c r="I449" i="1"/>
  <c r="I17" i="1"/>
  <c r="I96" i="1"/>
  <c r="I351" i="1"/>
  <c r="I159" i="1"/>
  <c r="I209" i="1"/>
  <c r="I113" i="1"/>
  <c r="I415" i="1"/>
  <c r="I287" i="1"/>
  <c r="I409" i="1"/>
  <c r="I73" i="1"/>
  <c r="I23" i="1"/>
  <c r="I486" i="1"/>
  <c r="I436" i="1"/>
  <c r="I164" i="1"/>
  <c r="I466" i="1"/>
  <c r="I82" i="1"/>
  <c r="I476" i="1"/>
  <c r="I491" i="1"/>
  <c r="I27" i="1"/>
  <c r="I329" i="1"/>
  <c r="I169" i="1"/>
  <c r="I121" i="1"/>
  <c r="I376" i="1"/>
  <c r="I310" i="1"/>
  <c r="I133" i="1"/>
  <c r="I324" i="1"/>
  <c r="I100" i="1"/>
  <c r="I4" i="1"/>
  <c r="I403" i="1"/>
  <c r="I258" i="1"/>
  <c r="I178" i="1"/>
  <c r="I98" i="1"/>
  <c r="I353" i="1"/>
  <c r="I272" i="1"/>
  <c r="I383" i="1"/>
  <c r="I448" i="1"/>
  <c r="I176" i="1"/>
  <c r="I160" i="1"/>
  <c r="I16" i="1"/>
  <c r="I445" i="1"/>
  <c r="I109" i="1"/>
  <c r="I60" i="1"/>
  <c r="I44" i="1"/>
  <c r="I475" i="1"/>
  <c r="I459" i="1"/>
  <c r="I251" i="1"/>
  <c r="I235" i="1"/>
  <c r="Q96" i="1"/>
  <c r="I474" i="1"/>
  <c r="I282" i="1"/>
  <c r="I106" i="1"/>
  <c r="I185" i="1"/>
  <c r="I424" i="1"/>
  <c r="I136" i="1"/>
  <c r="I343" i="1"/>
  <c r="I87" i="1"/>
  <c r="I438" i="1"/>
  <c r="I134" i="1"/>
  <c r="I70" i="1"/>
  <c r="Q6" i="1"/>
  <c r="I373" i="1"/>
  <c r="I341" i="1"/>
  <c r="I36" i="1"/>
  <c r="I419" i="1"/>
  <c r="I35" i="1"/>
  <c r="I19" i="1"/>
  <c r="I450" i="1"/>
  <c r="I18" i="1"/>
  <c r="I481" i="1"/>
  <c r="I289" i="1"/>
  <c r="I273" i="1"/>
  <c r="I257" i="1"/>
  <c r="I225" i="1"/>
  <c r="I430" i="1"/>
  <c r="I414" i="1"/>
  <c r="I366" i="1"/>
  <c r="I126" i="1"/>
  <c r="Q465" i="1"/>
  <c r="I268" i="1"/>
  <c r="I315" i="1"/>
  <c r="I203" i="1"/>
  <c r="I154" i="1"/>
  <c r="Q77" i="1"/>
  <c r="I313" i="1"/>
  <c r="I201" i="1"/>
  <c r="I41" i="1"/>
  <c r="I472" i="1"/>
  <c r="I328" i="1"/>
  <c r="I120" i="1"/>
  <c r="I471" i="1"/>
  <c r="I231" i="1"/>
  <c r="I151" i="1"/>
  <c r="I358" i="1"/>
  <c r="I342" i="1"/>
  <c r="I262" i="1"/>
  <c r="I182" i="1"/>
  <c r="I150" i="1"/>
  <c r="Q169" i="1"/>
  <c r="I293" i="1"/>
  <c r="I245" i="1"/>
  <c r="I85" i="1"/>
  <c r="I404" i="1"/>
  <c r="I308" i="1"/>
  <c r="I212" i="1"/>
  <c r="I84" i="1"/>
  <c r="I68" i="1"/>
  <c r="I52" i="1"/>
  <c r="I435" i="1"/>
  <c r="I67" i="1"/>
  <c r="I3" i="1"/>
  <c r="Q150" i="1"/>
  <c r="I402" i="1"/>
  <c r="I226" i="1"/>
  <c r="I210" i="1"/>
  <c r="I50" i="1"/>
  <c r="I34" i="1"/>
  <c r="I2" i="1"/>
  <c r="I369" i="1"/>
  <c r="I321" i="1"/>
  <c r="I241" i="1"/>
  <c r="I193" i="1"/>
  <c r="I177" i="1"/>
  <c r="I161" i="1"/>
  <c r="I129" i="1"/>
  <c r="I97" i="1"/>
  <c r="I49" i="1"/>
  <c r="I496" i="1"/>
  <c r="I432" i="1"/>
  <c r="I400" i="1"/>
  <c r="I352" i="1"/>
  <c r="I288" i="1"/>
  <c r="I256" i="1"/>
  <c r="I128" i="1"/>
  <c r="I399" i="1"/>
  <c r="I239" i="1"/>
  <c r="I191" i="1"/>
  <c r="I143" i="1"/>
  <c r="I79" i="1"/>
  <c r="I63" i="1"/>
  <c r="I444" i="1"/>
  <c r="I412" i="1"/>
  <c r="I396" i="1"/>
  <c r="I380" i="1"/>
  <c r="I316" i="1"/>
  <c r="I252" i="1"/>
  <c r="I236" i="1"/>
  <c r="I188" i="1"/>
  <c r="I140" i="1"/>
  <c r="I124" i="1"/>
  <c r="I108" i="1"/>
  <c r="I443" i="1"/>
  <c r="I411" i="1"/>
  <c r="I379" i="1"/>
  <c r="I363" i="1"/>
  <c r="I171" i="1"/>
  <c r="I155" i="1"/>
  <c r="I91" i="1"/>
  <c r="I59" i="1"/>
  <c r="I11" i="1"/>
  <c r="I330" i="1"/>
  <c r="I218" i="1"/>
  <c r="I170" i="1"/>
  <c r="I473" i="1"/>
  <c r="I425" i="1"/>
  <c r="I393" i="1"/>
  <c r="I361" i="1"/>
  <c r="I345" i="1"/>
  <c r="I297" i="1"/>
  <c r="I137" i="1"/>
  <c r="I104" i="1"/>
  <c r="I88" i="1"/>
  <c r="I24" i="1"/>
  <c r="I439" i="1"/>
  <c r="I119" i="1"/>
  <c r="I470" i="1"/>
  <c r="I454" i="1"/>
  <c r="I422" i="1"/>
  <c r="I374" i="1"/>
  <c r="I326" i="1"/>
  <c r="I246" i="1"/>
  <c r="I230" i="1"/>
  <c r="I166" i="1"/>
  <c r="I22" i="1"/>
  <c r="I485" i="1"/>
  <c r="I405" i="1"/>
  <c r="I357" i="1"/>
  <c r="I261" i="1"/>
  <c r="I229" i="1"/>
  <c r="I197" i="1"/>
  <c r="I101" i="1"/>
  <c r="I484" i="1"/>
  <c r="I468" i="1"/>
  <c r="I420" i="1"/>
  <c r="I388" i="1"/>
  <c r="I292" i="1"/>
  <c r="I244" i="1"/>
  <c r="I228" i="1"/>
  <c r="I196" i="1"/>
  <c r="I180" i="1"/>
  <c r="I132" i="1"/>
  <c r="I20" i="1"/>
  <c r="I323" i="1"/>
  <c r="I275" i="1"/>
  <c r="I195" i="1"/>
  <c r="I163" i="1"/>
  <c r="I115" i="1"/>
  <c r="I498" i="1"/>
  <c r="I482" i="1"/>
  <c r="I434" i="1"/>
  <c r="I418" i="1"/>
  <c r="I386" i="1"/>
  <c r="I370" i="1"/>
  <c r="I338" i="1"/>
  <c r="I322" i="1"/>
  <c r="I306" i="1"/>
  <c r="I274" i="1"/>
  <c r="I242" i="1"/>
  <c r="I194" i="1"/>
  <c r="I162" i="1"/>
  <c r="I146" i="1"/>
  <c r="I130" i="1"/>
  <c r="I114" i="1"/>
  <c r="I66" i="1"/>
  <c r="I465" i="1"/>
  <c r="I433" i="1"/>
  <c r="I417" i="1"/>
  <c r="I401" i="1"/>
  <c r="I385" i="1"/>
  <c r="I337" i="1"/>
  <c r="I305" i="1"/>
  <c r="I145" i="1"/>
  <c r="I81" i="1"/>
  <c r="I65" i="1"/>
  <c r="I33" i="1"/>
  <c r="I480" i="1"/>
  <c r="I464" i="1"/>
  <c r="I416" i="1"/>
  <c r="I368" i="1"/>
  <c r="I336" i="1"/>
  <c r="I320" i="1"/>
  <c r="I304" i="1"/>
  <c r="I240" i="1"/>
  <c r="I224" i="1"/>
  <c r="I208" i="1"/>
  <c r="I192" i="1"/>
  <c r="I144" i="1"/>
  <c r="I112" i="1"/>
  <c r="I80" i="1"/>
  <c r="I64" i="1"/>
  <c r="I48" i="1"/>
  <c r="I32" i="1"/>
  <c r="I463" i="1"/>
  <c r="I367" i="1"/>
  <c r="I255" i="1"/>
  <c r="I175" i="1"/>
  <c r="I127" i="1"/>
  <c r="I350" i="1"/>
  <c r="I302" i="1"/>
  <c r="I270" i="1"/>
  <c r="I254" i="1"/>
  <c r="I222" i="1"/>
  <c r="I206" i="1"/>
  <c r="I190" i="1"/>
  <c r="I62" i="1"/>
  <c r="I30" i="1"/>
  <c r="I493" i="1"/>
  <c r="I477" i="1"/>
  <c r="I333" i="1"/>
  <c r="I317" i="1"/>
  <c r="I301" i="1"/>
  <c r="I221" i="1"/>
  <c r="I157" i="1"/>
  <c r="I483" i="1"/>
  <c r="I467" i="1"/>
  <c r="I387" i="1"/>
  <c r="I371" i="1"/>
  <c r="I355" i="1"/>
  <c r="I339" i="1"/>
  <c r="I307" i="1"/>
  <c r="I259" i="1"/>
  <c r="I243" i="1"/>
  <c r="I227" i="1"/>
  <c r="I211" i="1"/>
  <c r="I179" i="1"/>
  <c r="I147" i="1"/>
  <c r="I131" i="1"/>
  <c r="I99" i="1"/>
  <c r="I83" i="1"/>
  <c r="I51" i="1"/>
  <c r="I495" i="1"/>
  <c r="I479" i="1"/>
  <c r="I447" i="1"/>
  <c r="I431" i="1"/>
  <c r="I335" i="1"/>
  <c r="I319" i="1"/>
  <c r="I303" i="1"/>
  <c r="I271" i="1"/>
  <c r="I223" i="1"/>
  <c r="I207" i="1"/>
  <c r="I111" i="1"/>
  <c r="I95" i="1"/>
  <c r="I31" i="1"/>
  <c r="I15" i="1"/>
  <c r="I494" i="1"/>
  <c r="I462" i="1"/>
  <c r="I446" i="1"/>
  <c r="I382" i="1"/>
  <c r="I318" i="1"/>
  <c r="I238" i="1"/>
  <c r="I174" i="1"/>
  <c r="I142" i="1"/>
  <c r="I78" i="1"/>
  <c r="I46" i="1"/>
  <c r="I14" i="1"/>
  <c r="I461" i="1"/>
  <c r="I397" i="1"/>
  <c r="I381" i="1"/>
  <c r="I365" i="1"/>
  <c r="I349" i="1"/>
  <c r="I237" i="1"/>
  <c r="I205" i="1"/>
  <c r="I189" i="1"/>
  <c r="I141" i="1"/>
  <c r="I125" i="1"/>
  <c r="I93" i="1"/>
  <c r="I45" i="1"/>
  <c r="I29" i="1"/>
  <c r="I13" i="1"/>
  <c r="I428" i="1"/>
  <c r="I348" i="1"/>
  <c r="I332" i="1"/>
  <c r="I284" i="1"/>
  <c r="I220" i="1"/>
  <c r="I204" i="1"/>
  <c r="I172" i="1"/>
  <c r="I156" i="1"/>
  <c r="I92" i="1"/>
  <c r="I76" i="1"/>
  <c r="I28" i="1"/>
  <c r="I12" i="1"/>
  <c r="I427" i="1"/>
  <c r="I395" i="1"/>
  <c r="I347" i="1"/>
  <c r="I331" i="1"/>
  <c r="I299" i="1"/>
  <c r="I283" i="1"/>
  <c r="I267" i="1"/>
  <c r="I219" i="1"/>
  <c r="I139" i="1"/>
  <c r="I123" i="1"/>
  <c r="I107" i="1"/>
  <c r="I75" i="1"/>
  <c r="I43" i="1"/>
  <c r="I378" i="1"/>
  <c r="I266" i="1"/>
  <c r="I489" i="1"/>
  <c r="I457" i="1"/>
  <c r="I441" i="1"/>
  <c r="I377" i="1"/>
  <c r="I281" i="1"/>
  <c r="I265" i="1"/>
  <c r="I249" i="1"/>
  <c r="I233" i="1"/>
  <c r="I105" i="1"/>
  <c r="I89" i="1"/>
  <c r="I57" i="1"/>
  <c r="I25" i="1"/>
  <c r="I9" i="1"/>
  <c r="I488" i="1"/>
  <c r="I248" i="1"/>
  <c r="I216" i="1"/>
  <c r="I72" i="1"/>
  <c r="I247" i="1"/>
  <c r="I103" i="1"/>
  <c r="I406" i="1"/>
  <c r="I390" i="1"/>
  <c r="I294" i="1"/>
  <c r="I278" i="1"/>
  <c r="I214" i="1"/>
  <c r="I198" i="1"/>
  <c r="I118" i="1"/>
  <c r="I102" i="1"/>
  <c r="I86" i="1"/>
  <c r="I54" i="1"/>
  <c r="I38" i="1"/>
  <c r="I453" i="1"/>
  <c r="I437" i="1"/>
  <c r="I421" i="1"/>
  <c r="I389" i="1"/>
  <c r="I325" i="1"/>
  <c r="I309" i="1"/>
  <c r="I277" i="1"/>
  <c r="I213" i="1"/>
  <c r="I181" i="1"/>
  <c r="I165" i="1"/>
  <c r="I149" i="1"/>
  <c r="I117" i="1"/>
  <c r="I69" i="1"/>
  <c r="I53" i="1"/>
  <c r="I37" i="1"/>
  <c r="I21" i="1"/>
  <c r="I5" i="1"/>
  <c r="I500" i="1"/>
  <c r="I452" i="1"/>
  <c r="I372" i="1"/>
  <c r="I356" i="1"/>
  <c r="I340" i="1"/>
  <c r="I276" i="1"/>
  <c r="I148" i="1"/>
  <c r="I116" i="1"/>
  <c r="J490" i="1"/>
  <c r="S490" i="1" s="1"/>
  <c r="J458" i="1"/>
  <c r="S458" i="1" s="1"/>
  <c r="J442" i="1"/>
  <c r="S442" i="1" s="1"/>
  <c r="J426" i="1"/>
  <c r="S426" i="1" s="1"/>
  <c r="J410" i="1"/>
  <c r="S410" i="1" s="1"/>
  <c r="J394" i="1"/>
  <c r="S394" i="1" s="1"/>
  <c r="J362" i="1"/>
  <c r="S362" i="1" s="1"/>
  <c r="J346" i="1"/>
  <c r="S346" i="1" s="1"/>
  <c r="J314" i="1"/>
  <c r="S314" i="1" s="1"/>
  <c r="J298" i="1"/>
  <c r="S298" i="1" s="1"/>
  <c r="J250" i="1"/>
  <c r="S250" i="1" s="1"/>
  <c r="J234" i="1"/>
  <c r="S234" i="1" s="1"/>
  <c r="J202" i="1"/>
  <c r="S202" i="1" s="1"/>
  <c r="J186" i="1"/>
  <c r="S186" i="1" s="1"/>
  <c r="J138" i="1"/>
  <c r="S138" i="1" s="1"/>
  <c r="J122" i="1"/>
  <c r="S122" i="1" s="1"/>
  <c r="J90" i="1"/>
  <c r="S90" i="1" s="1"/>
  <c r="J74" i="1"/>
  <c r="S74" i="1" s="1"/>
  <c r="J58" i="1"/>
  <c r="S58" i="1" s="1"/>
  <c r="J42" i="1"/>
  <c r="S42" i="1" s="1"/>
  <c r="J26" i="1"/>
  <c r="S26" i="1" s="1"/>
  <c r="J10" i="1"/>
  <c r="S10" i="1" s="1"/>
  <c r="J456" i="1"/>
  <c r="S456" i="1" s="1"/>
  <c r="J440" i="1"/>
  <c r="S440" i="1" s="1"/>
  <c r="J408" i="1"/>
  <c r="S408" i="1" s="1"/>
  <c r="J392" i="1"/>
  <c r="S392" i="1" s="1"/>
  <c r="J360" i="1"/>
  <c r="S360" i="1" s="1"/>
  <c r="J312" i="1"/>
  <c r="S312" i="1" s="1"/>
  <c r="J264" i="1"/>
  <c r="S264" i="1" s="1"/>
  <c r="J232" i="1"/>
  <c r="S232" i="1" s="1"/>
  <c r="J200" i="1"/>
  <c r="S200" i="1" s="1"/>
  <c r="J184" i="1"/>
  <c r="S184" i="1" s="1"/>
  <c r="J168" i="1"/>
  <c r="S168" i="1" s="1"/>
  <c r="J152" i="1"/>
  <c r="S152" i="1" s="1"/>
  <c r="J56" i="1"/>
  <c r="S56" i="1" s="1"/>
  <c r="J40" i="1"/>
  <c r="S40" i="1" s="1"/>
  <c r="J8" i="1"/>
  <c r="S8" i="1" s="1"/>
  <c r="J487" i="1"/>
  <c r="S487" i="1" s="1"/>
  <c r="J455" i="1"/>
  <c r="S455" i="1" s="1"/>
  <c r="J423" i="1"/>
  <c r="S423" i="1" s="1"/>
  <c r="J407" i="1"/>
  <c r="S407" i="1" s="1"/>
  <c r="J391" i="1"/>
  <c r="S391" i="1" s="1"/>
  <c r="J375" i="1"/>
  <c r="S375" i="1" s="1"/>
  <c r="J359" i="1"/>
  <c r="S359" i="1" s="1"/>
  <c r="J327" i="1"/>
  <c r="S327" i="1" s="1"/>
  <c r="J311" i="1"/>
  <c r="S311" i="1" s="1"/>
  <c r="J295" i="1"/>
  <c r="S295" i="1" s="1"/>
  <c r="J279" i="1"/>
  <c r="S279" i="1" s="1"/>
  <c r="J263" i="1"/>
  <c r="S263" i="1" s="1"/>
  <c r="J215" i="1"/>
  <c r="S215" i="1" s="1"/>
  <c r="J183" i="1"/>
  <c r="S183" i="1" s="1"/>
  <c r="J167" i="1"/>
  <c r="S167" i="1" s="1"/>
  <c r="J135" i="1"/>
  <c r="S135" i="1" s="1"/>
  <c r="J71" i="1"/>
  <c r="S71" i="1" s="1"/>
  <c r="J55" i="1"/>
  <c r="S55" i="1" s="1"/>
  <c r="J39" i="1"/>
  <c r="S39" i="1" s="1"/>
  <c r="J7" i="1"/>
  <c r="S7" i="1" s="1"/>
  <c r="J6" i="1"/>
  <c r="S6" i="1" s="1"/>
  <c r="Q422" i="1" l="1"/>
  <c r="Q456" i="1"/>
  <c r="Q407" i="1"/>
  <c r="P55" i="1"/>
  <c r="Q289" i="1"/>
  <c r="Q320" i="1"/>
  <c r="Q426" i="1"/>
  <c r="Q359" i="1"/>
  <c r="Q480" i="1"/>
  <c r="Q464" i="1"/>
  <c r="Q30" i="1"/>
  <c r="Q332" i="1"/>
  <c r="Q252" i="1"/>
  <c r="Q388" i="1"/>
  <c r="Q351" i="1"/>
  <c r="Q199" i="1"/>
  <c r="Q369" i="1"/>
  <c r="Q316" i="1"/>
  <c r="Q64" i="1"/>
  <c r="P79" i="1"/>
  <c r="Q296" i="1"/>
  <c r="P48" i="1"/>
  <c r="Q259" i="1"/>
  <c r="Q135" i="1"/>
  <c r="Q78" i="1"/>
  <c r="Q335" i="1"/>
  <c r="Q267" i="1"/>
  <c r="Q284" i="1"/>
  <c r="Q280" i="1"/>
  <c r="Q471" i="1"/>
  <c r="Q352" i="1"/>
  <c r="Q463" i="1"/>
  <c r="P98" i="1"/>
  <c r="P132" i="1"/>
  <c r="P9" i="1"/>
  <c r="Q386" i="1"/>
  <c r="Q166" i="1"/>
  <c r="Q315" i="1"/>
  <c r="Q236" i="1"/>
  <c r="Q128" i="1"/>
  <c r="Q298" i="1"/>
  <c r="Q462" i="1"/>
  <c r="Q216" i="1"/>
  <c r="Q13" i="1"/>
  <c r="Q303" i="1"/>
  <c r="P49" i="1"/>
  <c r="P33" i="1"/>
  <c r="P120" i="1"/>
  <c r="P14" i="1"/>
  <c r="Q273" i="1"/>
  <c r="Q253" i="1"/>
  <c r="P28" i="1"/>
  <c r="Q239" i="1"/>
  <c r="Q44" i="1"/>
  <c r="Q283" i="1"/>
  <c r="Q209" i="1"/>
  <c r="Q300" i="1"/>
  <c r="Q27" i="1"/>
  <c r="Q317" i="1"/>
  <c r="J3" i="3"/>
  <c r="Q261" i="1"/>
  <c r="Q130" i="1"/>
  <c r="Q52" i="1"/>
  <c r="Q59" i="1"/>
  <c r="Q458" i="1"/>
  <c r="Q105" i="1"/>
  <c r="Q481" i="1"/>
  <c r="Q110" i="1"/>
  <c r="Q375" i="1"/>
  <c r="Q383" i="1"/>
  <c r="Q65" i="1"/>
  <c r="Q154" i="1"/>
  <c r="Q307" i="1"/>
  <c r="Q265" i="1"/>
  <c r="Q394" i="1"/>
  <c r="Q309" i="1"/>
  <c r="Q45" i="1"/>
  <c r="Q53" i="1"/>
  <c r="Q50" i="1"/>
  <c r="Q269" i="1"/>
  <c r="Q492" i="1"/>
  <c r="Q409" i="1"/>
  <c r="Q151" i="1"/>
  <c r="Q227" i="1"/>
  <c r="Q225" i="1"/>
  <c r="Q305" i="1"/>
  <c r="Q277" i="1"/>
  <c r="Q282" i="1"/>
  <c r="Q254" i="1"/>
  <c r="Q487" i="1"/>
  <c r="Q308" i="1"/>
  <c r="Q345" i="1"/>
  <c r="Q35" i="1"/>
  <c r="Q258" i="1"/>
  <c r="Q306" i="1"/>
  <c r="Q396" i="1"/>
  <c r="Q102" i="1"/>
  <c r="Q411" i="1"/>
  <c r="Q486" i="1"/>
  <c r="Q232" i="1"/>
  <c r="Q148" i="1"/>
  <c r="Q206" i="1"/>
  <c r="Q329" i="1"/>
  <c r="Q155" i="1"/>
  <c r="Q170" i="1"/>
  <c r="Q255" i="1"/>
  <c r="Q211" i="1"/>
  <c r="Q274" i="1"/>
  <c r="Q281" i="1"/>
  <c r="Q152" i="1"/>
  <c r="Q257" i="1"/>
  <c r="Q25" i="1"/>
  <c r="Q73" i="1"/>
  <c r="Q179" i="1"/>
  <c r="Q240" i="1"/>
  <c r="Q452" i="1"/>
  <c r="Q182" i="1"/>
  <c r="Q438" i="1"/>
  <c r="Q32" i="1"/>
  <c r="Q479" i="1"/>
  <c r="Q470" i="1"/>
  <c r="Q338" i="1"/>
  <c r="Q140" i="1"/>
  <c r="Q354" i="1"/>
  <c r="Q358" i="1"/>
  <c r="Q97" i="1"/>
  <c r="Q322" i="1"/>
  <c r="Q374" i="1"/>
  <c r="Q192" i="1"/>
  <c r="Q418" i="1"/>
  <c r="Q163" i="1"/>
  <c r="Q419" i="1"/>
  <c r="Q164" i="1"/>
  <c r="Q165" i="1"/>
  <c r="Q421" i="1"/>
  <c r="Q454" i="1"/>
  <c r="Q218" i="1"/>
  <c r="Q171" i="1"/>
  <c r="Q205" i="1"/>
  <c r="Q461" i="1"/>
  <c r="Q222" i="1"/>
  <c r="Q478" i="1"/>
  <c r="Q406" i="1"/>
  <c r="Q75" i="1"/>
  <c r="Q348" i="1"/>
  <c r="Q399" i="1"/>
  <c r="Q123" i="1"/>
  <c r="Q435" i="1"/>
  <c r="Q181" i="1"/>
  <c r="Q437" i="1"/>
  <c r="Q104" i="1"/>
  <c r="Q57" i="1"/>
  <c r="Q313" i="1"/>
  <c r="Q477" i="1"/>
  <c r="Q16" i="1"/>
  <c r="Q100" i="1"/>
  <c r="Q424" i="1"/>
  <c r="Q91" i="1"/>
  <c r="Q159" i="1"/>
  <c r="Q337" i="1"/>
  <c r="Q196" i="1"/>
  <c r="Q453" i="1"/>
  <c r="Q230" i="1"/>
  <c r="Q15" i="1"/>
  <c r="Q116" i="1"/>
  <c r="Q107" i="1"/>
  <c r="Q176" i="1"/>
  <c r="Q467" i="1"/>
  <c r="Q468" i="1"/>
  <c r="Q213" i="1"/>
  <c r="Q469" i="1"/>
  <c r="Q89" i="1"/>
  <c r="Q330" i="1"/>
  <c r="Q270" i="1"/>
  <c r="Q287" i="1"/>
  <c r="Q118" i="1"/>
  <c r="Q325" i="1"/>
  <c r="Q431" i="1"/>
  <c r="Q448" i="1"/>
  <c r="Q106" i="1"/>
  <c r="Q18" i="1"/>
  <c r="Q483" i="1"/>
  <c r="Q229" i="1"/>
  <c r="Q347" i="1"/>
  <c r="Q243" i="1"/>
  <c r="Q499" i="1"/>
  <c r="Q245" i="1"/>
  <c r="Q248" i="1"/>
  <c r="Q121" i="1"/>
  <c r="Q29" i="1"/>
  <c r="Q285" i="1"/>
  <c r="Q46" i="1"/>
  <c r="Q319" i="1"/>
  <c r="Q80" i="1"/>
  <c r="Q356" i="1"/>
  <c r="Q363" i="1"/>
  <c r="Q432" i="1"/>
  <c r="Q5" i="1"/>
  <c r="Q372" i="1"/>
  <c r="Q247" i="1"/>
  <c r="Q175" i="1"/>
  <c r="Q66" i="1"/>
  <c r="Q67" i="1"/>
  <c r="Q343" i="1"/>
  <c r="Q365" i="1"/>
  <c r="Q415" i="1"/>
  <c r="Q34" i="1"/>
  <c r="Q291" i="1"/>
  <c r="Q82" i="1"/>
  <c r="Q439" i="1"/>
  <c r="Q11" i="1"/>
  <c r="R3" i="3"/>
  <c r="Q2" i="1"/>
  <c r="N3" i="3"/>
  <c r="P3" i="3" s="1"/>
  <c r="H3" i="3"/>
  <c r="Q279" i="1"/>
  <c r="Q327" i="1"/>
  <c r="Q295" i="1"/>
  <c r="I458" i="1"/>
  <c r="I58" i="1"/>
  <c r="I215" i="1"/>
  <c r="I263" i="1"/>
  <c r="I295" i="1"/>
  <c r="I138" i="1"/>
  <c r="I490" i="1"/>
  <c r="I442" i="1"/>
  <c r="I311" i="1"/>
  <c r="I327" i="1"/>
  <c r="I264" i="1"/>
  <c r="I56" i="1"/>
  <c r="I90" i="1"/>
  <c r="I359" i="1"/>
  <c r="I391" i="1"/>
  <c r="I74" i="1"/>
  <c r="I375" i="1"/>
  <c r="I298" i="1"/>
  <c r="I7" i="1"/>
  <c r="I39" i="1"/>
  <c r="I423" i="1"/>
  <c r="I440" i="1"/>
  <c r="I346" i="1"/>
  <c r="I407" i="1"/>
  <c r="I55" i="1"/>
  <c r="I455" i="1"/>
  <c r="I456" i="1"/>
  <c r="I6" i="1"/>
  <c r="I487" i="1"/>
  <c r="I10" i="1"/>
  <c r="I394" i="1"/>
  <c r="I183" i="1"/>
  <c r="I135" i="1"/>
  <c r="I8" i="1"/>
  <c r="I26" i="1"/>
  <c r="I410" i="1"/>
  <c r="I167" i="1"/>
  <c r="I42" i="1"/>
  <c r="I426" i="1"/>
  <c r="Q275" i="1"/>
  <c r="Q377" i="1"/>
  <c r="Q263" i="1"/>
  <c r="Q180" i="1"/>
  <c r="Q393" i="1"/>
  <c r="Q81" i="1"/>
  <c r="Q10" i="1"/>
  <c r="Q455" i="1"/>
  <c r="Q146" i="1"/>
  <c r="Q124" i="1"/>
  <c r="Q93" i="1"/>
  <c r="Q94" i="1"/>
  <c r="Q350" i="1"/>
  <c r="Q353" i="1"/>
  <c r="Q272" i="1"/>
  <c r="Q288" i="1"/>
  <c r="Q95" i="1"/>
  <c r="Q304" i="1"/>
  <c r="Q160" i="1"/>
  <c r="Q58" i="1"/>
  <c r="Q391" i="1"/>
  <c r="Q162" i="1"/>
  <c r="Q323" i="1"/>
  <c r="Q212" i="1"/>
  <c r="Q69" i="1"/>
  <c r="Q262" i="1"/>
  <c r="Q425" i="1"/>
  <c r="Q427" i="1"/>
  <c r="Q109" i="1"/>
  <c r="Q366" i="1"/>
  <c r="Q113" i="1"/>
  <c r="Q496" i="1"/>
  <c r="Q447" i="1"/>
  <c r="Q111" i="1"/>
  <c r="Q186" i="1"/>
  <c r="Q200" i="1"/>
  <c r="Q122" i="1"/>
  <c r="Q370" i="1"/>
  <c r="Q21" i="1"/>
  <c r="Q328" i="1"/>
  <c r="Q92" i="1"/>
  <c r="Q321" i="1"/>
  <c r="Q37" i="1"/>
  <c r="Q395" i="1"/>
  <c r="Q333" i="1"/>
  <c r="Q334" i="1"/>
  <c r="Q402" i="1"/>
  <c r="Q51" i="1"/>
  <c r="Q246" i="1"/>
  <c r="Q376" i="1"/>
  <c r="Q153" i="1"/>
  <c r="Q380" i="1"/>
  <c r="Q349" i="1"/>
  <c r="Q367" i="1"/>
  <c r="Q40" i="1"/>
  <c r="Q178" i="1"/>
  <c r="Q434" i="1"/>
  <c r="Q83" i="1"/>
  <c r="Q339" i="1"/>
  <c r="Q228" i="1"/>
  <c r="Q484" i="1"/>
  <c r="Q85" i="1"/>
  <c r="Q341" i="1"/>
  <c r="Q22" i="1"/>
  <c r="Q278" i="1"/>
  <c r="Q472" i="1"/>
  <c r="Q185" i="1"/>
  <c r="Q441" i="1"/>
  <c r="Q378" i="1"/>
  <c r="Q187" i="1"/>
  <c r="Q443" i="1"/>
  <c r="Q156" i="1"/>
  <c r="Q412" i="1"/>
  <c r="Q125" i="1"/>
  <c r="Q381" i="1"/>
  <c r="Q126" i="1"/>
  <c r="Q382" i="1"/>
  <c r="Q129" i="1"/>
  <c r="Q385" i="1"/>
  <c r="Q8" i="1"/>
  <c r="Q42" i="1"/>
  <c r="Q127" i="1"/>
  <c r="Q495" i="1"/>
  <c r="Q234" i="1"/>
  <c r="Q312" i="1"/>
  <c r="Q138" i="1"/>
  <c r="Q19" i="1"/>
  <c r="Q194" i="1"/>
  <c r="Q450" i="1"/>
  <c r="Q99" i="1"/>
  <c r="Q355" i="1"/>
  <c r="Q244" i="1"/>
  <c r="Q500" i="1"/>
  <c r="Q101" i="1"/>
  <c r="Q357" i="1"/>
  <c r="Q38" i="1"/>
  <c r="Q294" i="1"/>
  <c r="Q23" i="1"/>
  <c r="Q488" i="1"/>
  <c r="Q201" i="1"/>
  <c r="Q457" i="1"/>
  <c r="Q474" i="1"/>
  <c r="Q203" i="1"/>
  <c r="Q459" i="1"/>
  <c r="Q172" i="1"/>
  <c r="Q428" i="1"/>
  <c r="Q141" i="1"/>
  <c r="Q397" i="1"/>
  <c r="Q142" i="1"/>
  <c r="Q398" i="1"/>
  <c r="Q145" i="1"/>
  <c r="Q401" i="1"/>
  <c r="Q31" i="1"/>
  <c r="Q47" i="1"/>
  <c r="Q56" i="1"/>
  <c r="Q74" i="1"/>
  <c r="Q143" i="1"/>
  <c r="Q346" i="1"/>
  <c r="Q423" i="1"/>
  <c r="Q210" i="1"/>
  <c r="Q466" i="1"/>
  <c r="Q115" i="1"/>
  <c r="Q371" i="1"/>
  <c r="Q4" i="1"/>
  <c r="Q260" i="1"/>
  <c r="Q117" i="1"/>
  <c r="Q373" i="1"/>
  <c r="Q54" i="1"/>
  <c r="Q310" i="1"/>
  <c r="Q87" i="1"/>
  <c r="Q24" i="1"/>
  <c r="Q217" i="1"/>
  <c r="Q473" i="1"/>
  <c r="Q219" i="1"/>
  <c r="Q475" i="1"/>
  <c r="Q188" i="1"/>
  <c r="Q444" i="1"/>
  <c r="Q157" i="1"/>
  <c r="Q413" i="1"/>
  <c r="Q158" i="1"/>
  <c r="Q414" i="1"/>
  <c r="Q161" i="1"/>
  <c r="Q417" i="1"/>
  <c r="Q208" i="1"/>
  <c r="Q256" i="1"/>
  <c r="Q90" i="1"/>
  <c r="Q191" i="1"/>
  <c r="Q442" i="1"/>
  <c r="Q264" i="1"/>
  <c r="Q420" i="1"/>
  <c r="Q318" i="1"/>
  <c r="Q63" i="1"/>
  <c r="Q137" i="1"/>
  <c r="Q387" i="1"/>
  <c r="Q103" i="1"/>
  <c r="Q491" i="1"/>
  <c r="Q433" i="1"/>
  <c r="Q242" i="1"/>
  <c r="Q498" i="1"/>
  <c r="Q147" i="1"/>
  <c r="Q403" i="1"/>
  <c r="Q36" i="1"/>
  <c r="Q292" i="1"/>
  <c r="Q149" i="1"/>
  <c r="Q405" i="1"/>
  <c r="Q86" i="1"/>
  <c r="Q342" i="1"/>
  <c r="Q119" i="1"/>
  <c r="Q88" i="1"/>
  <c r="Q249" i="1"/>
  <c r="Q251" i="1"/>
  <c r="Q220" i="1"/>
  <c r="Q476" i="1"/>
  <c r="Q189" i="1"/>
  <c r="Q445" i="1"/>
  <c r="Q190" i="1"/>
  <c r="Q446" i="1"/>
  <c r="Q193" i="1"/>
  <c r="Q449" i="1"/>
  <c r="Q7" i="1"/>
  <c r="Q184" i="1"/>
  <c r="Q202" i="1"/>
  <c r="Q223" i="1"/>
  <c r="Q112" i="1"/>
  <c r="Q39" i="1"/>
  <c r="Q250" i="1"/>
  <c r="Q344" i="1"/>
  <c r="Q133" i="1"/>
  <c r="Q233" i="1"/>
  <c r="Q430" i="1"/>
  <c r="Q207" i="1"/>
  <c r="Q68" i="1"/>
  <c r="Q221" i="1"/>
  <c r="Q167" i="1"/>
  <c r="Q214" i="1"/>
  <c r="Q379" i="1"/>
  <c r="Q61" i="1"/>
  <c r="Q436" i="1"/>
  <c r="Q139" i="1"/>
  <c r="Q131" i="1"/>
  <c r="Q72" i="1"/>
  <c r="Q429" i="1"/>
  <c r="Q168" i="1"/>
  <c r="Q290" i="1"/>
  <c r="Q195" i="1"/>
  <c r="Q451" i="1"/>
  <c r="Q84" i="1"/>
  <c r="Q340" i="1"/>
  <c r="Q197" i="1"/>
  <c r="Q134" i="1"/>
  <c r="Q390" i="1"/>
  <c r="Q231" i="1"/>
  <c r="Q136" i="1"/>
  <c r="Q41" i="1"/>
  <c r="Q297" i="1"/>
  <c r="Q43" i="1"/>
  <c r="Q299" i="1"/>
  <c r="Q12" i="1"/>
  <c r="Q268" i="1"/>
  <c r="Q237" i="1"/>
  <c r="Q493" i="1"/>
  <c r="Q238" i="1"/>
  <c r="Q494" i="1"/>
  <c r="Q241" i="1"/>
  <c r="Q497" i="1"/>
  <c r="Q368" i="1"/>
  <c r="Q400" i="1"/>
  <c r="Q183" i="1"/>
  <c r="Q440" i="1"/>
  <c r="Q362" i="1"/>
  <c r="Q271" i="1"/>
  <c r="Q336" i="1"/>
  <c r="Q311" i="1"/>
  <c r="Q108" i="1"/>
  <c r="Q20" i="1"/>
  <c r="Q326" i="1"/>
  <c r="Q460" i="1"/>
  <c r="Q177" i="1"/>
  <c r="Q416" i="1"/>
  <c r="Q410" i="1"/>
  <c r="Q360" i="1"/>
  <c r="Q293" i="1"/>
  <c r="Q266" i="1"/>
  <c r="Q226" i="1"/>
  <c r="Q276" i="1"/>
  <c r="Q70" i="1"/>
  <c r="Q235" i="1"/>
  <c r="Q173" i="1"/>
  <c r="Q384" i="1"/>
  <c r="Q490" i="1"/>
  <c r="Q144" i="1"/>
  <c r="Q324" i="1"/>
  <c r="Q485" i="1"/>
  <c r="Q331" i="1"/>
  <c r="Q392" i="1"/>
  <c r="Q71" i="1"/>
  <c r="Q286" i="1"/>
  <c r="Q408" i="1"/>
  <c r="Q114" i="1"/>
  <c r="Q62" i="1"/>
  <c r="Q364" i="1"/>
  <c r="Q482" i="1"/>
  <c r="Q389" i="1"/>
  <c r="Q489" i="1"/>
  <c r="Q204" i="1"/>
  <c r="Q174" i="1"/>
  <c r="Q26" i="1"/>
  <c r="Q3" i="1"/>
  <c r="Q404" i="1"/>
  <c r="Q198" i="1"/>
  <c r="Q361" i="1"/>
  <c r="Q76" i="1"/>
  <c r="Q301" i="1"/>
  <c r="Q302" i="1"/>
  <c r="Q17" i="1"/>
  <c r="Q215" i="1"/>
  <c r="Q314" i="1"/>
  <c r="I184" i="1"/>
  <c r="I312" i="1"/>
  <c r="I234" i="1"/>
  <c r="I202" i="1"/>
  <c r="I360" i="1"/>
  <c r="I250" i="1"/>
  <c r="I392" i="1"/>
  <c r="I408" i="1"/>
  <c r="I314" i="1"/>
  <c r="I279" i="1"/>
  <c r="I232" i="1"/>
  <c r="I200" i="1"/>
  <c r="I362" i="1"/>
  <c r="I71" i="1"/>
  <c r="I40" i="1"/>
  <c r="I122" i="1"/>
  <c r="I186" i="1"/>
  <c r="I152" i="1"/>
  <c r="I168"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<sst xmlns="http://schemas.openxmlformats.org/spreadsheetml/2006/main" count="185" uniqueCount="102">
  <si>
    <t>Ticket ID</t>
  </si>
  <si>
    <t>System</t>
  </si>
  <si>
    <t>Issue Type</t>
  </si>
  <si>
    <t>Priority</t>
  </si>
  <si>
    <t>Severity</t>
  </si>
  <si>
    <t>Region</t>
  </si>
  <si>
    <t>Department</t>
  </si>
  <si>
    <t>Created Date</t>
  </si>
  <si>
    <t>Resolved Date</t>
  </si>
  <si>
    <t>Resolution Time (Days)</t>
  </si>
  <si>
    <t>Status</t>
  </si>
  <si>
    <t>Assigned Analyst</t>
  </si>
  <si>
    <t>Root Cause Category</t>
  </si>
  <si>
    <t>Estimated Impact ($)</t>
  </si>
  <si>
    <t>Actual Impact ($)</t>
  </si>
  <si>
    <t>Variance ($)</t>
  </si>
  <si>
    <t>Variance (%)</t>
  </si>
  <si>
    <t>SLA Target (Days)</t>
  </si>
  <si>
    <t>SLA Met</t>
  </si>
  <si>
    <t>Billing System</t>
  </si>
  <si>
    <t>Claims System</t>
  </si>
  <si>
    <t>Payment Processing</t>
  </si>
  <si>
    <t>Customer Portal</t>
  </si>
  <si>
    <t>Policy Admin System</t>
  </si>
  <si>
    <t>Regulatory System</t>
  </si>
  <si>
    <t>Reporting System</t>
  </si>
  <si>
    <t>System Error</t>
  </si>
  <si>
    <t>Data Issue</t>
  </si>
  <si>
    <t>User Access Issue</t>
  </si>
  <si>
    <t>Payment Failure</t>
  </si>
  <si>
    <t>Processing Delay</t>
  </si>
  <si>
    <t>Integration Failure</t>
  </si>
  <si>
    <t>Complaint</t>
  </si>
  <si>
    <t>Performance Issue</t>
  </si>
  <si>
    <t>Low</t>
  </si>
  <si>
    <t>Medium</t>
  </si>
  <si>
    <t>High</t>
  </si>
  <si>
    <t>Critical</t>
  </si>
  <si>
    <t>Minor</t>
  </si>
  <si>
    <t>Moderate</t>
  </si>
  <si>
    <t>Major</t>
  </si>
  <si>
    <t>East</t>
  </si>
  <si>
    <t>Central</t>
  </si>
  <si>
    <t>West</t>
  </si>
  <si>
    <t>Southeast</t>
  </si>
  <si>
    <t>Midwest</t>
  </si>
  <si>
    <t>IT</t>
  </si>
  <si>
    <t>Billing</t>
  </si>
  <si>
    <t>Claims</t>
  </si>
  <si>
    <t>Customer Service</t>
  </si>
  <si>
    <t>Compliance</t>
  </si>
  <si>
    <t>Finance</t>
  </si>
  <si>
    <t>Analyst</t>
  </si>
  <si>
    <t>Alex Johnson</t>
  </si>
  <si>
    <t>Taylor Smith</t>
  </si>
  <si>
    <t>Jordan Lee</t>
  </si>
  <si>
    <t>Morgan Davis</t>
  </si>
  <si>
    <t>Casey Brown</t>
  </si>
  <si>
    <t>Riley Wilson</t>
  </si>
  <si>
    <t>Root Cause</t>
  </si>
  <si>
    <t>System Bug</t>
  </si>
  <si>
    <t>User Error</t>
  </si>
  <si>
    <t>Configuration Issue</t>
  </si>
  <si>
    <t>Process Gap</t>
  </si>
  <si>
    <t>Unknown</t>
  </si>
  <si>
    <t>Total Incidents</t>
  </si>
  <si>
    <t>Open Incidents</t>
  </si>
  <si>
    <t>Closed Incidents</t>
  </si>
  <si>
    <t>SLA Compliance %</t>
  </si>
  <si>
    <t>Avg Resolution Time (Days)</t>
  </si>
  <si>
    <t>Row Labels</t>
  </si>
  <si>
    <t>Grand Total</t>
  </si>
  <si>
    <t>Count of Priority</t>
  </si>
  <si>
    <t>Count of System</t>
  </si>
  <si>
    <t>2023</t>
  </si>
  <si>
    <t>2024</t>
  </si>
  <si>
    <t>Jan</t>
  </si>
  <si>
    <t>Feb</t>
  </si>
  <si>
    <t>Mar</t>
  </si>
  <si>
    <t>Apr</t>
  </si>
  <si>
    <t>May</t>
  </si>
  <si>
    <t>Jun</t>
  </si>
  <si>
    <t>Jul</t>
  </si>
  <si>
    <t>Aug</t>
  </si>
  <si>
    <t>Sep</t>
  </si>
  <si>
    <t>Oct</t>
  </si>
  <si>
    <t>Nov</t>
  </si>
  <si>
    <t>Dec</t>
  </si>
  <si>
    <t>Count of Ticket ID</t>
  </si>
  <si>
    <t>Enterprise Incident Management Dashboard</t>
  </si>
  <si>
    <t>Data Error</t>
  </si>
  <si>
    <t>Network Failure</t>
  </si>
  <si>
    <t>Issue</t>
  </si>
  <si>
    <t>Count of Root Cause Category</t>
  </si>
  <si>
    <t>Total Estimated Cost</t>
  </si>
  <si>
    <t>Total Actual Cost</t>
  </si>
  <si>
    <t>Total Variance</t>
  </si>
  <si>
    <t>Avg Cost per Incident</t>
  </si>
  <si>
    <t>Sum of Actual Impact ($)</t>
  </si>
  <si>
    <t>Sum of Estimated Impact ($)</t>
  </si>
  <si>
    <t>(Multiple Items)</t>
  </si>
  <si>
    <t>Budget Variance (+ Over / − Under)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</si>
</sst>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quot;$&quot;#,##0.00"/>
  </numFmts>
  <fonts count="5" x14ac:knownFonts="1">
    <font>
      <sz val="11"/>
      <color theme="1"/>
      <name val="Aptos Narrow"/>
      <family val="2"/>
      <scheme val="minor"/>
    </font>
    <font>
      <b/>
      <sz val="11"/>
      <color theme="1"/>
      <name val="Aptos Narrow"/>
      <family val="2"/>
      <scheme val="minor"/>
    </font>
    <font>
      <b/>
      <sz val="12"/>
      <color theme="1"/>
      <name val="Aptos Narrow"/>
      <family val="2"/>
      <scheme val="minor"/>
    </font>
    <font>
      <b/>
      <sz val="20"/>
      <color theme="1"/>
      <name val="Aptos Narrow"/>
      <family val="2"/>
      <scheme val="minor"/>
    </font>
    <font>
      <b/>
      <sz val="18"/>
      <color theme="3" tint="0.249977111117893"/>
      <name val="Aptos Narrow"/>
      <family val="2"/>
      <scheme val="minor"/>
    </font>
  </fonts>
  <fills count="3">
    <fill>
      <patternFill patternType="none"/>
    </fill>
    <fill>
      <patternFill patternType="gray125"/>
    </fill>
    <fill>
      <patternFill patternType="solid">
        <fgColor theme="2" tint="-0.249977111117893"/>
        <bgColor indexed="64"/>
      </patternFill>
    </fill>
  </fills>
  <borders count="3">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16">
    <xf numFmtId="0" fontId="0" fillId="0" borderId="0" xfId="0"/>
    <xf numFmtId="14" fontId="0" fillId="0" borderId="0" xfId="0" applyNumberFormat="1"/>
    <xf numFmtId="10" fontId="0" fillId="0" borderId="0" xfId="0" applyNumberFormat="1"/>
    <xf numFmtId="0" fontId="1" fillId="0" borderId="0" xfId="0" applyFon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3" fillId="0" borderId="0" xfId="0" applyFont="1"/>
    <xf numFmtId="0" fontId="4" fillId="2" borderId="2" xfId="0" applyFont="1" applyFill="1" applyBorder="1"/>
    <xf numFmtId="10" fontId="4" fillId="2" borderId="2" xfId="0" applyNumberFormat="1" applyFont="1" applyFill="1" applyBorder="1"/>
    <xf numFmtId="2" fontId="4" fillId="2" borderId="2" xfId="0" applyNumberFormat="1" applyFont="1" applyFill="1" applyBorder="1"/>
    <xf numFmtId="0" fontId="2" fillId="2" borderId="1" xfId="0" applyFont="1" applyFill="1" applyBorder="1"/>
    <xf numFmtId="165" fontId="0" fillId="0" borderId="0" xfId="0" applyNumberFormat="1"/>
    <xf numFmtId="0" fontId="0" fillId="0" borderId="0" xfId="0" applyNumberFormat="1"/>
    <xf numFmtId="165" fontId="4" fillId="2" borderId="2" xfId="0" applyNumberFormat="1" applyFont="1" applyFill="1" applyBorder="1"/>
  </cellXfs>
  <cellStyles count="1">
    <cellStyle name="Normal" xfId="0" builtinId="0"/>
  </cellStyles>
  <dxfs count="16">
    <dxf>
      <numFmt numFmtId="0" formatCode="General"/>
    </dxf>
    <dxf>
      <numFmt numFmtId="0" formatCode="General"/>
    </dxf>
    <dxf>
      <numFmt numFmtId="0" formatCode="General"/>
    </dxf>
    <dxf>
      <font>
        <b/>
      </font>
      <numFmt numFmtId="0" formatCode="General"/>
    </dxf>
    <dxf>
      <numFmt numFmtId="14" formatCode="0.00%"/>
    </dxf>
    <dxf>
      <numFmt numFmtId="0" formatCode="General"/>
    </dxf>
    <dxf>
      <numFmt numFmtId="0" formatCode="General"/>
    </dxf>
    <dxf>
      <numFmt numFmtId="0" formatCode="General"/>
    </dxf>
    <dxf>
      <numFmt numFmtId="0" formatCode="General"/>
    </dxf>
    <dxf>
      <numFmt numFmtId="164"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ABE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[Incident Operations Cost Analytics Dashboard.xlsx]Dashboard!PivotTable1</c:name>
    <c:fmtId val="3"/>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Incidents by Priority</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FABE00"/>
          </a:solidFill>
          <a:ln>
            <a:noFill/>
          </a:ln>
          <a:effectLst/>
        </c:spPr>
      </c:pivotFmt>
      <c:pivotFmt>
        <c:idx val="3"/>
        <c:spPr>
          <a:solidFill>
            <a:srgbClr val="FFFF00"/>
          </a:solidFill>
          <a:ln>
            <a:noFill/>
          </a:ln>
          <a:effectLst/>
        </c:spPr>
      </c:pivotFmt>
      <c:pivotFmt>
        <c:idx val="4"/>
        <c:spPr>
          <a:solidFill>
            <a:schemeClr val="accent6"/>
          </a:solidFill>
          <a:ln>
            <a:noFill/>
          </a:ln>
          <a:effectLst/>
        </c:spPr>
      </c:pivotFmt>
    </c:pivotFmts>
    <c:plotArea>
      <c:layout/>
      <c:barChart>
        <c:barDir val="col"/>
        <c:grouping val="clustered"/>
        <c:varyColors val="0"/>
        <c:ser>
          <c:idx val="0"/>
          <c:order val="0"/>
          <c:tx>
            <c:strRef>
              <c:f>Dashboard!$C$6</c:f>
              <c:strCache>
                <c:ptCount val="1"/>
                <c:pt idx="0">
                  <c:v>Total</c:v>
                </c:pt>
              </c:strCache>
            </c:strRef>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3-FD83-42B2-8002-EABC8E78557A}"/>
              </c:ext>
            </c:extLst>
          </c:dPt>
          <c:dPt>
            <c:idx val="1"/>
            <c:invertIfNegative val="0"/>
            <c:bubble3D val="0"/>
            <c:spPr>
              <a:solidFill>
                <a:srgbClr val="FFFF00"/>
              </a:solidFill>
              <a:ln>
                <a:noFill/>
              </a:ln>
              <a:effectLst/>
            </c:spPr>
            <c:extLst>
              <c:ext xmlns:c16="http://schemas.microsoft.com/office/drawing/2014/chart" uri="{C3380CC4-5D6E-409C-BE32-E72D297353CC}">
                <c16:uniqueId val="{00000002-FD83-42B2-8002-EABC8E78557A}"/>
              </c:ext>
            </c:extLst>
          </c:dPt>
          <c:dPt>
            <c:idx val="2"/>
            <c:invertIfNegative val="0"/>
            <c:bubble3D val="0"/>
            <c:spPr>
              <a:solidFill>
                <a:srgbClr val="FABE00"/>
              </a:solidFill>
              <a:ln>
                <a:noFill/>
              </a:ln>
              <a:effectLst/>
            </c:spPr>
            <c:extLst>
              <c:ext xmlns:c16="http://schemas.microsoft.com/office/drawing/2014/chart" uri="{C3380CC4-5D6E-409C-BE32-E72D297353CC}">
                <c16:uniqueId val="{00000001-FD83-42B2-8002-EABC8E78557A}"/>
              </c:ext>
            </c:extLst>
          </c:dPt>
          <c:dPt>
            <c:idx val="3"/>
            <c:invertIfNegative val="0"/>
            <c:bubble3D val="0"/>
            <c:spPr>
              <a:solidFill>
                <a:srgbClr val="FF0000"/>
              </a:solidFill>
              <a:ln>
                <a:noFill/>
              </a:ln>
              <a:effectLst/>
            </c:spPr>
            <c:extLst>
              <c:ext xmlns:c16="http://schemas.microsoft.com/office/drawing/2014/chart" uri="{C3380CC4-5D6E-409C-BE32-E72D297353CC}">
                <c16:uniqueId val="{00000000-FD83-42B2-8002-EABC8E78557A}"/>
              </c:ext>
            </c:extLst>
          </c:dPt>
          <c:cat>
            <c:strRef>
              <c:f>Dashboard!$B$7:$B$11</c:f>
              <c:strCache>
                <c:ptCount val="4"/>
                <c:pt idx="0">
                  <c:v>Low</c:v>
                </c:pt>
                <c:pt idx="1">
                  <c:v>Medium</c:v>
                </c:pt>
                <c:pt idx="2">
                  <c:v>High</c:v>
                </c:pt>
                <c:pt idx="3">
                  <c:v>Critical</c:v>
                </c:pt>
              </c:strCache>
            </c:strRef>
          </c:cat>
          <c:val>
            <c:numRef>
              <c:f>Dashboard!$C$7:$C$11</c:f>
              <c:numCache>
                <c:formatCode>General</c:formatCode>
                <c:ptCount val="4"/>
                <c:pt idx="0">
                  <c:v>121</c:v>
                </c:pt>
                <c:pt idx="1">
                  <c:v>120</c:v>
                </c:pt>
                <c:pt idx="2">
                  <c:v>121</c:v>
                </c:pt>
                <c:pt idx="3">
                  <c:v>137</c:v>
                </c:pt>
              </c:numCache>
            </c:numRef>
          </c:val>
          <c:extLst>
            <c:ext xmlns:c16="http://schemas.microsoft.com/office/drawing/2014/chart" uri="{C3380CC4-5D6E-409C-BE32-E72D297353CC}">
              <c16:uniqueId val="{00000000-2228-4D7B-9B54-A1F7C29B3714}"/>
            </c:ext>
          </c:extLst>
        </c:ser>
        <c:dLbls>
          <c:showLegendKey val="0"/>
          <c:showVal val="0"/>
          <c:showCatName val="0"/>
          <c:showSerName val="0"/>
          <c:showPercent val="0"/>
          <c:showBubbleSize val="0"/>
        </c:dLbls>
        <c:gapWidth val="267"/>
        <c:overlap val="-43"/>
        <c:axId val="1182732895"/>
        <c:axId val="1182732415"/>
      </c:barChart>
      <c:catAx>
        <c:axId val="118273289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182732415"/>
        <c:crosses val="autoZero"/>
        <c:auto val="1"/>
        <c:lblAlgn val="ctr"/>
        <c:lblOffset val="100"/>
        <c:noMultiLvlLbl val="0"/>
      </c:catAx>
      <c:valAx>
        <c:axId val="118273241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182732895"/>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[Incident Operations Cost Analytics Dashboard.xlsx]Dashboard!PivotTable3</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Incidents by System</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Dashboard!$C$28</c:f>
              <c:strCache>
                <c:ptCount val="1"/>
                <c:pt idx="0">
                  <c:v>Total</c:v>
                </c:pt>
              </c:strCache>
            </c:strRef>
          </c:tx>
          <c:spPr>
            <a:solidFill>
              <a:schemeClr val="accent1"/>
            </a:solidFill>
            <a:ln>
              <a:noFill/>
            </a:ln>
            <a:effectLst/>
          </c:spPr>
          <c:invertIfNegative val="0"/>
          <c:cat>
            <c:strRef>
              <c:f>Dashboard!$B$29:$B$36</c:f>
              <c:strCache>
                <c:ptCount val="7"/>
                <c:pt idx="0">
                  <c:v>Billing System</c:v>
                </c:pt>
                <c:pt idx="1">
                  <c:v>Claims System</c:v>
                </c:pt>
                <c:pt idx="2">
                  <c:v>Customer Portal</c:v>
                </c:pt>
                <c:pt idx="3">
                  <c:v>Payment Processing</c:v>
                </c:pt>
                <c:pt idx="4">
                  <c:v>Policy Admin System</c:v>
                </c:pt>
                <c:pt idx="5">
                  <c:v>Regulatory System</c:v>
                </c:pt>
                <c:pt idx="6">
                  <c:v>Reporting System</c:v>
                </c:pt>
              </c:strCache>
            </c:strRef>
          </c:cat>
          <c:val>
            <c:numRef>
              <c:f>Dashboard!$C$29:$C$36</c:f>
              <c:numCache>
                <c:formatCode>General</c:formatCode>
                <c:ptCount val="7"/>
                <c:pt idx="0">
                  <c:v>67</c:v>
                </c:pt>
                <c:pt idx="1">
                  <c:v>60</c:v>
                </c:pt>
                <c:pt idx="2">
                  <c:v>67</c:v>
                </c:pt>
                <c:pt idx="3">
                  <c:v>73</c:v>
                </c:pt>
                <c:pt idx="4">
                  <c:v>73</c:v>
                </c:pt>
                <c:pt idx="5">
                  <c:v>89</c:v>
                </c:pt>
                <c:pt idx="6">
                  <c:v>70</c:v>
                </c:pt>
              </c:numCache>
            </c:numRef>
          </c:val>
          <c:extLst>
            <c:ext xmlns:c16="http://schemas.microsoft.com/office/drawing/2014/chart" uri="{C3380CC4-5D6E-409C-BE32-E72D297353CC}">
              <c16:uniqueId val="{00000000-FBE6-408E-B7E8-7B66B41976A6}"/>
            </c:ext>
          </c:extLst>
        </c:ser>
        <c:dLbls>
          <c:showLegendKey val="0"/>
          <c:showVal val="0"/>
          <c:showCatName val="0"/>
          <c:showSerName val="0"/>
          <c:showPercent val="0"/>
          <c:showBubbleSize val="0"/>
        </c:dLbls>
        <c:gapWidth val="267"/>
        <c:overlap val="-43"/>
        <c:axId val="548634735"/>
        <c:axId val="548636175"/>
      </c:barChart>
      <c:catAx>
        <c:axId val="54863473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548636175"/>
        <c:crosses val="autoZero"/>
        <c:auto val="1"/>
        <c:lblAlgn val="ctr"/>
        <c:lblOffset val="100"/>
        <c:noMultiLvlLbl val="0"/>
      </c:catAx>
      <c:valAx>
        <c:axId val="54863617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548634735"/>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[Incident Operations Cost Analytics Dashboard.xlsx]Dashboard!PivotTable4</c:name>
    <c:fmtId val="1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400" b="1"/>
              <a:t>Incident Trend Over Time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Dashboard!$C$54</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cat>
            <c:multiLvlStrRef>
              <c:f>Dashboard!$B$55:$B$75</c:f>
              <c:multiLvlStrCache>
                <c:ptCount val="1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lvl>
                <c:lvl>
                  <c:pt idx="0">
                    <c:v>2023</c:v>
                  </c:pt>
                  <c:pt idx="12">
                    <c:v>2024</c:v>
                  </c:pt>
                </c:lvl>
              </c:multiLvlStrCache>
            </c:multiLvlStrRef>
          </c:cat>
          <c:val>
            <c:numRef>
              <c:f>Dashboard!$C$55:$C$75</c:f>
              <c:numCache>
                <c:formatCode>General</c:formatCode>
                <c:ptCount val="18"/>
                <c:pt idx="0">
                  <c:v>27</c:v>
                </c:pt>
                <c:pt idx="1">
                  <c:v>20</c:v>
                </c:pt>
                <c:pt idx="2">
                  <c:v>32</c:v>
                </c:pt>
                <c:pt idx="3">
                  <c:v>42</c:v>
                </c:pt>
                <c:pt idx="4">
                  <c:v>21</c:v>
                </c:pt>
                <c:pt idx="5">
                  <c:v>23</c:v>
                </c:pt>
                <c:pt idx="6">
                  <c:v>17</c:v>
                </c:pt>
                <c:pt idx="7">
                  <c:v>30</c:v>
                </c:pt>
                <c:pt idx="8">
                  <c:v>39</c:v>
                </c:pt>
                <c:pt idx="9">
                  <c:v>20</c:v>
                </c:pt>
                <c:pt idx="10">
                  <c:v>26</c:v>
                </c:pt>
                <c:pt idx="11">
                  <c:v>21</c:v>
                </c:pt>
                <c:pt idx="12">
                  <c:v>27</c:v>
                </c:pt>
                <c:pt idx="13">
                  <c:v>34</c:v>
                </c:pt>
                <c:pt idx="14">
                  <c:v>27</c:v>
                </c:pt>
                <c:pt idx="15">
                  <c:v>30</c:v>
                </c:pt>
                <c:pt idx="16">
                  <c:v>35</c:v>
                </c:pt>
                <c:pt idx="17">
                  <c:v>28</c:v>
                </c:pt>
              </c:numCache>
            </c:numRef>
          </c:val>
          <c:smooth val="0"/>
          <c:extLst>
            <c:ext xmlns:c16="http://schemas.microsoft.com/office/drawing/2014/chart" uri="{C3380CC4-5D6E-409C-BE32-E72D297353CC}">
              <c16:uniqueId val="{00000000-B633-495A-9F76-86651B7C486D}"/>
            </c:ext>
          </c:extLst>
        </c:ser>
        <c:dLbls>
          <c:showLegendKey val="0"/>
          <c:showVal val="0"/>
          <c:showCatName val="0"/>
          <c:showSerName val="0"/>
          <c:showPercent val="0"/>
          <c:showBubbleSize val="0"/>
        </c:dLbls>
        <c:marker val="1"/>
        <c:smooth val="0"/>
        <c:axId val="700258351"/>
        <c:axId val="700257391"/>
      </c:lineChart>
      <c:catAx>
        <c:axId val="700258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00257391"/>
        <c:crosses val="autoZero"/>
        <c:auto val="1"/>
        <c:lblAlgn val="ctr"/>
        <c:lblOffset val="100"/>
        <c:noMultiLvlLbl val="0"/>
      </c:catAx>
      <c:valAx>
        <c:axId val="70025739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258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[Incident Operations Cost Analytics Dashboard.xlsx]Dashboard!PivotTable5</c:name>
    <c:fmtId val="1"/>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Incidents by Root Cause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Dashboard!$C$80</c:f>
              <c:strCache>
                <c:ptCount val="1"/>
                <c:pt idx="0">
                  <c:v>Total</c:v>
                </c:pt>
              </c:strCache>
            </c:strRef>
          </c:tx>
          <c:spPr>
            <a:solidFill>
              <a:schemeClr val="accent1"/>
            </a:solidFill>
            <a:ln>
              <a:noFill/>
            </a:ln>
            <a:effectLst/>
          </c:spPr>
          <c:invertIfNegative val="0"/>
          <c:cat>
            <c:strRef>
              <c:f>Dashboard!$B$81:$B$89</c:f>
              <c:strCache>
                <c:ptCount val="8"/>
                <c:pt idx="0">
                  <c:v>Configuration Issue</c:v>
                </c:pt>
                <c:pt idx="1">
                  <c:v>Data Error</c:v>
                </c:pt>
                <c:pt idx="2">
                  <c:v>Process Gap</c:v>
                </c:pt>
                <c:pt idx="3">
                  <c:v>System Bug</c:v>
                </c:pt>
                <c:pt idx="4">
                  <c:v>Integration Failure</c:v>
                </c:pt>
                <c:pt idx="5">
                  <c:v>Unknown</c:v>
                </c:pt>
                <c:pt idx="6">
                  <c:v>Network Failure</c:v>
                </c:pt>
                <c:pt idx="7">
                  <c:v>User Error</c:v>
                </c:pt>
              </c:strCache>
            </c:strRef>
          </c:cat>
          <c:val>
            <c:numRef>
              <c:f>Dashboard!$C$81:$C$89</c:f>
              <c:numCache>
                <c:formatCode>General</c:formatCode>
                <c:ptCount val="8"/>
                <c:pt idx="0">
                  <c:v>57</c:v>
                </c:pt>
                <c:pt idx="1">
                  <c:v>52</c:v>
                </c:pt>
                <c:pt idx="2">
                  <c:v>60</c:v>
                </c:pt>
                <c:pt idx="3">
                  <c:v>72</c:v>
                </c:pt>
                <c:pt idx="4">
                  <c:v>66</c:v>
                </c:pt>
                <c:pt idx="5">
                  <c:v>67</c:v>
                </c:pt>
                <c:pt idx="6">
                  <c:v>62</c:v>
                </c:pt>
                <c:pt idx="7">
                  <c:v>63</c:v>
                </c:pt>
              </c:numCache>
            </c:numRef>
          </c:val>
          <c:extLst>
            <c:ext xmlns:c16="http://schemas.microsoft.com/office/drawing/2014/chart" uri="{C3380CC4-5D6E-409C-BE32-E72D297353CC}">
              <c16:uniqueId val="{00000000-950F-47E2-82F8-15B973421964}"/>
            </c:ext>
          </c:extLst>
        </c:ser>
        <c:dLbls>
          <c:showLegendKey val="0"/>
          <c:showVal val="0"/>
          <c:showCatName val="0"/>
          <c:showSerName val="0"/>
          <c:showPercent val="0"/>
          <c:showBubbleSize val="0"/>
        </c:dLbls>
        <c:gapWidth val="267"/>
        <c:overlap val="-43"/>
        <c:axId val="796228687"/>
        <c:axId val="796229647"/>
      </c:barChart>
      <c:catAx>
        <c:axId val="79622868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796229647"/>
        <c:crosses val="autoZero"/>
        <c:auto val="1"/>
        <c:lblAlgn val="ctr"/>
        <c:lblOffset val="100"/>
        <c:noMultiLvlLbl val="0"/>
      </c:catAx>
      <c:valAx>
        <c:axId val="79622964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796228687"/>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[Incident Operations Cost Analytics Dashboard.xlsx]Dashboard!PivotTable2</c:name>
    <c:fmtId val="1"/>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Cost Impact by System</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Dashboard!$C$100</c:f>
              <c:strCache>
                <c:ptCount val="1"/>
                <c:pt idx="0">
                  <c:v>Total</c:v>
                </c:pt>
              </c:strCache>
            </c:strRef>
          </c:tx>
          <c:spPr>
            <a:solidFill>
              <a:schemeClr val="accent1"/>
            </a:solidFill>
            <a:ln>
              <a:noFill/>
            </a:ln>
            <a:effectLst/>
          </c:spPr>
          <c:invertIfNegative val="0"/>
          <c:cat>
            <c:strRef>
              <c:f>Dashboard!$B$101:$B$108</c:f>
              <c:strCache>
                <c:ptCount val="7"/>
                <c:pt idx="0">
                  <c:v>Billing System</c:v>
                </c:pt>
                <c:pt idx="1">
                  <c:v>Claims System</c:v>
                </c:pt>
                <c:pt idx="2">
                  <c:v>Customer Portal</c:v>
                </c:pt>
                <c:pt idx="3">
                  <c:v>Payment Processing</c:v>
                </c:pt>
                <c:pt idx="4">
                  <c:v>Policy Admin System</c:v>
                </c:pt>
                <c:pt idx="5">
                  <c:v>Regulatory System</c:v>
                </c:pt>
                <c:pt idx="6">
                  <c:v>Reporting System</c:v>
                </c:pt>
              </c:strCache>
            </c:strRef>
          </c:cat>
          <c:val>
            <c:numRef>
              <c:f>Dashboard!$C$101:$C$108</c:f>
              <c:numCache>
                <c:formatCode>"$"#,##0.00</c:formatCode>
                <c:ptCount val="7"/>
                <c:pt idx="0">
                  <c:v>109458.19999999998</c:v>
                </c:pt>
                <c:pt idx="1">
                  <c:v>124523.06</c:v>
                </c:pt>
                <c:pt idx="2">
                  <c:v>272014.57</c:v>
                </c:pt>
                <c:pt idx="3">
                  <c:v>161085.96999999997</c:v>
                </c:pt>
                <c:pt idx="4">
                  <c:v>165231.22999999995</c:v>
                </c:pt>
                <c:pt idx="5">
                  <c:v>138045.80999999997</c:v>
                </c:pt>
                <c:pt idx="6">
                  <c:v>196589.62</c:v>
                </c:pt>
              </c:numCache>
            </c:numRef>
          </c:val>
          <c:extLst>
            <c:ext xmlns:c16="http://schemas.microsoft.com/office/drawing/2014/chart" uri="{C3380CC4-5D6E-409C-BE32-E72D297353CC}">
              <c16:uniqueId val="{00000000-23A4-41E3-97B7-A9EC2C83AD03}"/>
            </c:ext>
          </c:extLst>
        </c:ser>
        <c:dLbls>
          <c:showLegendKey val="0"/>
          <c:showVal val="0"/>
          <c:showCatName val="0"/>
          <c:showSerName val="0"/>
          <c:showPercent val="0"/>
          <c:showBubbleSize val="0"/>
        </c:dLbls>
        <c:gapWidth val="267"/>
        <c:overlap val="-43"/>
        <c:axId val="1542126560"/>
        <c:axId val="1542117440"/>
      </c:barChart>
      <c:catAx>
        <c:axId val="154212656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542117440"/>
        <c:crosses val="autoZero"/>
        <c:auto val="1"/>
        <c:lblAlgn val="ctr"/>
        <c:lblOffset val="100"/>
        <c:noMultiLvlLbl val="0"/>
      </c:catAx>
      <c:valAx>
        <c:axId val="1542117440"/>
        <c:scaling>
          <c:orientation val="minMax"/>
        </c:scaling>
        <c:delete val="0"/>
        <c:axPos val="l"/>
        <c:majorGridlines>
          <c:spPr>
            <a:ln w="9525" cap="flat" cmpd="sng" algn="ctr">
              <a:solidFill>
                <a:schemeClr val="dk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542126560"/>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[Incident Operations Cost Analytics Dashboard.xlsx]Dashboard!PivotTable6</c:name>
    <c:fmtId val="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Estimated vs Actual Incident Cost Over Time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Dashboard!$C$120</c:f>
              <c:strCache>
                <c:ptCount val="1"/>
                <c:pt idx="0">
                  <c:v>Sum of Estimated Impact ($)</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multiLvlStrRef>
              <c:f>Dashboard!$B$121:$B$141</c:f>
              <c:multiLvlStrCache>
                <c:ptCount val="1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lvl>
                <c:lvl>
                  <c:pt idx="0">
                    <c:v>2023</c:v>
                  </c:pt>
                  <c:pt idx="12">
                    <c:v>2024</c:v>
                  </c:pt>
                </c:lvl>
              </c:multiLvlStrCache>
            </c:multiLvlStrRef>
          </c:cat>
          <c:val>
            <c:numRef>
              <c:f>Dashboard!$C$121:$C$141</c:f>
              <c:numCache>
                <c:formatCode>"$"#,##0.00</c:formatCode>
                <c:ptCount val="18"/>
                <c:pt idx="0">
                  <c:v>127142.68000000001</c:v>
                </c:pt>
                <c:pt idx="1">
                  <c:v>22518.92</c:v>
                </c:pt>
                <c:pt idx="2">
                  <c:v>121532.84</c:v>
                </c:pt>
                <c:pt idx="3">
                  <c:v>74193.450000000012</c:v>
                </c:pt>
                <c:pt idx="4">
                  <c:v>27629.94</c:v>
                </c:pt>
                <c:pt idx="5">
                  <c:v>52588.72</c:v>
                </c:pt>
                <c:pt idx="6">
                  <c:v>9695.5499999999993</c:v>
                </c:pt>
                <c:pt idx="7">
                  <c:v>59065.380000000012</c:v>
                </c:pt>
                <c:pt idx="8">
                  <c:v>50695.15</c:v>
                </c:pt>
                <c:pt idx="9">
                  <c:v>21614.26</c:v>
                </c:pt>
                <c:pt idx="10">
                  <c:v>52749.33</c:v>
                </c:pt>
                <c:pt idx="11">
                  <c:v>90886.75</c:v>
                </c:pt>
                <c:pt idx="12">
                  <c:v>32821.480000000003</c:v>
                </c:pt>
                <c:pt idx="13">
                  <c:v>35220.899999999994</c:v>
                </c:pt>
                <c:pt idx="14">
                  <c:v>127109.23000000001</c:v>
                </c:pt>
                <c:pt idx="15">
                  <c:v>72239.759999999995</c:v>
                </c:pt>
                <c:pt idx="16">
                  <c:v>103329.22</c:v>
                </c:pt>
                <c:pt idx="17">
                  <c:v>54327.14</c:v>
                </c:pt>
              </c:numCache>
            </c:numRef>
          </c:val>
          <c:smooth val="0"/>
          <c:extLst>
            <c:ext xmlns:c16="http://schemas.microsoft.com/office/drawing/2014/chart" uri="{C3380CC4-5D6E-409C-BE32-E72D297353CC}">
              <c16:uniqueId val="{00000000-AC0B-42E8-B6A6-2843AFCBDF8D}"/>
            </c:ext>
          </c:extLst>
        </c:ser>
        <c:ser>
          <c:idx val="1"/>
          <c:order val="1"/>
          <c:tx>
            <c:strRef>
              <c:f>Dashboard!$D$120</c:f>
              <c:strCache>
                <c:ptCount val="1"/>
                <c:pt idx="0">
                  <c:v>Sum of Actual Impact ($)</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multiLvlStrRef>
              <c:f>Dashboard!$B$121:$B$141</c:f>
              <c:multiLvlStrCache>
                <c:ptCount val="1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lvl>
                <c:lvl>
                  <c:pt idx="0">
                    <c:v>2023</c:v>
                  </c:pt>
                  <c:pt idx="12">
                    <c:v>2024</c:v>
                  </c:pt>
                </c:lvl>
              </c:multiLvlStrCache>
            </c:multiLvlStrRef>
          </c:cat>
          <c:val>
            <c:numRef>
              <c:f>Dashboard!$D$121:$D$141</c:f>
              <c:numCache>
                <c:formatCode>"$"#,##0.00</c:formatCode>
                <c:ptCount val="18"/>
                <c:pt idx="0">
                  <c:v>130449.49</c:v>
                </c:pt>
                <c:pt idx="1">
                  <c:v>25016.040000000005</c:v>
                </c:pt>
                <c:pt idx="2">
                  <c:v>127491.40000000001</c:v>
                </c:pt>
                <c:pt idx="3">
                  <c:v>73325.55</c:v>
                </c:pt>
                <c:pt idx="4">
                  <c:v>28960.840000000004</c:v>
                </c:pt>
                <c:pt idx="5">
                  <c:v>51626.680000000008</c:v>
                </c:pt>
                <c:pt idx="6">
                  <c:v>10637.62</c:v>
                </c:pt>
                <c:pt idx="7">
                  <c:v>62717.619999999988</c:v>
                </c:pt>
                <c:pt idx="8">
                  <c:v>52115.11</c:v>
                </c:pt>
                <c:pt idx="9">
                  <c:v>22213</c:v>
                </c:pt>
                <c:pt idx="10">
                  <c:v>53233.820000000007</c:v>
                </c:pt>
                <c:pt idx="11">
                  <c:v>90695.799999999988</c:v>
                </c:pt>
                <c:pt idx="12">
                  <c:v>35572.51</c:v>
                </c:pt>
                <c:pt idx="13">
                  <c:v>36694.800000000003</c:v>
                </c:pt>
                <c:pt idx="14">
                  <c:v>124359.03</c:v>
                </c:pt>
                <c:pt idx="15">
                  <c:v>78274.539999999994</c:v>
                </c:pt>
                <c:pt idx="16">
                  <c:v>109754.18</c:v>
                </c:pt>
                <c:pt idx="17">
                  <c:v>53810.429999999993</c:v>
                </c:pt>
              </c:numCache>
            </c:numRef>
          </c:val>
          <c:smooth val="0"/>
          <c:extLst>
            <c:ext xmlns:c16="http://schemas.microsoft.com/office/drawing/2014/chart" uri="{C3380CC4-5D6E-409C-BE32-E72D297353CC}">
              <c16:uniqueId val="{00000002-AC0B-42E8-B6A6-2843AFCBDF8D}"/>
            </c:ext>
          </c:extLst>
        </c:ser>
        <c:dLbls>
          <c:showLegendKey val="0"/>
          <c:showVal val="0"/>
          <c:showCatName val="0"/>
          <c:showSerName val="0"/>
          <c:showPercent val="0"/>
          <c:showBubbleSize val="0"/>
        </c:dLbls>
        <c:marker val="1"/>
        <c:smooth val="0"/>
        <c:axId val="1542197600"/>
        <c:axId val="1542183680"/>
      </c:lineChart>
      <c:catAx>
        <c:axId val="1542197600"/>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542183680"/>
        <c:crosses val="autoZero"/>
        <c:auto val="1"/>
        <c:lblAlgn val="ctr"/>
        <c:lblOffset val="100"/>
        <c:noMultiLvlLbl val="0"/>
      </c:catAx>
      <c:valAx>
        <c:axId val="1542183680"/>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542197600"/>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[Incident Operations Cost Analytics Dashboard.xlsx]Dashboard!PivotTable10</c:name>
    <c:fmtId val="18"/>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Incident Cost Variance Over Time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21646054585036"/>
          <c:y val="0.26732256160425205"/>
          <c:w val="0.75092513318665188"/>
          <c:h val="0.62864865843058915"/>
        </c:manualLayout>
      </c:layout>
      <c:barChart>
        <c:barDir val="col"/>
        <c:grouping val="clustered"/>
        <c:varyColors val="0"/>
        <c:ser>
          <c:idx val="0"/>
          <c:order val="0"/>
          <c:tx>
            <c:strRef>
              <c:f>Dashboard!$C$145</c:f>
              <c:strCache>
                <c:ptCount val="1"/>
                <c:pt idx="0">
                  <c:v>Total</c:v>
                </c:pt>
              </c:strCache>
            </c:strRef>
          </c:tx>
          <c:spPr>
            <a:solidFill>
              <a:srgbClr val="FF0000"/>
            </a:solidFill>
            <a:ln>
              <a:noFill/>
            </a:ln>
            <a:effectLst/>
          </c:spPr>
          <c:invertIfNegative val="1"/>
          <c:cat>
            <c:multiLvlStrRef>
              <c:f>Dashboard!$B$146:$B$154</c:f>
              <c:multiLvlStrCache>
                <c:ptCount val="7"/>
                <c:lvl>
                  <c:pt idx="1">
                    <c:v>Jan</c:v>
                  </c:pt>
                  <c:pt idx="2">
                    <c:v>Feb</c:v>
                  </c:pt>
                  <c:pt idx="3">
                    <c:v>Mar</c:v>
                  </c:pt>
                  <c:pt idx="4">
                    <c:v>Apr</c:v>
                  </c:pt>
                  <c:pt idx="5">
                    <c:v>May</c:v>
                  </c:pt>
                  <c:pt idx="6">
                    <c:v>Jun</c:v>
                  </c:pt>
                </c:lvl>
                <c:lvl>
                  <c:pt idx="0">
                    <c:v>2023</c:v>
                  </c:pt>
                  <c:pt idx="1">
                    <c:v>2024</c:v>
                  </c:pt>
                </c:lvl>
              </c:multiLvlStrCache>
            </c:multiLvlStrRef>
          </c:cat>
          <c:val>
            <c:numRef>
              <c:f>Dashboard!$C$146:$C$154</c:f>
              <c:numCache>
                <c:formatCode>"$"#,##0.00</c:formatCode>
                <c:ptCount val="7"/>
                <c:pt idx="0">
                  <c:v>18169.999999999651</c:v>
                </c:pt>
                <c:pt idx="1">
                  <c:v>2751.0299999999988</c:v>
                </c:pt>
                <c:pt idx="2">
                  <c:v>1473.9000000000087</c:v>
                </c:pt>
                <c:pt idx="3">
                  <c:v>-2750.2000000000116</c:v>
                </c:pt>
                <c:pt idx="4">
                  <c:v>6034.7799999999988</c:v>
                </c:pt>
                <c:pt idx="5">
                  <c:v>6424.9599999999919</c:v>
                </c:pt>
                <c:pt idx="6">
                  <c:v>-516.7100000000064</c:v>
                </c:pt>
              </c:numCache>
            </c:numRef>
          </c:val>
          <c:extLst>
            <c:ext xmlns:c14="http://schemas.microsoft.com/office/drawing/2007/8/2/chart" uri="{6F2FDCE9-48DA-4B69-8628-5D25D57E5C99}">
              <c14:invertSolidFillFmt>
                <c14:spPr xmlns:c14="http://schemas.microsoft.com/office/drawing/2007/8/2/chart">
                  <a:solidFill>
                    <a:srgbClr val="4EA72E"/>
                  </a:solidFill>
                  <a:ln>
                    <a:noFill/>
                  </a:ln>
                  <a:effectLst/>
                </c14:spPr>
              </c14:invertSolidFillFmt>
            </c:ext>
            <c:ext xmlns:c16="http://schemas.microsoft.com/office/drawing/2014/chart" uri="{C3380CC4-5D6E-409C-BE32-E72D297353CC}">
              <c16:uniqueId val="{00000000-19D1-4D98-9D0C-97FB08EE2AFD}"/>
            </c:ext>
          </c:extLst>
        </c:ser>
        <c:dLbls>
          <c:showLegendKey val="0"/>
          <c:showVal val="0"/>
          <c:showCatName val="0"/>
          <c:showSerName val="0"/>
          <c:showPercent val="0"/>
          <c:showBubbleSize val="0"/>
        </c:dLbls>
        <c:gapWidth val="267"/>
        <c:overlap val="-43"/>
        <c:axId val="1628416288"/>
        <c:axId val="463772112"/>
      </c:barChart>
      <c:catAx>
        <c:axId val="162841628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463772112"/>
        <c:crosses val="autoZero"/>
        <c:auto val="1"/>
        <c:lblAlgn val="ctr"/>
        <c:lblOffset val="100"/>
        <c:noMultiLvlLbl val="0"/>
      </c:catAx>
      <c:valAx>
        <c:axId val="463772112"/>
        <c:scaling>
          <c:orientation val="minMax"/>
        </c:scaling>
        <c:delete val="0"/>
        <c:axPos val="l"/>
        <c:majorGridlines>
          <c:spPr>
            <a:ln w="9525" cap="flat" cmpd="sng" algn="ctr">
              <a:solidFill>
                <a:schemeClr val="dk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628416288"/>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7.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590551</xdr:colOff>
      <xdr:row>4</xdr:row>
      <xdr:rowOff>166687</xdr:rowOff>
    </xdr:from>
    <xdr:to>
      <xdr:col>9</xdr:col>
      <xdr:colOff>733426</xdr:colOff>
      <xdr:row>17</xdr:row>
      <xdr:rowOff>180975</xdr:rowOff>
    </xdr:to>
    <xdr:graphicFrame macro="">
      <xdr:nvGraphicFramePr>
        <xdr:cNvPr id="2" name="Chart 1">
          <a:extLst>
            <a:ext uri="{FF2B5EF4-FFF2-40B4-BE49-F238E27FC236}">
              <a16:creationId xmlns:a16="http://schemas.microsoft.com/office/drawing/2014/main" id="{EE86503B-523E-6407-7FA6-B88FD24A01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633412</xdr:colOff>
      <xdr:row>27</xdr:row>
      <xdr:rowOff>4762</xdr:rowOff>
    </xdr:from>
    <xdr:to>
      <xdr:col>9</xdr:col>
      <xdr:colOff>800100</xdr:colOff>
      <xdr:row>41</xdr:row>
      <xdr:rowOff>9525</xdr:rowOff>
    </xdr:to>
    <xdr:graphicFrame macro="">
      <xdr:nvGraphicFramePr>
        <xdr:cNvPr id="3" name="Chart 2">
          <a:extLst>
            <a:ext uri="{FF2B5EF4-FFF2-40B4-BE49-F238E27FC236}">
              <a16:creationId xmlns:a16="http://schemas.microsoft.com/office/drawing/2014/main" id="{C2796326-E091-FCF6-39A9-6F1E4D29D0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600075</xdr:colOff>
      <xdr:row>53</xdr:row>
      <xdr:rowOff>4762</xdr:rowOff>
    </xdr:from>
    <xdr:to>
      <xdr:col>8</xdr:col>
      <xdr:colOff>476250</xdr:colOff>
      <xdr:row>68</xdr:row>
      <xdr:rowOff>38100</xdr:rowOff>
    </xdr:to>
    <xdr:graphicFrame macro="">
      <xdr:nvGraphicFramePr>
        <xdr:cNvPr id="4" name="Chart 3">
          <a:extLst>
            <a:ext uri="{FF2B5EF4-FFF2-40B4-BE49-F238E27FC236}">
              <a16:creationId xmlns:a16="http://schemas.microsoft.com/office/drawing/2014/main" id="{EF085855-8202-AF92-3CBA-E1566D6480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1600201</xdr:colOff>
      <xdr:row>15</xdr:row>
      <xdr:rowOff>9524</xdr:rowOff>
    </xdr:from>
    <xdr:to>
      <xdr:col>11</xdr:col>
      <xdr:colOff>495301</xdr:colOff>
      <xdr:row>27</xdr:row>
      <xdr:rowOff>142875</xdr:rowOff>
    </xdr:to>
    <mc:AlternateContent xmlns:mc="http://schemas.openxmlformats.org/markup-compatibility/2006">
      <mc:Choice xmlns:a14="http://schemas.microsoft.com/office/drawing/2010/main" Requires="a14">
        <xdr:graphicFrame macro="">
          <xdr:nvGraphicFramePr>
            <xdr:cNvPr id="5" name="System">
              <a:extLst>
                <a:ext uri="{FF2B5EF4-FFF2-40B4-BE49-F238E27FC236}">
                  <a16:creationId xmlns:a16="http://schemas.microsoft.com/office/drawing/2014/main" id="{7B6DF081-0DBE-576B-919C-D88C44C4A821}"/>
                </a:ext>
              </a:extLst>
            </xdr:cNvPr>
            <xdr:cNvGraphicFramePr/>
          </xdr:nvGraphicFramePr>
          <xdr:xfrm>
            <a:off x="0" y="0"/>
            <a:ext cx="0" cy="0"/>
          </xdr:xfrm>
          <a:graphic>
            <a:graphicData uri="http://schemas.microsoft.com/office/drawing/2010/slicer">
              <sle:slicer xmlns:sle="http://schemas.microsoft.com/office/drawing/2010/slicer" name="System"/>
            </a:graphicData>
          </a:graphic>
        </xdr:graphicFrame>
      </mc:Choice>
      <mc:Fallback>
        <xdr:sp macro="" textlink="">
          <xdr:nvSpPr>
            <xdr:cNvPr id="0" name=""/>
            <xdr:cNvSpPr>
              <a:spLocks noTextEdit="1"/>
            </xdr:cNvSpPr>
          </xdr:nvSpPr>
          <xdr:spPr>
            <a:xfrm>
              <a:off x="12601576" y="3152774"/>
              <a:ext cx="1828800" cy="24193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1571625</xdr:colOff>
      <xdr:row>5</xdr:row>
      <xdr:rowOff>19050</xdr:rowOff>
    </xdr:from>
    <xdr:to>
      <xdr:col>11</xdr:col>
      <xdr:colOff>466725</xdr:colOff>
      <xdr:row>13</xdr:row>
      <xdr:rowOff>28575</xdr:rowOff>
    </xdr:to>
    <mc:AlternateContent xmlns:mc="http://schemas.openxmlformats.org/markup-compatibility/2006">
      <mc:Choice xmlns:a14="http://schemas.microsoft.com/office/drawing/2010/main" Requires="a14">
        <xdr:graphicFrame macro="">
          <xdr:nvGraphicFramePr>
            <xdr:cNvPr id="6" name="Priority">
              <a:extLst>
                <a:ext uri="{FF2B5EF4-FFF2-40B4-BE49-F238E27FC236}">
                  <a16:creationId xmlns:a16="http://schemas.microsoft.com/office/drawing/2014/main" id="{587237BA-9B3B-D6D6-8948-FD8C5F2978F8}"/>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dr:sp macro="" textlink="">
          <xdr:nvSpPr>
            <xdr:cNvPr id="0" name=""/>
            <xdr:cNvSpPr>
              <a:spLocks noTextEdit="1"/>
            </xdr:cNvSpPr>
          </xdr:nvSpPr>
          <xdr:spPr>
            <a:xfrm>
              <a:off x="12573000" y="1257300"/>
              <a:ext cx="1828800" cy="1533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1609725</xdr:colOff>
      <xdr:row>29</xdr:row>
      <xdr:rowOff>38100</xdr:rowOff>
    </xdr:from>
    <xdr:to>
      <xdr:col>11</xdr:col>
      <xdr:colOff>504825</xdr:colOff>
      <xdr:row>39</xdr:row>
      <xdr:rowOff>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9E4F63BA-AEEA-218C-6CF0-1E98167B3DC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611100" y="5848350"/>
              <a:ext cx="1828800" cy="1866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1647825</xdr:colOff>
      <xdr:row>54</xdr:row>
      <xdr:rowOff>95250</xdr:rowOff>
    </xdr:from>
    <xdr:to>
      <xdr:col>11</xdr:col>
      <xdr:colOff>542925</xdr:colOff>
      <xdr:row>64</xdr:row>
      <xdr:rowOff>66675</xdr:rowOff>
    </xdr:to>
    <mc:AlternateContent xmlns:mc="http://schemas.openxmlformats.org/markup-compatibility/2006">
      <mc:Choice xmlns:a14="http://schemas.microsoft.com/office/drawing/2010/main" Requires="a14">
        <xdr:graphicFrame macro="">
          <xdr:nvGraphicFramePr>
            <xdr:cNvPr id="8" name="Status">
              <a:extLst>
                <a:ext uri="{FF2B5EF4-FFF2-40B4-BE49-F238E27FC236}">
                  <a16:creationId xmlns:a16="http://schemas.microsoft.com/office/drawing/2014/main" id="{323850BB-5F9F-2EEC-E127-62C4425BB63E}"/>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2649200" y="10668000"/>
              <a:ext cx="1828800" cy="1876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1619250</xdr:colOff>
      <xdr:row>40</xdr:row>
      <xdr:rowOff>133350</xdr:rowOff>
    </xdr:from>
    <xdr:to>
      <xdr:col>11</xdr:col>
      <xdr:colOff>514350</xdr:colOff>
      <xdr:row>52</xdr:row>
      <xdr:rowOff>9525</xdr:rowOff>
    </xdr:to>
    <mc:AlternateContent xmlns:mc="http://schemas.openxmlformats.org/markup-compatibility/2006">
      <mc:Choice xmlns:a14="http://schemas.microsoft.com/office/drawing/2010/main" Requires="a14">
        <xdr:graphicFrame macro="">
          <xdr:nvGraphicFramePr>
            <xdr:cNvPr id="9" name="Assigned Analyst">
              <a:extLst>
                <a:ext uri="{FF2B5EF4-FFF2-40B4-BE49-F238E27FC236}">
                  <a16:creationId xmlns:a16="http://schemas.microsoft.com/office/drawing/2014/main" id="{4F6BCC6B-4A95-4F41-7A4A-074A273DAA13}"/>
                </a:ext>
              </a:extLst>
            </xdr:cNvPr>
            <xdr:cNvGraphicFramePr/>
          </xdr:nvGraphicFramePr>
          <xdr:xfrm>
            <a:off x="0" y="0"/>
            <a:ext cx="0" cy="0"/>
          </xdr:xfrm>
          <a:graphic>
            <a:graphicData uri="http://schemas.microsoft.com/office/drawing/2010/slicer">
              <sle:slicer xmlns:sle="http://schemas.microsoft.com/office/drawing/2010/slicer" name="Assigned Analyst"/>
            </a:graphicData>
          </a:graphic>
        </xdr:graphicFrame>
      </mc:Choice>
      <mc:Fallback>
        <xdr:sp macro="" textlink="">
          <xdr:nvSpPr>
            <xdr:cNvPr id="0" name=""/>
            <xdr:cNvSpPr>
              <a:spLocks noTextEdit="1"/>
            </xdr:cNvSpPr>
          </xdr:nvSpPr>
          <xdr:spPr>
            <a:xfrm>
              <a:off x="12620625" y="8039100"/>
              <a:ext cx="1828800" cy="2162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600075</xdr:colOff>
      <xdr:row>79</xdr:row>
      <xdr:rowOff>14287</xdr:rowOff>
    </xdr:from>
    <xdr:to>
      <xdr:col>8</xdr:col>
      <xdr:colOff>476250</xdr:colOff>
      <xdr:row>93</xdr:row>
      <xdr:rowOff>104775</xdr:rowOff>
    </xdr:to>
    <xdr:graphicFrame macro="">
      <xdr:nvGraphicFramePr>
        <xdr:cNvPr id="10" name="Chart 9">
          <a:extLst>
            <a:ext uri="{FF2B5EF4-FFF2-40B4-BE49-F238E27FC236}">
              <a16:creationId xmlns:a16="http://schemas.microsoft.com/office/drawing/2014/main" id="{E966E42D-B4F7-40A7-2DD0-B3D98FD786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609599</xdr:colOff>
      <xdr:row>98</xdr:row>
      <xdr:rowOff>166687</xdr:rowOff>
    </xdr:from>
    <xdr:to>
      <xdr:col>8</xdr:col>
      <xdr:colOff>476249</xdr:colOff>
      <xdr:row>113</xdr:row>
      <xdr:rowOff>47625</xdr:rowOff>
    </xdr:to>
    <xdr:graphicFrame macro="">
      <xdr:nvGraphicFramePr>
        <xdr:cNvPr id="11" name="Chart 10">
          <a:extLst>
            <a:ext uri="{FF2B5EF4-FFF2-40B4-BE49-F238E27FC236}">
              <a16:creationId xmlns:a16="http://schemas.microsoft.com/office/drawing/2014/main" id="{7BC90906-CB59-AE43-A259-09C514636C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904875</xdr:colOff>
      <xdr:row>120</xdr:row>
      <xdr:rowOff>80961</xdr:rowOff>
    </xdr:from>
    <xdr:to>
      <xdr:col>11</xdr:col>
      <xdr:colOff>533400</xdr:colOff>
      <xdr:row>138</xdr:row>
      <xdr:rowOff>47625</xdr:rowOff>
    </xdr:to>
    <xdr:graphicFrame macro="">
      <xdr:nvGraphicFramePr>
        <xdr:cNvPr id="12" name="Chart 11">
          <a:extLst>
            <a:ext uri="{FF2B5EF4-FFF2-40B4-BE49-F238E27FC236}">
              <a16:creationId xmlns:a16="http://schemas.microsoft.com/office/drawing/2014/main" id="{EB8F393D-5084-2B4D-440B-9ACDDC960C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895349</xdr:colOff>
      <xdr:row>140</xdr:row>
      <xdr:rowOff>52386</xdr:rowOff>
    </xdr:from>
    <xdr:to>
      <xdr:col>11</xdr:col>
      <xdr:colOff>552450</xdr:colOff>
      <xdr:row>160</xdr:row>
      <xdr:rowOff>0</xdr:rowOff>
    </xdr:to>
    <xdr:graphicFrame macro="">
      <xdr:nvGraphicFramePr>
        <xdr:cNvPr id="13" name="Chart 12">
          <a:extLst>
            <a:ext uri="{FF2B5EF4-FFF2-40B4-BE49-F238E27FC236}">
              <a16:creationId xmlns:a16="http://schemas.microsoft.com/office/drawing/2014/main" id="{AE14AAE4-DCDC-AF68-79DB-134D3D9845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2</xdr:col>
      <xdr:colOff>933450</xdr:colOff>
      <xdr:row>144</xdr:row>
      <xdr:rowOff>152400</xdr:rowOff>
    </xdr:from>
    <xdr:ext cx="184731" cy="264560"/>
    <xdr:sp macro="" textlink="">
      <xdr:nvSpPr>
        <xdr:cNvPr id="14" name="TextBox 13">
          <a:extLst>
            <a:ext uri="{FF2B5EF4-FFF2-40B4-BE49-F238E27FC236}">
              <a16:creationId xmlns:a16="http://schemas.microsoft.com/office/drawing/2014/main" id="{7D044815-E44E-47F5-2AEC-A280616D5C20}"/>
            </a:ext>
          </a:extLst>
        </xdr:cNvPr>
        <xdr:cNvSpPr txBox="1"/>
      </xdr:nvSpPr>
      <xdr:spPr>
        <a:xfrm>
          <a:off x="2438400" y="27870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10</xdr:col>
      <xdr:colOff>381000</xdr:colOff>
      <xdr:row>151</xdr:row>
      <xdr:rowOff>95251</xdr:rowOff>
    </xdr:from>
    <xdr:to>
      <xdr:col>10</xdr:col>
      <xdr:colOff>466725</xdr:colOff>
      <xdr:row>152</xdr:row>
      <xdr:rowOff>1</xdr:rowOff>
    </xdr:to>
    <xdr:sp macro="" textlink="">
      <xdr:nvSpPr>
        <xdr:cNvPr id="15" name="Rectangle 14">
          <a:extLst>
            <a:ext uri="{FF2B5EF4-FFF2-40B4-BE49-F238E27FC236}">
              <a16:creationId xmlns:a16="http://schemas.microsoft.com/office/drawing/2014/main" id="{2ADD0459-8591-8189-ED6D-F7FC25867835}"/>
            </a:ext>
          </a:extLst>
        </xdr:cNvPr>
        <xdr:cNvSpPr/>
      </xdr:nvSpPr>
      <xdr:spPr>
        <a:xfrm>
          <a:off x="13706475" y="29146501"/>
          <a:ext cx="85725" cy="95250"/>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10</xdr:col>
      <xdr:colOff>381000</xdr:colOff>
      <xdr:row>152</xdr:row>
      <xdr:rowOff>95251</xdr:rowOff>
    </xdr:from>
    <xdr:to>
      <xdr:col>10</xdr:col>
      <xdr:colOff>466725</xdr:colOff>
      <xdr:row>153</xdr:row>
      <xdr:rowOff>1</xdr:rowOff>
    </xdr:to>
    <xdr:sp macro="" textlink="">
      <xdr:nvSpPr>
        <xdr:cNvPr id="16" name="Rectangle 15">
          <a:extLst>
            <a:ext uri="{FF2B5EF4-FFF2-40B4-BE49-F238E27FC236}">
              <a16:creationId xmlns:a16="http://schemas.microsoft.com/office/drawing/2014/main" id="{852AD752-7667-408E-8427-A82B8457727A}"/>
            </a:ext>
          </a:extLst>
        </xdr:cNvPr>
        <xdr:cNvSpPr/>
      </xdr:nvSpPr>
      <xdr:spPr>
        <a:xfrm>
          <a:off x="13706475" y="29337001"/>
          <a:ext cx="85725" cy="9525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10</xdr:col>
      <xdr:colOff>419100</xdr:colOff>
      <xdr:row>151</xdr:row>
      <xdr:rowOff>28575</xdr:rowOff>
    </xdr:from>
    <xdr:ext cx="684546" cy="217560"/>
    <xdr:sp macro="" textlink="">
      <xdr:nvSpPr>
        <xdr:cNvPr id="17" name="TextBox 16">
          <a:extLst>
            <a:ext uri="{FF2B5EF4-FFF2-40B4-BE49-F238E27FC236}">
              <a16:creationId xmlns:a16="http://schemas.microsoft.com/office/drawing/2014/main" id="{726C43D8-3FE4-4A5C-5625-BA123FF9BCC2}"/>
            </a:ext>
          </a:extLst>
        </xdr:cNvPr>
        <xdr:cNvSpPr txBox="1"/>
      </xdr:nvSpPr>
      <xdr:spPr>
        <a:xfrm>
          <a:off x="13744575" y="29079825"/>
          <a:ext cx="684546"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800">
              <a:solidFill>
                <a:sysClr val="windowText" lastClr="000000"/>
              </a:solidFill>
            </a:rPr>
            <a:t>Over Budget</a:t>
          </a:r>
        </a:p>
      </xdr:txBody>
    </xdr:sp>
    <xdr:clientData/>
  </xdr:oneCellAnchor>
</xdr:wsDr>
</file>

<file path=xl/drawings/drawing2.xml><?xml version="1.0" encoding="utf-8"?>
<c:userShapes xmlns:c="http://schemas.openxmlformats.org/drawingml/2006/chart">
  <cdr:relSizeAnchor xmlns:cdr="http://schemas.openxmlformats.org/drawingml/2006/chartDrawing">
    <cdr:from>
      <cdr:x>0.89225</cdr:x>
      <cdr:y>0.60161</cdr:y>
    </cdr:from>
    <cdr:to>
      <cdr:x>1</cdr:x>
      <cdr:y>0.6595</cdr:y>
    </cdr:to>
    <cdr:sp macro="" textlink="">
      <cdr:nvSpPr>
        <cdr:cNvPr id="3" name="TextBox 16">
          <a:extLst xmlns:a="http://schemas.openxmlformats.org/drawingml/2006/main">
            <a:ext uri="{FF2B5EF4-FFF2-40B4-BE49-F238E27FC236}">
              <a16:creationId xmlns:a16="http://schemas.microsoft.com/office/drawing/2014/main" id="{726C43D8-3FE4-4A5C-5625-BA123FF9BCC2}"/>
            </a:ext>
          </a:extLst>
        </cdr:cNvPr>
        <cdr:cNvSpPr txBox="1"/>
      </cdr:nvSpPr>
      <cdr:spPr>
        <a:xfrm xmlns:a="http://schemas.openxmlformats.org/drawingml/2006/main">
          <a:off x="6144578" y="2260600"/>
          <a:ext cx="741998" cy="21756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800">
              <a:solidFill>
                <a:sysClr val="windowText" lastClr="000000"/>
              </a:solidFill>
            </a:rPr>
            <a:t>Under Budget</a:t>
          </a: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ctoria Twumasi-Ankrah" refreshedDate="46078.998196759261" createdVersion="8" refreshedVersion="8" minRefreshableVersion="3" recordCount="499" xr:uid="{CAEDC8E0-89D9-4526-ADE4-61C11B53C3BC}">
  <cacheSource type="worksheet">
    <worksheetSource name="IncidentTable"/>
  </cacheSource>
  <cacheFields count="22">
    <cacheField name="Ticket ID" numFmtId="0">
      <sharedItems/>
    </cacheField>
    <cacheField name="System" numFmtId="0">
      <sharedItems count="7">
        <s v="Regulatory System"/>
        <s v="Policy Admin System"/>
        <s v="Reporting System"/>
        <s v="Payment Processing"/>
        <s v="Customer Portal"/>
        <s v="Billing System"/>
        <s v="Claims System"/>
      </sharedItems>
    </cacheField>
    <cacheField name="Issue Type" numFmtId="0">
      <sharedItems/>
    </cacheField>
    <cacheField name="Priority" numFmtId="0">
      <sharedItems count="4">
        <s v="Medium"/>
        <s v="Critical"/>
        <s v="High"/>
        <s v="Low"/>
      </sharedItems>
    </cacheField>
    <cacheField name="Severity" numFmtId="0">
      <sharedItems/>
    </cacheField>
    <cacheField name="Region" numFmtId="0">
      <sharedItems count="5">
        <s v="Midwest"/>
        <s v="East"/>
        <s v="West"/>
        <s v="Southeast"/>
        <s v="Central"/>
      </sharedItems>
    </cacheField>
    <cacheField name="Department" numFmtId="0">
      <sharedItems/>
    </cacheField>
    <cacheField name="Created Date" numFmtId="14">
      <sharedItems containsSemiMixedTypes="0" containsNonDate="0" containsDate="1" containsString="0" minDate="2023-01-01T00:00:00" maxDate="2024-06-30T00:00:00" count="546">
        <d v="2024-05-08T00:00:00"/>
        <d v="2023-11-04T00:00:00"/>
        <d v="2023-05-15T00:00:00"/>
        <d v="2024-01-16T00:00:00"/>
        <d v="2024-03-01T00:00:00"/>
        <d v="2023-12-01T00:00:00"/>
        <d v="2024-02-08T00:00:00"/>
        <d v="2023-02-11T00:00:00"/>
        <d v="2024-04-04T00:00:00"/>
        <d v="2024-01-15T00:00:00"/>
        <d v="2024-01-23T00:00:00"/>
        <d v="2023-09-13T00:00:00"/>
        <d v="2023-09-19T00:00:00"/>
        <d v="2024-03-30T00:00:00"/>
        <d v="2024-03-25T00:00:00"/>
        <d v="2023-01-05T00:00:00"/>
        <d v="2023-01-30T00:00:00"/>
        <d v="2023-08-08T00:00:00"/>
        <d v="2024-04-02T00:00:00"/>
        <d v="2023-02-06T00:00:00"/>
        <d v="2023-03-15T00:00:00"/>
        <d v="2023-04-09T00:00:00"/>
        <d v="2023-08-22T00:00:00"/>
        <d v="2023-04-16T00:00:00"/>
        <d v="2023-02-09T00:00:00"/>
        <d v="2023-04-04T00:00:00"/>
        <d v="2024-04-06T00:00:00"/>
        <d v="2023-04-13T00:00:00"/>
        <d v="2023-11-29T00:00:00"/>
        <d v="2023-09-07T00:00:00"/>
        <d v="2023-06-05T00:00:00"/>
        <d v="2023-01-10T00:00:00"/>
        <d v="2024-02-23T00:00:00"/>
        <d v="2023-11-15T00:00:00"/>
        <d v="2023-06-13T00:00:00"/>
        <d v="2024-06-05T00:00:00"/>
        <d v="2024-05-28T00:00:00"/>
        <d v="2023-04-01T00:00:00"/>
        <d v="2023-05-05T00:00:00"/>
        <d v="2023-03-20T00:00:00"/>
        <d v="2024-02-16T00:00:00"/>
        <d v="2023-01-04T00:00:00"/>
        <d v="2023-04-28T00:00:00"/>
        <d v="2023-05-28T00:00:00"/>
        <d v="2023-04-12T00:00:00"/>
        <d v="2024-06-21T00:00:00"/>
        <d v="2024-04-09T00:00:00"/>
        <d v="2023-08-20T00:00:00"/>
        <d v="2023-07-23T00:00:00"/>
        <d v="2023-01-27T00:00:00"/>
        <d v="2023-05-22T00:00:00"/>
        <d v="2023-04-11T00:00:00"/>
        <d v="2023-07-01T00:00:00"/>
        <d v="2024-04-25T00:00:00"/>
        <d v="2024-03-03T00:00:00"/>
        <d v="2024-02-24T00:00:00"/>
        <d v="2024-05-02T00:00:00"/>
        <d v="2023-03-22T00:00:00"/>
        <d v="2024-01-09T00:00:00"/>
        <d v="2023-10-16T00:00:00"/>
        <d v="2024-05-16T00:00:00"/>
        <d v="2023-07-20T00:00:00"/>
        <d v="2023-07-21T00:00:00"/>
        <d v="2024-02-27T00:00:00"/>
        <d v="2023-01-23T00:00:00"/>
        <d v="2023-09-14T00:00:00"/>
        <d v="2023-03-07T00:00:00"/>
        <d v="2024-06-08T00:00:00"/>
        <d v="2023-05-07T00:00:00"/>
        <d v="2023-11-16T00:00:00"/>
        <d v="2023-12-29T00:00:00"/>
        <d v="2023-12-22T00:00:00"/>
        <d v="2024-02-12T00:00:00"/>
        <d v="2023-10-04T00:00:00"/>
        <d v="2024-04-11T00:00:00"/>
        <d v="2023-08-31T00:00:00"/>
        <d v="2024-01-17T00:00:00"/>
        <d v="2023-10-27T00:00:00"/>
        <d v="2023-08-14T00:00:00"/>
        <d v="2023-08-15T00:00:00"/>
        <d v="2023-04-02T00:00:00"/>
        <d v="2023-04-23T00:00:00"/>
        <d v="2023-07-17T00:00:00"/>
        <d v="2023-03-26T00:00:00"/>
        <d v="2023-01-08T00:00:00"/>
        <d v="2024-02-13T00:00:00"/>
        <d v="2023-10-21T00:00:00"/>
        <d v="2023-05-23T00:00:00"/>
        <d v="2024-01-14T00:00:00"/>
        <d v="2023-03-12T00:00:00"/>
        <d v="2023-01-03T00:00:00"/>
        <d v="2024-04-08T00:00:00"/>
        <d v="2024-06-11T00:00:00"/>
        <d v="2024-03-17T00:00:00"/>
        <d v="2024-05-19T00:00:00"/>
        <d v="2023-09-22T00:00:00"/>
        <d v="2024-05-30T00:00:00"/>
        <d v="2023-02-18T00:00:00"/>
        <d v="2024-03-13T00:00:00"/>
        <d v="2024-06-06T00:00:00"/>
        <d v="2024-05-09T00:00:00"/>
        <d v="2024-04-24T00:00:00"/>
        <d v="2023-06-09T00:00:00"/>
        <d v="2023-06-18T00:00:00"/>
        <d v="2024-03-08T00:00:00"/>
        <d v="2023-09-11T00:00:00"/>
        <d v="2023-01-21T00:00:00"/>
        <d v="2023-05-18T00:00:00"/>
        <d v="2024-02-01T00:00:00"/>
        <d v="2024-04-20T00:00:00"/>
        <d v="2023-11-18T00:00:00"/>
        <d v="2024-05-07T00:00:00"/>
        <d v="2023-09-16T00:00:00"/>
        <d v="2024-06-09T00:00:00"/>
        <d v="2023-06-22T00:00:00"/>
        <d v="2023-03-08T00:00:00"/>
        <d v="2023-08-07T00:00:00"/>
        <d v="2023-11-08T00:00:00"/>
        <d v="2023-06-10T00:00:00"/>
        <d v="2023-10-31T00:00:00"/>
        <d v="2023-06-06T00:00:00"/>
        <d v="2023-11-20T00:00:00"/>
        <d v="2023-02-04T00:00:00"/>
        <d v="2023-05-25T00:00:00"/>
        <d v="2023-01-01T00:00:00"/>
        <d v="2024-06-16T00:00:00"/>
        <d v="2024-03-24T00:00:00"/>
        <d v="2023-08-27T00:00:00"/>
        <d v="2023-01-20T00:00:00"/>
        <d v="2023-10-15T00:00:00"/>
        <d v="2024-06-03T00:00:00"/>
        <d v="2024-05-14T00:00:00"/>
        <d v="2024-03-22T00:00:00"/>
        <d v="2023-01-09T00:00:00"/>
        <d v="2024-05-25T00:00:00"/>
        <d v="2024-01-27T00:00:00"/>
        <d v="2023-04-27T00:00:00"/>
        <d v="2024-06-24T00:00:00"/>
        <d v="2023-08-09T00:00:00"/>
        <d v="2023-06-19T00:00:00"/>
        <d v="2024-02-18T00:00:00"/>
        <d v="2024-06-26T00:00:00"/>
        <d v="2023-01-12T00:00:00"/>
        <d v="2023-08-29T00:00:00"/>
        <d v="2023-11-23T00:00:00"/>
        <d v="2024-01-05T00:00:00"/>
        <d v="2024-02-19T00:00:00"/>
        <d v="2024-03-12T00:00:00"/>
        <d v="2024-05-22T00:00:00"/>
        <d v="2023-03-17T00:00:00"/>
        <d v="2023-09-15T00:00:00"/>
        <d v="2023-05-17T00:00:00"/>
        <d v="2024-05-11T00:00:00"/>
        <d v="2023-02-10T00:00:00"/>
        <d v="2023-02-24T00:00:00"/>
        <d v="2023-01-19T00:00:00"/>
        <d v="2023-04-17T00:00:00"/>
        <d v="2023-08-12T00:00:00"/>
        <d v="2024-01-18T00:00:00"/>
        <d v="2024-06-29T00:00:00"/>
        <d v="2024-06-14T00:00:00"/>
        <d v="2024-02-10T00:00:00"/>
        <d v="2024-01-21T00:00:00"/>
        <d v="2023-10-25T00:00:00"/>
        <d v="2023-12-20T00:00:00"/>
        <d v="2023-02-20T00:00:00"/>
        <d v="2023-07-28T00:00:00"/>
        <d v="2023-07-27T00:00:00"/>
        <d v="2024-02-07T00:00:00"/>
        <d v="2023-01-24T00:00:00"/>
        <d v="2023-09-30T00:00:00"/>
        <d v="2023-06-20T00:00:00"/>
        <d v="2024-05-03T00:00:00"/>
        <d v="2023-12-14T00:00:00"/>
        <d v="2024-05-13T00:00:00"/>
        <d v="2023-09-25T00:00:00"/>
        <d v="2023-04-05T00:00:00"/>
        <d v="2024-04-14T00:00:00"/>
        <d v="2024-06-23T00:00:00"/>
        <d v="2023-09-05T00:00:00"/>
        <d v="2023-04-14T00:00:00"/>
        <d v="2024-03-10T00:00:00"/>
        <d v="2023-04-24T00:00:00"/>
        <d v="2023-03-05T00:00:00"/>
        <d v="2023-09-09T00:00:00"/>
        <d v="2023-08-25T00:00:00"/>
        <d v="2023-04-18T00:00:00"/>
        <d v="2023-11-17T00:00:00"/>
        <d v="2023-04-06T00:00:00"/>
        <d v="2024-06-18T00:00:00"/>
        <d v="2023-09-18T00:00:00"/>
        <d v="2024-01-03T00:00:00"/>
        <d v="2023-03-25T00:00:00"/>
        <d v="2023-07-07T00:00:00"/>
        <d v="2023-12-06T00:00:00"/>
        <d v="2024-06-19T00:00:00"/>
        <d v="2023-12-26T00:00:00"/>
        <d v="2024-01-24T00:00:00"/>
        <d v="2024-03-16T00:00:00"/>
        <d v="2024-02-21T00:00:00"/>
        <d v="2023-05-08T00:00:00"/>
        <d v="2023-05-02T00:00:00"/>
        <d v="2024-02-09T00:00:00"/>
        <d v="2024-06-25T00:00:00"/>
        <d v="2023-03-10T00:00:00"/>
        <d v="2023-03-21T00:00:00"/>
        <d v="2024-01-25T00:00:00"/>
        <d v="2024-04-07T00:00:00"/>
        <d v="2023-12-13T00:00:00"/>
        <d v="2023-09-29T00:00:00"/>
        <d v="2023-10-26T00:00:00"/>
        <d v="2023-05-19T00:00:00"/>
        <d v="2023-02-01T00:00:00"/>
        <d v="2024-02-28T00:00:00"/>
        <d v="2024-04-01T00:00:00"/>
        <d v="2023-07-05T00:00:00"/>
        <d v="2023-04-25T00:00:00"/>
        <d v="2024-01-02T00:00:00"/>
        <d v="2024-04-17T00:00:00"/>
        <d v="2023-09-01T00:00:00"/>
        <d v="2023-11-25T00:00:00"/>
        <d v="2023-02-12T00:00:00"/>
        <d v="2023-09-28T00:00:00"/>
        <d v="2023-03-13T00:00:00"/>
        <d v="2023-08-23T00:00:00"/>
        <d v="2023-03-03T00:00:00"/>
        <d v="2023-02-17T00:00:00"/>
        <d v="2023-10-22T00:00:00"/>
        <d v="2024-05-04T00:00:00"/>
        <d v="2024-05-05T00:00:00"/>
        <d v="2023-07-10T00:00:00"/>
        <d v="2023-11-02T00:00:00"/>
        <d v="2023-12-19T00:00:00"/>
        <d v="2023-06-28T00:00:00"/>
        <d v="2023-10-03T00:00:00"/>
        <d v="2023-10-24T00:00:00"/>
        <d v="2023-03-04T00:00:00"/>
        <d v="2023-05-16T00:00:00"/>
        <d v="2023-02-28T00:00:00"/>
        <d v="2023-10-11T00:00:00"/>
        <d v="2023-09-23T00:00:00"/>
        <d v="2024-05-29T00:00:00"/>
        <d v="2023-11-10T00:00:00"/>
        <d v="2023-11-14T00:00:00"/>
        <d v="2023-04-30T00:00:00"/>
        <d v="2023-01-29T00:00:00"/>
        <d v="2023-09-21T00:00:00"/>
        <d v="2023-05-13T00:00:00"/>
        <d v="2024-02-06T00:00:00"/>
        <d v="2023-08-03T00:00:00"/>
        <d v="2023-08-06T00:00:00"/>
        <d v="2023-06-21T00:00:00"/>
        <d v="2023-09-04T00:00:00"/>
        <d v="2023-10-17T00:00:00"/>
        <d v="2024-01-29T00:00:00"/>
        <d v="2023-11-27T00:00:00"/>
        <d v="2023-03-31T00:00:00"/>
        <d v="2024-04-18T00:00:00"/>
        <d v="2024-05-12T00:00:00"/>
        <d v="2023-10-12T00:00:00"/>
        <d v="2023-08-17T00:00:00"/>
        <d v="2024-01-26T00:00:00"/>
        <d v="2023-08-21T00:00:00"/>
        <d v="2023-10-01T00:00:00"/>
        <d v="2023-12-27T00:00:00"/>
        <d v="2023-06-17T00:00:00"/>
        <d v="2023-10-13T00:00:00"/>
        <d v="2023-09-08T00:00:00"/>
        <d v="2024-04-12T00:00:00"/>
        <d v="2023-11-12T00:00:00"/>
        <d v="2023-02-26T00:00:00"/>
        <d v="2024-03-06T00:00:00"/>
        <d v="2024-03-19T00:00:00"/>
        <d v="2023-12-07T00:00:00"/>
        <d v="2024-02-26T00:00:00"/>
        <d v="2023-09-02T00:00:00"/>
        <d v="2023-11-03T00:00:00"/>
        <d v="2023-12-31T00:00:00"/>
        <d v="2023-02-25T00:00:00"/>
        <d v="2023-11-05T00:00:00"/>
        <d v="2023-09-24T00:00:00"/>
        <d v="2024-01-01T00:00:00"/>
        <d v="2024-05-26T00:00:00"/>
        <d v="2024-04-30T00:00:00"/>
        <d v="2024-03-15T00:00:00"/>
        <d v="2023-06-29T00:00:00"/>
        <d v="2023-07-22T00:00:00"/>
        <d v="2023-12-21T00:00:00"/>
        <d v="2023-02-21T00:00:00"/>
        <d v="2023-04-26T00:00:00"/>
        <d v="2024-04-19T00:00:00"/>
        <d v="2023-04-22T00:00:00"/>
        <d v="2023-08-26T00:00:00"/>
        <d v="2023-07-03T00:00:00"/>
        <d v="2023-12-25T00:00:00"/>
        <d v="2023-01-07T00:00:00"/>
        <d v="2023-12-04T00:00:00"/>
        <d v="2023-01-16T00:00:00"/>
        <d v="2023-07-24T00:00:00"/>
        <d v="2024-06-20T00:00:00"/>
        <d v="2023-09-27T00:00:00"/>
        <d v="2024-03-27T00:00:00"/>
        <d v="2024-06-15T00:00:00"/>
        <d v="2023-11-19T00:00:00"/>
        <d v="2023-03-28T00:00:00"/>
        <d v="2023-10-29T00:00:00"/>
        <d v="2024-04-16T00:00:00"/>
        <d v="2024-05-21T00:00:00"/>
        <d v="2024-04-27T00:00:00"/>
        <d v="2023-08-01T00:00:00"/>
        <d v="2024-03-23T00:00:00"/>
        <d v="2023-06-12T00:00:00"/>
        <d v="2023-06-07T00:00:00"/>
        <d v="2024-02-29T00:00:00"/>
        <d v="2023-02-02T00:00:00"/>
        <d v="2023-06-26T00:00:00"/>
        <d v="2024-05-23T00:00:00"/>
        <d v="2024-02-03T00:00:00"/>
        <d v="2023-08-05T00:00:00"/>
        <d v="2023-12-03T00:00:00"/>
        <d v="2024-03-02T00:00:00"/>
        <d v="2024-06-28T00:00:00"/>
        <d v="2024-04-13T00:00:00"/>
        <d v="2023-09-17T00:00:00"/>
        <d v="2024-03-05T00:00:00"/>
        <d v="2024-01-04T00:00:00"/>
        <d v="2023-03-06T00:00:00"/>
        <d v="2023-11-22T00:00:00"/>
        <d v="2024-01-28T00:00:00" u="1"/>
        <d v="2023-05-21T00:00:00" u="1"/>
        <d v="2023-10-28T00:00:00" u="1"/>
        <d v="2023-06-04T00:00:00" u="1"/>
        <d v="2023-02-23T00:00:00" u="1"/>
        <d v="2024-04-22T00:00:00" u="1"/>
        <d v="2024-06-27T00:00:00" u="1"/>
        <d v="2023-06-25T00:00:00" u="1"/>
        <d v="2023-03-09T00:00:00" u="1"/>
        <d v="2023-10-18T00:00:00" u="1"/>
        <d v="2024-02-15T00:00:00" u="1"/>
        <d v="2023-05-06T00:00:00" u="1"/>
        <d v="2023-06-27T00:00:00" u="1"/>
        <d v="2024-01-10T00:00:00" u="1"/>
        <d v="2024-05-27T00:00:00" u="1"/>
        <d v="2023-07-31T00:00:00" u="1"/>
        <d v="2024-03-09T00:00:00" u="1"/>
        <d v="2023-09-06T00:00:00" u="1"/>
        <d v="2023-05-10T00:00:00" u="1"/>
        <d v="2023-05-03T00:00:00" u="1"/>
        <d v="2023-06-01T00:00:00" u="1"/>
        <d v="2023-02-19T00:00:00" u="1"/>
        <d v="2024-05-18T00:00:00" u="1"/>
        <d v="2023-01-28T00:00:00" u="1"/>
        <d v="2023-10-20T00:00:00" u="1"/>
        <d v="2023-05-04T00:00:00" u="1"/>
        <d v="2023-07-04T00:00:00" u="1"/>
        <d v="2024-06-13T00:00:00" u="1"/>
        <d v="2023-09-20T00:00:00" u="1"/>
        <d v="2024-06-01T00:00:00" u="1"/>
        <d v="2024-04-28T00:00:00" u="1"/>
        <d v="2024-04-29T00:00:00" u="1"/>
        <d v="2023-05-30T00:00:00" u="1"/>
        <d v="2023-08-30T00:00:00" u="1"/>
        <d v="2023-10-19T00:00:00" u="1"/>
        <d v="2024-05-20T00:00:00" u="1"/>
        <d v="2023-07-09T00:00:00" u="1"/>
        <d v="2023-01-02T00:00:00" u="1"/>
        <d v="2023-12-02T00:00:00" u="1"/>
        <d v="2024-04-15T00:00:00" u="1"/>
        <d v="2024-01-11T00:00:00" u="1"/>
        <d v="2024-01-30T00:00:00" u="1"/>
        <d v="2024-01-13T00:00:00" u="1"/>
        <d v="2023-02-14T00:00:00" u="1"/>
        <d v="2023-07-18T00:00:00" u="1"/>
        <d v="2023-05-27T00:00:00" u="1"/>
        <d v="2023-01-06T00:00:00" u="1"/>
        <d v="2023-10-02T00:00:00" u="1"/>
        <d v="2024-06-12T00:00:00" u="1"/>
        <d v="2023-01-25T00:00:00" u="1"/>
        <d v="2023-01-15T00:00:00" u="1"/>
        <d v="2023-11-30T00:00:00" u="1"/>
        <d v="2024-02-05T00:00:00" u="1"/>
        <d v="2023-07-02T00:00:00" u="1"/>
        <d v="2023-12-16T00:00:00" u="1"/>
        <d v="2023-02-15T00:00:00" u="1"/>
        <d v="2024-04-21T00:00:00" u="1"/>
        <d v="2023-01-18T00:00:00" u="1"/>
        <d v="2023-06-11T00:00:00" u="1"/>
        <d v="2023-03-24T00:00:00" u="1"/>
        <d v="2024-01-12T00:00:00" u="1"/>
        <d v="2023-07-29T00:00:00" u="1"/>
        <d v="2023-02-27T00:00:00" u="1"/>
        <d v="2023-02-13T00:00:00" u="1"/>
        <d v="2023-07-16T00:00:00" u="1"/>
        <d v="2023-10-30T00:00:00" u="1"/>
        <d v="2024-04-10T00:00:00" u="1"/>
        <d v="2023-06-24T00:00:00" u="1"/>
        <d v="2023-06-23T00:00:00" u="1"/>
        <d v="2023-11-07T00:00:00" u="1"/>
        <d v="2023-11-01T00:00:00" u="1"/>
        <d v="2023-08-28T00:00:00" u="1"/>
        <d v="2023-10-23T00:00:00" u="1"/>
        <d v="2023-12-15T00:00:00" u="1"/>
        <d v="2023-06-03T00:00:00" u="1"/>
        <d v="2024-03-18T00:00:00" u="1"/>
        <d v="2023-08-10T00:00:00" u="1"/>
        <d v="2023-03-14T00:00:00" u="1"/>
        <d v="2023-12-05T00:00:00" u="1"/>
        <d v="2024-01-06T00:00:00" u="1"/>
        <d v="2023-06-15T00:00:00" u="1"/>
        <d v="2024-03-26T00:00:00" u="1"/>
        <d v="2023-12-11T00:00:00" u="1"/>
        <d v="2023-05-14T00:00:00" u="1"/>
        <d v="2024-03-11T00:00:00" u="1"/>
        <d v="2024-06-17T00:00:00" u="1"/>
        <d v="2023-07-15T00:00:00" u="1"/>
        <d v="2024-01-08T00:00:00" u="1"/>
        <d v="2023-05-11T00:00:00" u="1"/>
        <d v="2023-12-28T00:00:00" u="1"/>
        <d v="2024-02-25T00:00:00" u="1"/>
        <d v="2023-07-13T00:00:00" u="1"/>
        <d v="2023-04-19T00:00:00" u="1"/>
        <d v="2023-08-16T00:00:00" u="1"/>
        <d v="2023-05-01T00:00:00" u="1"/>
        <d v="2024-03-07T00:00:00" u="1"/>
        <d v="2023-01-17T00:00:00" u="1"/>
        <d v="2023-03-11T00:00:00" u="1"/>
        <d v="2024-06-04T00:00:00" u="1"/>
        <d v="2023-08-04T00:00:00" u="1"/>
        <d v="2023-11-28T00:00:00" u="1"/>
        <d v="2023-03-01T00:00:00" u="1"/>
        <d v="2024-03-31T00:00:00" u="1"/>
        <d v="2024-04-03T00:00:00" u="1"/>
        <d v="2023-02-05T00:00:00" u="1"/>
        <d v="2024-01-31T00:00:00" u="1"/>
        <d v="2024-02-14T00:00:00" u="1"/>
        <d v="2024-02-04T00:00:00" u="1"/>
        <d v="2023-02-16T00:00:00" u="1"/>
        <d v="2023-06-30T00:00:00" u="1"/>
        <d v="2024-02-22T00:00:00" u="1"/>
        <d v="2023-04-20T00:00:00" u="1"/>
        <d v="2023-08-13T00:00:00" u="1"/>
        <d v="2023-11-24T00:00:00" u="1"/>
        <d v="2023-03-30T00:00:00" u="1"/>
        <d v="2023-04-10T00:00:00" u="1"/>
        <d v="2023-07-08T00:00:00" u="1"/>
        <d v="2024-05-01T00:00:00" u="1"/>
        <d v="2024-03-21T00:00:00" u="1"/>
        <d v="2023-12-10T00:00:00" u="1"/>
        <d v="2023-05-31T00:00:00" u="1"/>
        <d v="2023-07-26T00:00:00" u="1"/>
        <d v="2023-07-30T00:00:00" u="1"/>
        <d v="2023-05-24T00:00:00" u="1"/>
        <d v="2023-07-12T00:00:00" u="1"/>
        <d v="2023-01-22T00:00:00" u="1"/>
        <d v="2023-11-09T00:00:00" u="1"/>
        <d v="2024-05-15T00:00:00" u="1"/>
        <d v="2024-01-19T00:00:00" u="1"/>
        <d v="2024-04-26T00:00:00" u="1"/>
        <d v="2023-10-14T00:00:00" u="1"/>
        <d v="2023-04-15T00:00:00" u="1"/>
        <d v="2023-09-26T00:00:00" u="1"/>
        <d v="2023-08-18T00:00:00" u="1"/>
        <d v="2023-05-12T00:00:00" u="1"/>
        <d v="2023-07-19T00:00:00" u="1"/>
        <d v="2024-02-02T00:00:00" u="1"/>
        <d v="2024-02-17T00:00:00" u="1"/>
        <d v="2024-03-04T00:00:00" u="1"/>
        <d v="2023-07-06T00:00:00" u="1"/>
        <d v="2023-08-24T00:00:00" u="1"/>
        <d v="2023-03-19T00:00:00" u="1"/>
        <d v="2023-02-03T00:00:00" u="1"/>
        <d v="2023-08-19T00:00:00" u="1"/>
        <d v="2024-02-11T00:00:00" u="1"/>
        <d v="2023-11-26T00:00:00" u="1"/>
        <d v="2024-05-06T00:00:00" u="1"/>
        <d v="2023-05-29T00:00:00" u="1"/>
        <d v="2023-10-06T00:00:00" u="1"/>
        <d v="2023-03-27T00:00:00" u="1"/>
        <d v="2023-06-16T00:00:00" u="1"/>
        <d v="2024-05-10T00:00:00" u="1"/>
        <d v="2023-01-13T00:00:00" u="1"/>
        <d v="2023-05-09T00:00:00" u="1"/>
        <d v="2023-04-21T00:00:00" u="1"/>
        <d v="2024-03-29T00:00:00" u="1"/>
        <d v="2023-10-10T00:00:00" u="1"/>
        <d v="2024-04-23T00:00:00" u="1"/>
        <d v="2023-01-11T00:00:00" u="1"/>
        <d v="2023-12-30T00:00:00" u="1"/>
        <d v="2024-03-14T00:00:00" u="1"/>
        <d v="2023-12-09T00:00:00" u="1"/>
        <d v="2023-01-26T00:00:00" u="1"/>
        <d v="2023-03-23T00:00:00" u="1"/>
        <d v="2023-03-16T00:00:00" u="1"/>
        <d v="2024-01-22T00:00:00" u="1"/>
        <d v="2023-12-24T00:00:00" u="1"/>
        <d v="2024-05-31T00:00:00" u="1"/>
        <d v="2023-04-29T00:00:00" u="1"/>
        <d v="2023-12-08T00:00:00" u="1"/>
        <d v="2023-09-10T00:00:00" u="1"/>
        <d v="2024-03-20T00:00:00" u="1"/>
        <d v="2024-06-10T00:00:00" u="1"/>
        <d v="2023-12-17T00:00:00" u="1"/>
        <d v="2023-09-03T00:00:00" u="1"/>
        <d v="2023-10-05T00:00:00" u="1"/>
        <d v="2023-06-02T00:00:00" u="1"/>
        <d v="2023-05-20T00:00:00" u="1"/>
        <d v="2023-07-14T00:00:00" u="1"/>
        <d v="2024-06-02T00:00:00" u="1"/>
        <d v="2024-01-20T00:00:00" u="1"/>
        <d v="2023-03-18T00:00:00" u="1"/>
        <d v="2023-11-11T00:00:00" u="1"/>
        <d v="2023-02-22T00:00:00" u="1"/>
        <d v="2023-05-26T00:00:00" u="1"/>
        <d v="2023-06-14T00:00:00" u="1"/>
        <d v="2024-05-24T00:00:00" u="1"/>
        <d v="2023-11-13T00:00:00" u="1"/>
        <d v="2023-08-02T00:00:00" u="1"/>
        <d v="2023-01-31T00:00:00" u="1"/>
        <d v="2023-06-08T00:00:00" u="1"/>
        <d v="2023-03-02T00:00:00" u="1"/>
        <d v="2023-11-06T00:00:00" u="1"/>
        <d v="2024-04-05T00:00:00" u="1"/>
        <d v="2023-03-29T00:00:00" u="1"/>
        <d v="2023-12-18T00:00:00" u="1"/>
        <d v="2024-05-17T00:00:00" u="1"/>
        <d v="2024-03-28T00:00:00" u="1"/>
        <d v="2023-10-08T00:00:00" u="1"/>
        <d v="2023-12-23T00:00:00" u="1"/>
        <d v="2023-07-25T00:00:00" u="1"/>
        <d v="2024-02-20T00:00:00" u="1"/>
        <d v="2023-11-21T00:00:00" u="1"/>
        <d v="2024-06-22T00:00:00" u="1"/>
        <d v="2023-04-08T00:00:00" u="1"/>
        <d v="2023-10-07T00:00:00" u="1"/>
        <d v="2023-02-08T00:00:00" u="1"/>
        <d v="2023-10-09T00:00:00" u="1"/>
        <d v="2024-01-07T00:00:00" u="1"/>
        <d v="2023-12-12T00:00:00" u="1"/>
        <d v="2023-01-14T00:00:00" u="1"/>
        <d v="2023-04-07T00:00:00" u="1"/>
        <d v="2023-07-11T00:00:00" u="1"/>
        <d v="2023-02-07T00:00:00" u="1"/>
        <d v="2024-06-07T00:00:00" u="1"/>
        <d v="2023-09-12T00:00:00" u="1"/>
        <d v="2023-08-11T00:00:00" u="1"/>
        <d v="2023-04-03T00:00:00" u="1"/>
      </sharedItems>
      <fieldGroup par="20"/>
    </cacheField>
    <cacheField name="Resolved Date" numFmtId="164">
      <sharedItems containsDate="1" containsMixedTypes="1" minDate="2023-01-23T00:00:00" maxDate="2024-10-09T00:00:00"/>
    </cacheField>
    <cacheField name="Resolution Time (Days)" numFmtId="0">
      <sharedItems containsMixedTypes="1" containsNumber="1" containsInteger="1" minValue="1" maxValue="119"/>
    </cacheField>
    <cacheField name="Status" numFmtId="0">
      <sharedItems count="5">
        <s v="In Progress"/>
        <s v="Open"/>
        <s v="Resolved"/>
        <s v="Closed"/>
        <s v="Pending"/>
      </sharedItems>
    </cacheField>
    <cacheField name="Assigned Analyst" numFmtId="0">
      <sharedItems count="6">
        <s v="Jordan Lee"/>
        <s v="Casey Brown"/>
        <s v="Taylor Smith"/>
        <s v="Alex Johnson"/>
        <s v="Riley Wilson"/>
        <s v="Morgan Davis"/>
      </sharedItems>
    </cacheField>
    <cacheField name="Root Cause Category" numFmtId="0">
      <sharedItems containsBlank="1" count="9">
        <s v="Integration Failure"/>
        <s v="Network Failure"/>
        <s v="User Error"/>
        <s v="Data Error"/>
        <s v="Configuration Issue"/>
        <s v="Unknown"/>
        <s v="System Bug"/>
        <s v="Process Gap"/>
        <m u="1"/>
      </sharedItems>
    </cacheField>
    <cacheField name="Estimated Impact ($)" numFmtId="0">
      <sharedItems containsSemiMixedTypes="0" containsString="0" containsNumber="1" minValue="0" maxValue="47562.25"/>
    </cacheField>
    <cacheField name="Actual Impact ($)" numFmtId="0">
      <sharedItems containsMixedTypes="1" containsNumber="1" minValue="0.1" maxValue="46135.44"/>
    </cacheField>
    <cacheField name="Variance ($)" numFmtId="0">
      <sharedItems containsMixedTypes="1" containsNumber="1" minValue="-3489.07" maxValue="5733.59"/>
    </cacheField>
    <cacheField name="Variance (%)" numFmtId="10">
      <sharedItems containsMixedTypes="1" containsNumber="1" minValue="-0.14994172605253919" maxValue="93.999999999999986"/>
    </cacheField>
    <cacheField name="SLA Target (Days)" numFmtId="0">
      <sharedItems containsSemiMixedTypes="0" containsString="0" containsNumber="1" containsInteger="1" minValue="1" maxValue="10"/>
    </cacheField>
    <cacheField name="SLA Met" numFmtId="0">
      <sharedItems/>
    </cacheField>
    <cacheField name="Months (Created Date)" numFmtId="0" databaseField="0">
      <fieldGroup base="7">
        <rangePr groupBy="months" startDate="2023-01-01T00:00:00" endDate="2024-06-30T00:00:00"/>
        <groupItems count="14">
          <s v="&lt;1/1/2023"/>
          <s v="Jan"/>
          <s v="Feb"/>
          <s v="Mar"/>
          <s v="Apr"/>
          <s v="May"/>
          <s v="Jun"/>
          <s v="Jul"/>
          <s v="Aug"/>
          <s v="Sep"/>
          <s v="Oct"/>
          <s v="Nov"/>
          <s v="Dec"/>
          <s v="&gt;6/30/2024"/>
        </groupItems>
      </fieldGroup>
    </cacheField>
    <cacheField name="Years (Created Date)" numFmtId="0" databaseField="0">
      <fieldGroup base="7">
        <rangePr groupBy="years" startDate="2023-01-01T00:00:00" endDate="2024-06-30T00:00:00"/>
        <groupItems count="4">
          <s v="&lt;1/1/2023"/>
          <s v="2023"/>
          <s v="2024"/>
          <s v="&gt;6/30/2024"/>
        </groupItems>
      </fieldGroup>
    </cacheField>
    <cacheField name="Variance Pivot ($)" numFmtId="0" formula="'Actual Impact ($)'-'Estimated Impact ($)'" databaseField="0"/>
  </cacheFields>
  <extLst>
    <ext xmlns:x14="http://schemas.microsoft.com/office/spreadsheetml/2009/9/main" uri="{725AE2AE-9491-48be-B2B4-4EB974FC3084}">
      <x14:pivotCacheDefinition pivotCacheId="4427955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s v="INC752809"/>
    <x v="0"/>
    <s v="System Error"/>
    <x v="0"/>
    <s v="Moderate"/>
    <x v="0"/>
    <s v="IT"/>
    <x v="0"/>
    <s v=""/>
    <s v=""/>
    <x v="0"/>
    <x v="0"/>
    <x v="0"/>
    <n v="570.20000000000005"/>
    <s v=""/>
    <s v=""/>
    <s v=""/>
    <n v="5"/>
    <s v=""/>
  </r>
  <r>
    <s v="INC824292"/>
    <x v="1"/>
    <s v="Integration Failure"/>
    <x v="0"/>
    <s v="Minor"/>
    <x v="1"/>
    <s v="Finance"/>
    <x v="1"/>
    <s v=""/>
    <s v=""/>
    <x v="1"/>
    <x v="1"/>
    <x v="1"/>
    <n v="9.66"/>
    <s v=""/>
    <s v=""/>
    <s v=""/>
    <n v="5"/>
    <s v=""/>
  </r>
  <r>
    <s v="INC858191"/>
    <x v="1"/>
    <s v="Processing Delay"/>
    <x v="1"/>
    <s v="Minor"/>
    <x v="0"/>
    <s v="IT"/>
    <x v="2"/>
    <s v=""/>
    <s v=""/>
    <x v="0"/>
    <x v="2"/>
    <x v="2"/>
    <n v="1340.67"/>
    <s v=""/>
    <s v=""/>
    <s v=""/>
    <n v="1"/>
    <s v=""/>
  </r>
  <r>
    <s v="INC340507"/>
    <x v="2"/>
    <s v="User Access Issue"/>
    <x v="1"/>
    <s v="Major"/>
    <x v="2"/>
    <s v="Compliance"/>
    <x v="3"/>
    <s v=""/>
    <s v=""/>
    <x v="0"/>
    <x v="1"/>
    <x v="3"/>
    <n v="29248.52"/>
    <s v=""/>
    <s v=""/>
    <s v=""/>
    <n v="1"/>
    <s v=""/>
  </r>
  <r>
    <s v="INC741716"/>
    <x v="2"/>
    <s v="Performance Issue"/>
    <x v="0"/>
    <s v="Minor"/>
    <x v="2"/>
    <s v="Billing"/>
    <x v="4"/>
    <d v="2024-04-28T00:00:00"/>
    <n v="58"/>
    <x v="2"/>
    <x v="3"/>
    <x v="4"/>
    <n v="30581.06"/>
    <n v="29663.99"/>
    <n v="-917.07"/>
    <n v="-2.9988169147832013E-2"/>
    <n v="5"/>
    <s v="No"/>
  </r>
  <r>
    <s v="INC423554"/>
    <x v="2"/>
    <s v="Payment Failure"/>
    <x v="1"/>
    <s v="Moderate"/>
    <x v="2"/>
    <s v="Customer Service"/>
    <x v="5"/>
    <d v="2023-12-17T00:00:00"/>
    <n v="16"/>
    <x v="3"/>
    <x v="1"/>
    <x v="1"/>
    <n v="6266.61"/>
    <n v="6893.86"/>
    <n v="627.25"/>
    <n v="0.10009399021161362"/>
    <n v="1"/>
    <s v="No"/>
  </r>
  <r>
    <s v="INC436466"/>
    <x v="3"/>
    <s v="Data Issue"/>
    <x v="0"/>
    <s v="Minor"/>
    <x v="3"/>
    <s v="Billing"/>
    <x v="6"/>
    <s v=""/>
    <s v=""/>
    <x v="0"/>
    <x v="4"/>
    <x v="5"/>
    <n v="43.48"/>
    <s v=""/>
    <s v=""/>
    <s v=""/>
    <n v="5"/>
    <s v=""/>
  </r>
  <r>
    <s v="INC595603"/>
    <x v="4"/>
    <s v="Payment Failure"/>
    <x v="1"/>
    <s v="Moderate"/>
    <x v="3"/>
    <s v="Compliance"/>
    <x v="7"/>
    <d v="2023-05-20T00:00:00"/>
    <n v="98"/>
    <x v="3"/>
    <x v="5"/>
    <x v="3"/>
    <n v="543.20000000000005"/>
    <n v="663.17"/>
    <n v="119.97"/>
    <n v="0.22085787923416772"/>
    <n v="1"/>
    <s v="No"/>
  </r>
  <r>
    <s v="INC488241"/>
    <x v="2"/>
    <s v="Performance Issue"/>
    <x v="2"/>
    <s v="Minor"/>
    <x v="4"/>
    <s v="Billing"/>
    <x v="8"/>
    <d v="2024-04-14T00:00:00"/>
    <n v="10"/>
    <x v="3"/>
    <x v="4"/>
    <x v="1"/>
    <n v="24954.2"/>
    <n v="26701.26"/>
    <n v="1747.06"/>
    <n v="7.0010659528255664E-2"/>
    <n v="3"/>
    <s v="No"/>
  </r>
  <r>
    <s v="INC329067"/>
    <x v="0"/>
    <s v="Complaint"/>
    <x v="2"/>
    <s v="Critical"/>
    <x v="4"/>
    <s v="Billing"/>
    <x v="9"/>
    <s v=""/>
    <s v=""/>
    <x v="4"/>
    <x v="2"/>
    <x v="6"/>
    <n v="0.27"/>
    <s v=""/>
    <s v=""/>
    <s v=""/>
    <n v="3"/>
    <s v=""/>
  </r>
  <r>
    <s v="INC630650"/>
    <x v="2"/>
    <s v="Performance Issue"/>
    <x v="3"/>
    <s v="Major"/>
    <x v="3"/>
    <s v="Compliance"/>
    <x v="10"/>
    <s v=""/>
    <s v=""/>
    <x v="4"/>
    <x v="1"/>
    <x v="5"/>
    <n v="230.54"/>
    <s v=""/>
    <s v=""/>
    <s v=""/>
    <n v="10"/>
    <s v=""/>
  </r>
  <r>
    <s v="INC277725"/>
    <x v="5"/>
    <s v="User Access Issue"/>
    <x v="0"/>
    <s v="Critical"/>
    <x v="3"/>
    <s v="Customer Service"/>
    <x v="11"/>
    <s v=""/>
    <s v=""/>
    <x v="4"/>
    <x v="2"/>
    <x v="7"/>
    <n v="0"/>
    <s v=""/>
    <s v=""/>
    <s v=""/>
    <n v="5"/>
    <s v=""/>
  </r>
  <r>
    <s v="INC883083"/>
    <x v="0"/>
    <s v="Data Issue"/>
    <x v="1"/>
    <s v="Moderate"/>
    <x v="1"/>
    <s v="Finance"/>
    <x v="12"/>
    <s v=""/>
    <s v=""/>
    <x v="1"/>
    <x v="2"/>
    <x v="4"/>
    <n v="40597.11"/>
    <s v=""/>
    <s v=""/>
    <s v=""/>
    <n v="1"/>
    <s v=""/>
  </r>
  <r>
    <s v="INC857831"/>
    <x v="1"/>
    <s v="Processing Delay"/>
    <x v="3"/>
    <s v="Moderate"/>
    <x v="4"/>
    <s v="Compliance"/>
    <x v="13"/>
    <d v="2024-04-03T00:00:00"/>
    <n v="4"/>
    <x v="2"/>
    <x v="0"/>
    <x v="1"/>
    <n v="1429.68"/>
    <n v="1373.01"/>
    <n v="-56.67"/>
    <n v="-3.9638240725197296E-2"/>
    <n v="10"/>
    <s v="Yes"/>
  </r>
  <r>
    <s v="INC910173"/>
    <x v="2"/>
    <s v="Performance Issue"/>
    <x v="2"/>
    <s v="Critical"/>
    <x v="4"/>
    <s v="Customer Service"/>
    <x v="14"/>
    <d v="2024-06-08T00:00:00"/>
    <n v="75"/>
    <x v="2"/>
    <x v="5"/>
    <x v="6"/>
    <n v="13504.28"/>
    <n v="11883.77"/>
    <n v="-1620.51"/>
    <n v="-0.11999973341784975"/>
    <n v="3"/>
    <s v="No"/>
  </r>
  <r>
    <s v="INC940487"/>
    <x v="2"/>
    <s v="Performance Issue"/>
    <x v="2"/>
    <s v="Major"/>
    <x v="0"/>
    <s v="Customer Service"/>
    <x v="15"/>
    <s v=""/>
    <s v=""/>
    <x v="4"/>
    <x v="4"/>
    <x v="1"/>
    <n v="70.88"/>
    <s v=""/>
    <s v=""/>
    <s v=""/>
    <n v="3"/>
    <s v=""/>
  </r>
  <r>
    <s v="INC654058"/>
    <x v="1"/>
    <s v="User Access Issue"/>
    <x v="1"/>
    <s v="Critical"/>
    <x v="4"/>
    <s v="Compliance"/>
    <x v="16"/>
    <s v=""/>
    <s v=""/>
    <x v="4"/>
    <x v="5"/>
    <x v="0"/>
    <n v="9059.5400000000009"/>
    <s v=""/>
    <s v=""/>
    <s v=""/>
    <n v="1"/>
    <s v=""/>
  </r>
  <r>
    <s v="INC559984"/>
    <x v="0"/>
    <s v="System Error"/>
    <x v="2"/>
    <s v="Major"/>
    <x v="4"/>
    <s v="Billing"/>
    <x v="17"/>
    <d v="2023-11-26T00:00:00"/>
    <n v="110"/>
    <x v="2"/>
    <x v="5"/>
    <x v="0"/>
    <n v="16284.62"/>
    <n v="19542.310000000001"/>
    <n v="3257.69"/>
    <n v="0.20004703824835951"/>
    <n v="3"/>
    <s v="No"/>
  </r>
  <r>
    <s v="INC406768"/>
    <x v="0"/>
    <s v="Performance Issue"/>
    <x v="0"/>
    <s v="Moderate"/>
    <x v="4"/>
    <s v="Customer Service"/>
    <x v="18"/>
    <d v="2024-06-09T00:00:00"/>
    <n v="68"/>
    <x v="2"/>
    <x v="4"/>
    <x v="1"/>
    <n v="936.72"/>
    <n v="1030.4100000000001"/>
    <n v="93.69"/>
    <n v="0.10001921598770182"/>
    <n v="5"/>
    <s v="No"/>
  </r>
  <r>
    <s v="INC917173"/>
    <x v="0"/>
    <s v="User Access Issue"/>
    <x v="1"/>
    <s v="Major"/>
    <x v="2"/>
    <s v="Claims"/>
    <x v="19"/>
    <d v="2023-05-17T00:00:00"/>
    <n v="100"/>
    <x v="2"/>
    <x v="3"/>
    <x v="5"/>
    <n v="2647.57"/>
    <n v="2833.48"/>
    <n v="185.91"/>
    <n v="7.0219106576974305E-2"/>
    <n v="1"/>
    <s v="No"/>
  </r>
  <r>
    <s v="INC115955"/>
    <x v="3"/>
    <s v="User Access Issue"/>
    <x v="2"/>
    <s v="Minor"/>
    <x v="4"/>
    <s v="Billing"/>
    <x v="20"/>
    <s v=""/>
    <s v=""/>
    <x v="0"/>
    <x v="5"/>
    <x v="7"/>
    <n v="6780.46"/>
    <s v=""/>
    <s v=""/>
    <s v=""/>
    <n v="3"/>
    <s v=""/>
  </r>
  <r>
    <s v="INC249790"/>
    <x v="1"/>
    <s v="Payment Failure"/>
    <x v="3"/>
    <s v="Moderate"/>
    <x v="4"/>
    <s v="Billing"/>
    <x v="21"/>
    <s v=""/>
    <s v=""/>
    <x v="4"/>
    <x v="3"/>
    <x v="1"/>
    <n v="12232.02"/>
    <s v=""/>
    <s v=""/>
    <s v=""/>
    <n v="10"/>
    <s v=""/>
  </r>
  <r>
    <s v="INC494291"/>
    <x v="3"/>
    <s v="System Error"/>
    <x v="1"/>
    <s v="Major"/>
    <x v="4"/>
    <s v="Customer Service"/>
    <x v="22"/>
    <s v=""/>
    <s v=""/>
    <x v="0"/>
    <x v="1"/>
    <x v="3"/>
    <n v="35.08"/>
    <s v=""/>
    <s v=""/>
    <s v=""/>
    <n v="1"/>
    <s v=""/>
  </r>
  <r>
    <s v="INC630506"/>
    <x v="4"/>
    <s v="Integration Failure"/>
    <x v="2"/>
    <s v="Critical"/>
    <x v="4"/>
    <s v="Compliance"/>
    <x v="23"/>
    <d v="2023-07-23T00:00:00"/>
    <n v="98"/>
    <x v="3"/>
    <x v="3"/>
    <x v="5"/>
    <n v="20345.52"/>
    <n v="17701.03"/>
    <n v="-2644.49"/>
    <n v="-0.12997898308816888"/>
    <n v="3"/>
    <s v="No"/>
  </r>
  <r>
    <s v="INC108923"/>
    <x v="1"/>
    <s v="System Error"/>
    <x v="1"/>
    <s v="Critical"/>
    <x v="4"/>
    <s v="Billing"/>
    <x v="24"/>
    <d v="2023-05-28T00:00:00"/>
    <n v="108"/>
    <x v="2"/>
    <x v="5"/>
    <x v="5"/>
    <n v="6914.23"/>
    <n v="7744.93"/>
    <n v="830.7"/>
    <n v="0.120143530082164"/>
    <n v="1"/>
    <s v="No"/>
  </r>
  <r>
    <s v="INC473297"/>
    <x v="6"/>
    <s v="User Access Issue"/>
    <x v="0"/>
    <s v="Critical"/>
    <x v="2"/>
    <s v="IT"/>
    <x v="25"/>
    <s v=""/>
    <s v=""/>
    <x v="4"/>
    <x v="5"/>
    <x v="6"/>
    <n v="1862.73"/>
    <s v=""/>
    <s v=""/>
    <s v=""/>
    <n v="5"/>
    <s v=""/>
  </r>
  <r>
    <s v="INC516449"/>
    <x v="5"/>
    <s v="Processing Delay"/>
    <x v="3"/>
    <s v="Moderate"/>
    <x v="4"/>
    <s v="Claims"/>
    <x v="26"/>
    <s v=""/>
    <s v=""/>
    <x v="0"/>
    <x v="5"/>
    <x v="7"/>
    <n v="5752.6"/>
    <s v=""/>
    <s v=""/>
    <s v=""/>
    <n v="10"/>
    <s v=""/>
  </r>
  <r>
    <s v="INC829791"/>
    <x v="5"/>
    <s v="User Access Issue"/>
    <x v="1"/>
    <s v="Critical"/>
    <x v="4"/>
    <s v="IT"/>
    <x v="27"/>
    <s v=""/>
    <s v=""/>
    <x v="4"/>
    <x v="0"/>
    <x v="5"/>
    <n v="86.2"/>
    <s v=""/>
    <s v=""/>
    <s v=""/>
    <n v="1"/>
    <s v=""/>
  </r>
  <r>
    <s v="INC449450"/>
    <x v="1"/>
    <s v="Integration Failure"/>
    <x v="1"/>
    <s v="Critical"/>
    <x v="1"/>
    <s v="Compliance"/>
    <x v="28"/>
    <d v="2023-12-01T00:00:00"/>
    <n v="2"/>
    <x v="3"/>
    <x v="4"/>
    <x v="0"/>
    <n v="16160.43"/>
    <n v="14706.04"/>
    <n v="-1454.39"/>
    <n v="-8.9996986466325424E-2"/>
    <n v="1"/>
    <s v="No"/>
  </r>
  <r>
    <s v="INC757036"/>
    <x v="4"/>
    <s v="Processing Delay"/>
    <x v="0"/>
    <s v="Minor"/>
    <x v="3"/>
    <s v="Finance"/>
    <x v="29"/>
    <s v=""/>
    <s v=""/>
    <x v="4"/>
    <x v="3"/>
    <x v="7"/>
    <n v="9356.84"/>
    <s v=""/>
    <s v=""/>
    <s v=""/>
    <n v="5"/>
    <s v=""/>
  </r>
  <r>
    <s v="INC867705"/>
    <x v="3"/>
    <s v="System Error"/>
    <x v="2"/>
    <s v="Minor"/>
    <x v="4"/>
    <s v="Compliance"/>
    <x v="30"/>
    <s v=""/>
    <s v=""/>
    <x v="1"/>
    <x v="5"/>
    <x v="3"/>
    <n v="22.46"/>
    <s v=""/>
    <s v=""/>
    <s v=""/>
    <n v="3"/>
    <s v=""/>
  </r>
  <r>
    <s v="INC229754"/>
    <x v="0"/>
    <s v="Integration Failure"/>
    <x v="1"/>
    <s v="Minor"/>
    <x v="3"/>
    <s v="Customer Service"/>
    <x v="31"/>
    <s v=""/>
    <s v=""/>
    <x v="4"/>
    <x v="4"/>
    <x v="1"/>
    <n v="804.99"/>
    <s v=""/>
    <s v=""/>
    <s v=""/>
    <n v="1"/>
    <s v=""/>
  </r>
  <r>
    <s v="INC291206"/>
    <x v="1"/>
    <s v="Data Issue"/>
    <x v="3"/>
    <s v="Critical"/>
    <x v="4"/>
    <s v="Compliance"/>
    <x v="32"/>
    <d v="2024-05-03T00:00:00"/>
    <n v="70"/>
    <x v="3"/>
    <x v="4"/>
    <x v="1"/>
    <n v="13690.4"/>
    <n v="11773.87"/>
    <n v="-1916.53"/>
    <n v="-0.1399907964705194"/>
    <n v="10"/>
    <s v="No"/>
  </r>
  <r>
    <s v="INC238986"/>
    <x v="3"/>
    <s v="Payment Failure"/>
    <x v="2"/>
    <s v="Minor"/>
    <x v="2"/>
    <s v="Billing"/>
    <x v="33"/>
    <s v=""/>
    <s v=""/>
    <x v="0"/>
    <x v="1"/>
    <x v="5"/>
    <n v="1017.71"/>
    <s v=""/>
    <s v=""/>
    <s v=""/>
    <n v="3"/>
    <s v=""/>
  </r>
  <r>
    <s v="INC698222"/>
    <x v="2"/>
    <s v="Payment Failure"/>
    <x v="1"/>
    <s v="Minor"/>
    <x v="4"/>
    <s v="Billing"/>
    <x v="34"/>
    <s v=""/>
    <s v=""/>
    <x v="1"/>
    <x v="2"/>
    <x v="7"/>
    <n v="6773.7"/>
    <s v=""/>
    <s v=""/>
    <s v=""/>
    <n v="1"/>
    <s v=""/>
  </r>
  <r>
    <s v="INC657819"/>
    <x v="2"/>
    <s v="Complaint"/>
    <x v="1"/>
    <s v="Moderate"/>
    <x v="1"/>
    <s v="Compliance"/>
    <x v="35"/>
    <s v=""/>
    <s v=""/>
    <x v="0"/>
    <x v="2"/>
    <x v="1"/>
    <n v="6728.76"/>
    <s v=""/>
    <s v=""/>
    <s v=""/>
    <n v="1"/>
    <s v=""/>
  </r>
  <r>
    <s v="INC836786"/>
    <x v="6"/>
    <s v="User Access Issue"/>
    <x v="3"/>
    <s v="Critical"/>
    <x v="3"/>
    <s v="IT"/>
    <x v="36"/>
    <s v=""/>
    <s v=""/>
    <x v="0"/>
    <x v="2"/>
    <x v="6"/>
    <n v="824.94"/>
    <s v=""/>
    <s v=""/>
    <s v=""/>
    <n v="10"/>
    <s v=""/>
  </r>
  <r>
    <s v="INC417246"/>
    <x v="5"/>
    <s v="Integration Failure"/>
    <x v="1"/>
    <s v="Critical"/>
    <x v="2"/>
    <s v="IT"/>
    <x v="37"/>
    <s v=""/>
    <s v=""/>
    <x v="1"/>
    <x v="4"/>
    <x v="3"/>
    <n v="369.9"/>
    <s v=""/>
    <s v=""/>
    <s v=""/>
    <n v="1"/>
    <s v=""/>
  </r>
  <r>
    <s v="INC312783"/>
    <x v="1"/>
    <s v="Integration Failure"/>
    <x v="0"/>
    <s v="Moderate"/>
    <x v="0"/>
    <s v="Billing"/>
    <x v="38"/>
    <d v="2023-06-27T00:00:00"/>
    <n v="53"/>
    <x v="3"/>
    <x v="4"/>
    <x v="2"/>
    <n v="45.73"/>
    <n v="43.45"/>
    <n v="-2.2799999999999998"/>
    <n v="-4.9857861360157317E-2"/>
    <n v="5"/>
    <s v="No"/>
  </r>
  <r>
    <s v="INC163665"/>
    <x v="3"/>
    <s v="Performance Issue"/>
    <x v="0"/>
    <s v="Moderate"/>
    <x v="1"/>
    <s v="IT"/>
    <x v="39"/>
    <d v="2023-03-23T00:00:00"/>
    <n v="3"/>
    <x v="2"/>
    <x v="1"/>
    <x v="6"/>
    <n v="2.93"/>
    <n v="3.6"/>
    <n v="0.67"/>
    <n v="0.22866894197952214"/>
    <n v="5"/>
    <s v="Yes"/>
  </r>
  <r>
    <s v="INC223773"/>
    <x v="2"/>
    <s v="Processing Delay"/>
    <x v="1"/>
    <s v="Critical"/>
    <x v="3"/>
    <s v="Claims"/>
    <x v="40"/>
    <s v=""/>
    <s v=""/>
    <x v="1"/>
    <x v="1"/>
    <x v="3"/>
    <n v="3661.58"/>
    <s v=""/>
    <s v=""/>
    <s v=""/>
    <n v="1"/>
    <s v=""/>
  </r>
  <r>
    <s v="INC171859"/>
    <x v="5"/>
    <s v="Data Issue"/>
    <x v="0"/>
    <s v="Moderate"/>
    <x v="4"/>
    <s v="IT"/>
    <x v="41"/>
    <s v=""/>
    <s v=""/>
    <x v="0"/>
    <x v="0"/>
    <x v="4"/>
    <n v="8415.09"/>
    <s v=""/>
    <s v=""/>
    <s v=""/>
    <n v="5"/>
    <s v=""/>
  </r>
  <r>
    <s v="INC656117"/>
    <x v="0"/>
    <s v="Processing Delay"/>
    <x v="1"/>
    <s v="Critical"/>
    <x v="1"/>
    <s v="Compliance"/>
    <x v="42"/>
    <s v=""/>
    <s v=""/>
    <x v="1"/>
    <x v="0"/>
    <x v="4"/>
    <n v="10214.86"/>
    <s v=""/>
    <s v=""/>
    <s v=""/>
    <n v="1"/>
    <s v=""/>
  </r>
  <r>
    <s v="INC866280"/>
    <x v="0"/>
    <s v="Processing Delay"/>
    <x v="1"/>
    <s v="Critical"/>
    <x v="3"/>
    <s v="Billing"/>
    <x v="43"/>
    <d v="2023-09-18T00:00:00"/>
    <n v="113"/>
    <x v="3"/>
    <x v="0"/>
    <x v="1"/>
    <n v="1147.44"/>
    <n v="1274.3599999999999"/>
    <n v="126.92"/>
    <n v="0.11061144809314634"/>
    <n v="1"/>
    <s v="No"/>
  </r>
  <r>
    <s v="INC916054"/>
    <x v="5"/>
    <s v="System Error"/>
    <x v="2"/>
    <s v="Critical"/>
    <x v="2"/>
    <s v="Finance"/>
    <x v="44"/>
    <s v=""/>
    <s v=""/>
    <x v="4"/>
    <x v="5"/>
    <x v="1"/>
    <n v="13243.14"/>
    <s v=""/>
    <s v=""/>
    <s v=""/>
    <n v="3"/>
    <s v=""/>
  </r>
  <r>
    <s v="INC534106"/>
    <x v="0"/>
    <s v="Data Issue"/>
    <x v="0"/>
    <s v="Minor"/>
    <x v="3"/>
    <s v="Billing"/>
    <x v="30"/>
    <d v="2023-08-20T00:00:00"/>
    <n v="76"/>
    <x v="3"/>
    <x v="2"/>
    <x v="7"/>
    <n v="834.18"/>
    <n v="976.63"/>
    <n v="142.44999999999999"/>
    <n v="0.17076650123474557"/>
    <n v="5"/>
    <s v="No"/>
  </r>
  <r>
    <s v="INC109024"/>
    <x v="0"/>
    <s v="System Error"/>
    <x v="3"/>
    <s v="Moderate"/>
    <x v="2"/>
    <s v="Finance"/>
    <x v="45"/>
    <s v=""/>
    <s v=""/>
    <x v="0"/>
    <x v="0"/>
    <x v="6"/>
    <n v="728.16"/>
    <s v=""/>
    <s v=""/>
    <s v=""/>
    <n v="10"/>
    <s v=""/>
  </r>
  <r>
    <s v="INC654085"/>
    <x v="5"/>
    <s v="User Access Issue"/>
    <x v="1"/>
    <s v="Critical"/>
    <x v="3"/>
    <s v="Compliance"/>
    <x v="46"/>
    <s v=""/>
    <s v=""/>
    <x v="1"/>
    <x v="3"/>
    <x v="3"/>
    <n v="0.28999999999999998"/>
    <s v=""/>
    <s v=""/>
    <s v=""/>
    <n v="1"/>
    <s v=""/>
  </r>
  <r>
    <s v="INC121380"/>
    <x v="0"/>
    <s v="Data Issue"/>
    <x v="3"/>
    <s v="Major"/>
    <x v="0"/>
    <s v="Finance"/>
    <x v="27"/>
    <s v=""/>
    <s v=""/>
    <x v="0"/>
    <x v="3"/>
    <x v="6"/>
    <n v="18396.09"/>
    <s v=""/>
    <s v=""/>
    <s v=""/>
    <n v="10"/>
    <s v=""/>
  </r>
  <r>
    <s v="INC666711"/>
    <x v="0"/>
    <s v="System Error"/>
    <x v="3"/>
    <s v="Minor"/>
    <x v="1"/>
    <s v="Billing"/>
    <x v="47"/>
    <d v="2023-10-25T00:00:00"/>
    <n v="66"/>
    <x v="3"/>
    <x v="3"/>
    <x v="3"/>
    <n v="28.85"/>
    <n v="25.53"/>
    <n v="-3.32"/>
    <n v="-0.11507798960138649"/>
    <n v="10"/>
    <s v="No"/>
  </r>
  <r>
    <s v="INC907984"/>
    <x v="2"/>
    <s v="User Access Issue"/>
    <x v="3"/>
    <s v="Major"/>
    <x v="2"/>
    <s v="IT"/>
    <x v="48"/>
    <d v="2023-11-09T00:00:00"/>
    <n v="109"/>
    <x v="3"/>
    <x v="1"/>
    <x v="6"/>
    <n v="86.59"/>
    <n v="103.15"/>
    <n v="16.559999999999999"/>
    <n v="0.19124610232128422"/>
    <n v="10"/>
    <s v="No"/>
  </r>
  <r>
    <s v="INC108502"/>
    <x v="2"/>
    <s v="Integration Failure"/>
    <x v="0"/>
    <s v="Critical"/>
    <x v="3"/>
    <s v="Finance"/>
    <x v="49"/>
    <d v="2023-03-27T00:00:00"/>
    <n v="59"/>
    <x v="3"/>
    <x v="5"/>
    <x v="6"/>
    <n v="12536.03"/>
    <n v="14668.15"/>
    <n v="2132.12"/>
    <n v="0.17007936324338718"/>
    <n v="5"/>
    <s v="No"/>
  </r>
  <r>
    <s v="INC602553"/>
    <x v="0"/>
    <s v="Integration Failure"/>
    <x v="1"/>
    <s v="Critical"/>
    <x v="3"/>
    <s v="Claims"/>
    <x v="50"/>
    <s v=""/>
    <s v=""/>
    <x v="1"/>
    <x v="0"/>
    <x v="2"/>
    <n v="45.16"/>
    <s v=""/>
    <s v=""/>
    <s v=""/>
    <n v="1"/>
    <s v=""/>
  </r>
  <r>
    <s v="INC312805"/>
    <x v="3"/>
    <s v="System Error"/>
    <x v="1"/>
    <s v="Minor"/>
    <x v="0"/>
    <s v="Customer Service"/>
    <x v="51"/>
    <d v="2023-04-16T00:00:00"/>
    <n v="5"/>
    <x v="3"/>
    <x v="1"/>
    <x v="2"/>
    <n v="2036.15"/>
    <n v="1813.03"/>
    <n v="-223.12"/>
    <n v="-0.10957935319107144"/>
    <n v="1"/>
    <s v="No"/>
  </r>
  <r>
    <s v="INC589160"/>
    <x v="2"/>
    <s v="User Access Issue"/>
    <x v="2"/>
    <s v="Moderate"/>
    <x v="4"/>
    <s v="Compliance"/>
    <x v="52"/>
    <d v="2023-09-26T00:00:00"/>
    <n v="87"/>
    <x v="3"/>
    <x v="4"/>
    <x v="2"/>
    <n v="40.15"/>
    <n v="38.6"/>
    <n v="-1.55"/>
    <n v="-3.8605230386052236E-2"/>
    <n v="3"/>
    <s v="No"/>
  </r>
  <r>
    <s v="INC429053"/>
    <x v="3"/>
    <s v="Payment Failure"/>
    <x v="3"/>
    <s v="Major"/>
    <x v="2"/>
    <s v="IT"/>
    <x v="53"/>
    <s v=""/>
    <s v=""/>
    <x v="1"/>
    <x v="4"/>
    <x v="4"/>
    <n v="32683.84"/>
    <s v=""/>
    <s v=""/>
    <s v=""/>
    <n v="10"/>
    <s v=""/>
  </r>
  <r>
    <s v="INC851494"/>
    <x v="3"/>
    <s v="Payment Failure"/>
    <x v="1"/>
    <s v="Critical"/>
    <x v="4"/>
    <s v="Compliance"/>
    <x v="54"/>
    <s v=""/>
    <s v=""/>
    <x v="4"/>
    <x v="3"/>
    <x v="5"/>
    <n v="11070.68"/>
    <s v=""/>
    <s v=""/>
    <s v=""/>
    <n v="1"/>
    <s v=""/>
  </r>
  <r>
    <s v="INC123984"/>
    <x v="1"/>
    <s v="User Access Issue"/>
    <x v="3"/>
    <s v="Minor"/>
    <x v="4"/>
    <s v="Finance"/>
    <x v="55"/>
    <d v="2024-05-20T00:00:00"/>
    <n v="86"/>
    <x v="3"/>
    <x v="1"/>
    <x v="3"/>
    <n v="1287.1500000000001"/>
    <n v="1352.43"/>
    <n v="65.28"/>
    <n v="5.0716699685351335E-2"/>
    <n v="10"/>
    <s v="No"/>
  </r>
  <r>
    <s v="INC950669"/>
    <x v="6"/>
    <s v="Processing Delay"/>
    <x v="1"/>
    <s v="Major"/>
    <x v="0"/>
    <s v="Customer Service"/>
    <x v="56"/>
    <d v="2024-05-20T00:00:00"/>
    <n v="18"/>
    <x v="2"/>
    <x v="4"/>
    <x v="2"/>
    <n v="0.88"/>
    <n v="1.53"/>
    <n v="0.65"/>
    <n v="0.73863636363636365"/>
    <n v="1"/>
    <s v="No"/>
  </r>
  <r>
    <s v="INC578714"/>
    <x v="2"/>
    <s v="User Access Issue"/>
    <x v="0"/>
    <s v="Major"/>
    <x v="1"/>
    <s v="Claims"/>
    <x v="57"/>
    <s v=""/>
    <s v=""/>
    <x v="0"/>
    <x v="0"/>
    <x v="1"/>
    <n v="96.67"/>
    <s v=""/>
    <s v=""/>
    <s v=""/>
    <n v="5"/>
    <s v=""/>
  </r>
  <r>
    <s v="INC218724"/>
    <x v="6"/>
    <s v="Processing Delay"/>
    <x v="2"/>
    <s v="Critical"/>
    <x v="0"/>
    <s v="Customer Service"/>
    <x v="58"/>
    <s v=""/>
    <s v=""/>
    <x v="0"/>
    <x v="5"/>
    <x v="0"/>
    <n v="428.35"/>
    <s v=""/>
    <s v=""/>
    <s v=""/>
    <n v="3"/>
    <s v=""/>
  </r>
  <r>
    <s v="INC591308"/>
    <x v="6"/>
    <s v="Integration Failure"/>
    <x v="1"/>
    <s v="Minor"/>
    <x v="3"/>
    <s v="Compliance"/>
    <x v="59"/>
    <d v="2023-12-22T00:00:00"/>
    <n v="67"/>
    <x v="2"/>
    <x v="1"/>
    <x v="5"/>
    <n v="10933.48"/>
    <n v="11590.2"/>
    <n v="656.72"/>
    <n v="6.0065047907894027E-2"/>
    <n v="1"/>
    <s v="No"/>
  </r>
  <r>
    <s v="INC253482"/>
    <x v="5"/>
    <s v="User Access Issue"/>
    <x v="1"/>
    <s v="Moderate"/>
    <x v="0"/>
    <s v="Customer Service"/>
    <x v="37"/>
    <d v="2023-06-19T00:00:00"/>
    <n v="79"/>
    <x v="2"/>
    <x v="3"/>
    <x v="0"/>
    <n v="285.5"/>
    <n v="269.01"/>
    <n v="-16.489999999999998"/>
    <n v="-5.7758318739054321E-2"/>
    <n v="1"/>
    <s v="No"/>
  </r>
  <r>
    <s v="INC133427"/>
    <x v="3"/>
    <s v="Payment Failure"/>
    <x v="0"/>
    <s v="Moderate"/>
    <x v="3"/>
    <s v="Customer Service"/>
    <x v="55"/>
    <d v="2024-03-15T00:00:00"/>
    <n v="20"/>
    <x v="3"/>
    <x v="5"/>
    <x v="3"/>
    <n v="14676.86"/>
    <n v="17318.91"/>
    <n v="2642.05"/>
    <n v="0.18001466253680959"/>
    <n v="5"/>
    <s v="No"/>
  </r>
  <r>
    <s v="INC351000"/>
    <x v="0"/>
    <s v="Payment Failure"/>
    <x v="0"/>
    <s v="Moderate"/>
    <x v="1"/>
    <s v="Customer Service"/>
    <x v="60"/>
    <s v=""/>
    <s v=""/>
    <x v="1"/>
    <x v="2"/>
    <x v="5"/>
    <n v="382.55"/>
    <s v=""/>
    <s v=""/>
    <s v=""/>
    <n v="5"/>
    <s v=""/>
  </r>
  <r>
    <s v="INC839539"/>
    <x v="3"/>
    <s v="Performance Issue"/>
    <x v="0"/>
    <s v="Major"/>
    <x v="3"/>
    <s v="Claims"/>
    <x v="61"/>
    <s v=""/>
    <s v=""/>
    <x v="1"/>
    <x v="0"/>
    <x v="2"/>
    <n v="6099.25"/>
    <s v=""/>
    <s v=""/>
    <s v=""/>
    <n v="5"/>
    <s v=""/>
  </r>
  <r>
    <s v="INC172015"/>
    <x v="1"/>
    <s v="Data Issue"/>
    <x v="0"/>
    <s v="Critical"/>
    <x v="1"/>
    <s v="IT"/>
    <x v="42"/>
    <d v="2023-05-15T00:00:00"/>
    <n v="17"/>
    <x v="3"/>
    <x v="1"/>
    <x v="2"/>
    <n v="5298.83"/>
    <n v="5034.45"/>
    <n v="-264.38"/>
    <n v="-4.9894033211105117E-2"/>
    <n v="5"/>
    <s v="No"/>
  </r>
  <r>
    <s v="INC505558"/>
    <x v="6"/>
    <s v="Data Issue"/>
    <x v="1"/>
    <s v="Minor"/>
    <x v="3"/>
    <s v="IT"/>
    <x v="62"/>
    <s v=""/>
    <s v=""/>
    <x v="0"/>
    <x v="5"/>
    <x v="7"/>
    <n v="8599.19"/>
    <s v=""/>
    <s v=""/>
    <s v=""/>
    <n v="1"/>
    <s v=""/>
  </r>
  <r>
    <s v="INC696552"/>
    <x v="6"/>
    <s v="Data Issue"/>
    <x v="0"/>
    <s v="Critical"/>
    <x v="4"/>
    <s v="Compliance"/>
    <x v="63"/>
    <s v=""/>
    <s v=""/>
    <x v="1"/>
    <x v="0"/>
    <x v="6"/>
    <n v="16135.26"/>
    <s v=""/>
    <s v=""/>
    <s v=""/>
    <n v="5"/>
    <s v=""/>
  </r>
  <r>
    <s v="INC106991"/>
    <x v="2"/>
    <s v="Data Issue"/>
    <x v="1"/>
    <s v="Moderate"/>
    <x v="2"/>
    <s v="Customer Service"/>
    <x v="64"/>
    <s v=""/>
    <s v=""/>
    <x v="1"/>
    <x v="0"/>
    <x v="4"/>
    <n v="8823.01"/>
    <s v=""/>
    <s v=""/>
    <s v=""/>
    <n v="1"/>
    <s v=""/>
  </r>
  <r>
    <s v="INC264300"/>
    <x v="2"/>
    <s v="Integration Failure"/>
    <x v="3"/>
    <s v="Moderate"/>
    <x v="3"/>
    <s v="IT"/>
    <x v="65"/>
    <s v=""/>
    <s v=""/>
    <x v="4"/>
    <x v="2"/>
    <x v="1"/>
    <n v="1844.08"/>
    <s v=""/>
    <s v=""/>
    <s v=""/>
    <n v="10"/>
    <s v=""/>
  </r>
  <r>
    <s v="INC628068"/>
    <x v="0"/>
    <s v="Processing Delay"/>
    <x v="3"/>
    <s v="Moderate"/>
    <x v="4"/>
    <s v="Billing"/>
    <x v="66"/>
    <d v="2023-04-16T00:00:00"/>
    <n v="40"/>
    <x v="2"/>
    <x v="2"/>
    <x v="5"/>
    <n v="16.350000000000001"/>
    <n v="16.989999999999998"/>
    <n v="0.64"/>
    <n v="3.914373088684997E-2"/>
    <n v="10"/>
    <s v="No"/>
  </r>
  <r>
    <s v="INC941709"/>
    <x v="6"/>
    <s v="Performance Issue"/>
    <x v="1"/>
    <s v="Moderate"/>
    <x v="0"/>
    <s v="Claims"/>
    <x v="67"/>
    <s v=""/>
    <s v=""/>
    <x v="1"/>
    <x v="0"/>
    <x v="2"/>
    <n v="2294.25"/>
    <s v=""/>
    <s v=""/>
    <s v=""/>
    <n v="1"/>
    <s v=""/>
  </r>
  <r>
    <s v="INC360337"/>
    <x v="1"/>
    <s v="Processing Delay"/>
    <x v="2"/>
    <s v="Moderate"/>
    <x v="2"/>
    <s v="IT"/>
    <x v="17"/>
    <d v="2023-08-29T00:00:00"/>
    <n v="21"/>
    <x v="2"/>
    <x v="3"/>
    <x v="3"/>
    <n v="851.71"/>
    <n v="869.38"/>
    <n v="17.670000000000002"/>
    <n v="2.0746498221225484E-2"/>
    <n v="3"/>
    <s v="No"/>
  </r>
  <r>
    <s v="INC791090"/>
    <x v="5"/>
    <s v="System Error"/>
    <x v="0"/>
    <s v="Major"/>
    <x v="3"/>
    <s v="IT"/>
    <x v="68"/>
    <s v=""/>
    <s v=""/>
    <x v="0"/>
    <x v="2"/>
    <x v="4"/>
    <n v="45.75"/>
    <s v=""/>
    <s v=""/>
    <s v=""/>
    <n v="5"/>
    <s v=""/>
  </r>
  <r>
    <s v="INC401733"/>
    <x v="4"/>
    <s v="Complaint"/>
    <x v="3"/>
    <s v="Minor"/>
    <x v="4"/>
    <s v="Billing"/>
    <x v="69"/>
    <d v="2024-01-17T00:00:00"/>
    <n v="62"/>
    <x v="3"/>
    <x v="1"/>
    <x v="5"/>
    <n v="3856.71"/>
    <n v="3972.64"/>
    <n v="115.93"/>
    <n v="3.0059299247285856E-2"/>
    <n v="10"/>
    <s v="No"/>
  </r>
  <r>
    <s v="INC562462"/>
    <x v="4"/>
    <s v="Data Issue"/>
    <x v="0"/>
    <s v="Major"/>
    <x v="2"/>
    <s v="Customer Service"/>
    <x v="70"/>
    <d v="2024-04-21T00:00:00"/>
    <n v="114"/>
    <x v="2"/>
    <x v="3"/>
    <x v="6"/>
    <n v="642.94000000000005"/>
    <n v="784.84"/>
    <n v="141.9"/>
    <n v="0.22070488692568507"/>
    <n v="5"/>
    <s v="No"/>
  </r>
  <r>
    <s v="INC156411"/>
    <x v="2"/>
    <s v="Performance Issue"/>
    <x v="2"/>
    <s v="Critical"/>
    <x v="2"/>
    <s v="IT"/>
    <x v="71"/>
    <d v="2024-02-21T00:00:00"/>
    <n v="61"/>
    <x v="2"/>
    <x v="1"/>
    <x v="7"/>
    <n v="3034.09"/>
    <n v="3762.53"/>
    <n v="728.44"/>
    <n v="0.24008516556858894"/>
    <n v="3"/>
    <s v="No"/>
  </r>
  <r>
    <s v="INC141475"/>
    <x v="1"/>
    <s v="Data Issue"/>
    <x v="1"/>
    <s v="Major"/>
    <x v="3"/>
    <s v="IT"/>
    <x v="72"/>
    <s v=""/>
    <s v=""/>
    <x v="1"/>
    <x v="2"/>
    <x v="3"/>
    <n v="22762.28"/>
    <s v=""/>
    <s v=""/>
    <s v=""/>
    <n v="1"/>
    <s v=""/>
  </r>
  <r>
    <s v="INC179426"/>
    <x v="0"/>
    <s v="User Access Issue"/>
    <x v="2"/>
    <s v="Critical"/>
    <x v="0"/>
    <s v="Billing"/>
    <x v="73"/>
    <s v=""/>
    <s v=""/>
    <x v="0"/>
    <x v="2"/>
    <x v="4"/>
    <n v="3206.33"/>
    <s v=""/>
    <s v=""/>
    <s v=""/>
    <n v="3"/>
    <s v=""/>
  </r>
  <r>
    <s v="INC842849"/>
    <x v="0"/>
    <s v="Data Issue"/>
    <x v="1"/>
    <s v="Major"/>
    <x v="3"/>
    <s v="Billing"/>
    <x v="74"/>
    <d v="2024-04-25T00:00:00"/>
    <n v="14"/>
    <x v="3"/>
    <x v="4"/>
    <x v="2"/>
    <n v="16.260000000000002"/>
    <n v="14.37"/>
    <n v="-1.89"/>
    <n v="-0.11623616236162375"/>
    <n v="1"/>
    <s v="No"/>
  </r>
  <r>
    <s v="INC601598"/>
    <x v="2"/>
    <s v="System Error"/>
    <x v="0"/>
    <s v="Minor"/>
    <x v="4"/>
    <s v="Claims"/>
    <x v="75"/>
    <s v=""/>
    <s v=""/>
    <x v="4"/>
    <x v="2"/>
    <x v="5"/>
    <n v="27149.01"/>
    <s v=""/>
    <s v=""/>
    <s v=""/>
    <n v="5"/>
    <s v=""/>
  </r>
  <r>
    <s v="INC897621"/>
    <x v="0"/>
    <s v="Processing Delay"/>
    <x v="1"/>
    <s v="Moderate"/>
    <x v="2"/>
    <s v="IT"/>
    <x v="29"/>
    <s v=""/>
    <s v=""/>
    <x v="4"/>
    <x v="2"/>
    <x v="0"/>
    <n v="1053.4000000000001"/>
    <s v=""/>
    <s v=""/>
    <s v=""/>
    <n v="1"/>
    <s v=""/>
  </r>
  <r>
    <s v="INC317570"/>
    <x v="5"/>
    <s v="System Error"/>
    <x v="2"/>
    <s v="Major"/>
    <x v="0"/>
    <s v="Claims"/>
    <x v="76"/>
    <d v="2024-04-22T00:00:00"/>
    <n v="96"/>
    <x v="3"/>
    <x v="4"/>
    <x v="6"/>
    <n v="17729.43"/>
    <n v="19857.36"/>
    <n v="2127.9299999999998"/>
    <n v="0.12002247111159244"/>
    <n v="3"/>
    <s v="No"/>
  </r>
  <r>
    <s v="INC478508"/>
    <x v="4"/>
    <s v="System Error"/>
    <x v="3"/>
    <s v="Moderate"/>
    <x v="3"/>
    <s v="Compliance"/>
    <x v="77"/>
    <s v=""/>
    <s v=""/>
    <x v="0"/>
    <x v="5"/>
    <x v="7"/>
    <n v="6743.6"/>
    <s v=""/>
    <s v=""/>
    <s v=""/>
    <n v="10"/>
    <s v=""/>
  </r>
  <r>
    <s v="INC558881"/>
    <x v="0"/>
    <s v="System Error"/>
    <x v="2"/>
    <s v="Critical"/>
    <x v="2"/>
    <s v="Billing"/>
    <x v="78"/>
    <s v=""/>
    <s v=""/>
    <x v="0"/>
    <x v="3"/>
    <x v="3"/>
    <n v="1061.17"/>
    <s v=""/>
    <s v=""/>
    <s v=""/>
    <n v="3"/>
    <s v=""/>
  </r>
  <r>
    <s v="INC167365"/>
    <x v="2"/>
    <s v="System Error"/>
    <x v="0"/>
    <s v="Critical"/>
    <x v="3"/>
    <s v="Compliance"/>
    <x v="79"/>
    <d v="2023-08-25T00:00:00"/>
    <n v="10"/>
    <x v="3"/>
    <x v="5"/>
    <x v="7"/>
    <n v="0.01"/>
    <n v="0.95"/>
    <n v="0.94"/>
    <n v="93.999999999999986"/>
    <n v="5"/>
    <s v="No"/>
  </r>
  <r>
    <s v="INC590892"/>
    <x v="6"/>
    <s v="Complaint"/>
    <x v="2"/>
    <s v="Moderate"/>
    <x v="4"/>
    <s v="Finance"/>
    <x v="80"/>
    <s v=""/>
    <s v=""/>
    <x v="4"/>
    <x v="3"/>
    <x v="4"/>
    <n v="10569.72"/>
    <s v=""/>
    <s v=""/>
    <s v=""/>
    <n v="3"/>
    <s v=""/>
  </r>
  <r>
    <s v="INC947508"/>
    <x v="5"/>
    <s v="User Access Issue"/>
    <x v="0"/>
    <s v="Critical"/>
    <x v="2"/>
    <s v="Compliance"/>
    <x v="81"/>
    <d v="2023-08-13T00:00:00"/>
    <n v="112"/>
    <x v="2"/>
    <x v="1"/>
    <x v="1"/>
    <n v="0.08"/>
    <n v="0.47"/>
    <n v="0.39"/>
    <n v="4.8749999999999991"/>
    <n v="5"/>
    <s v="No"/>
  </r>
  <r>
    <s v="INC803684"/>
    <x v="5"/>
    <s v="Data Issue"/>
    <x v="0"/>
    <s v="Major"/>
    <x v="2"/>
    <s v="Billing"/>
    <x v="82"/>
    <s v=""/>
    <s v=""/>
    <x v="4"/>
    <x v="0"/>
    <x v="1"/>
    <n v="4.17"/>
    <s v=""/>
    <s v=""/>
    <s v=""/>
    <n v="5"/>
    <s v=""/>
  </r>
  <r>
    <s v="INC405111"/>
    <x v="6"/>
    <s v="System Error"/>
    <x v="2"/>
    <s v="Critical"/>
    <x v="2"/>
    <s v="Claims"/>
    <x v="83"/>
    <s v=""/>
    <s v=""/>
    <x v="1"/>
    <x v="4"/>
    <x v="6"/>
    <n v="2044.6"/>
    <s v=""/>
    <s v=""/>
    <s v=""/>
    <n v="3"/>
    <s v=""/>
  </r>
  <r>
    <s v="INC141421"/>
    <x v="6"/>
    <s v="Complaint"/>
    <x v="3"/>
    <s v="Minor"/>
    <x v="4"/>
    <s v="Finance"/>
    <x v="84"/>
    <s v=""/>
    <s v=""/>
    <x v="1"/>
    <x v="3"/>
    <x v="7"/>
    <n v="0.28000000000000003"/>
    <s v=""/>
    <s v=""/>
    <s v=""/>
    <n v="10"/>
    <s v=""/>
  </r>
  <r>
    <s v="INC526010"/>
    <x v="0"/>
    <s v="Performance Issue"/>
    <x v="3"/>
    <s v="Major"/>
    <x v="1"/>
    <s v="Claims"/>
    <x v="29"/>
    <s v=""/>
    <s v=""/>
    <x v="4"/>
    <x v="3"/>
    <x v="4"/>
    <n v="607.58000000000004"/>
    <s v=""/>
    <s v=""/>
    <s v=""/>
    <n v="10"/>
    <s v=""/>
  </r>
  <r>
    <s v="INC538491"/>
    <x v="3"/>
    <s v="User Access Issue"/>
    <x v="3"/>
    <s v="Critical"/>
    <x v="2"/>
    <s v="IT"/>
    <x v="85"/>
    <s v=""/>
    <s v=""/>
    <x v="4"/>
    <x v="4"/>
    <x v="2"/>
    <n v="1318.36"/>
    <s v=""/>
    <s v=""/>
    <s v=""/>
    <n v="10"/>
    <s v=""/>
  </r>
  <r>
    <s v="INC304433"/>
    <x v="0"/>
    <s v="Performance Issue"/>
    <x v="1"/>
    <s v="Critical"/>
    <x v="3"/>
    <s v="Billing"/>
    <x v="86"/>
    <s v=""/>
    <s v=""/>
    <x v="0"/>
    <x v="3"/>
    <x v="6"/>
    <n v="9289.15"/>
    <s v=""/>
    <s v=""/>
    <s v=""/>
    <n v="1"/>
    <s v=""/>
  </r>
  <r>
    <s v="INC356732"/>
    <x v="4"/>
    <s v="Integration Failure"/>
    <x v="0"/>
    <s v="Minor"/>
    <x v="3"/>
    <s v="Finance"/>
    <x v="54"/>
    <d v="2024-03-06T00:00:00"/>
    <n v="3"/>
    <x v="2"/>
    <x v="4"/>
    <x v="3"/>
    <n v="4259.84"/>
    <n v="5325.11"/>
    <n v="1065.27"/>
    <n v="0.25007277268629796"/>
    <n v="5"/>
    <s v="Yes"/>
  </r>
  <r>
    <s v="INC951386"/>
    <x v="2"/>
    <s v="User Access Issue"/>
    <x v="1"/>
    <s v="Major"/>
    <x v="2"/>
    <s v="Finance"/>
    <x v="87"/>
    <s v=""/>
    <s v=""/>
    <x v="0"/>
    <x v="5"/>
    <x v="3"/>
    <n v="353.49"/>
    <s v=""/>
    <s v=""/>
    <s v=""/>
    <n v="1"/>
    <s v=""/>
  </r>
  <r>
    <s v="INC950439"/>
    <x v="3"/>
    <s v="User Access Issue"/>
    <x v="0"/>
    <s v="Moderate"/>
    <x v="3"/>
    <s v="Customer Service"/>
    <x v="88"/>
    <d v="2024-05-07T00:00:00"/>
    <n v="114"/>
    <x v="2"/>
    <x v="4"/>
    <x v="6"/>
    <n v="1.29"/>
    <n v="1.65"/>
    <n v="0.36"/>
    <n v="0.27906976744186035"/>
    <n v="5"/>
    <s v="No"/>
  </r>
  <r>
    <s v="INC322507"/>
    <x v="2"/>
    <s v="Data Issue"/>
    <x v="2"/>
    <s v="Moderate"/>
    <x v="2"/>
    <s v="IT"/>
    <x v="89"/>
    <s v=""/>
    <s v=""/>
    <x v="0"/>
    <x v="0"/>
    <x v="1"/>
    <n v="867.9"/>
    <s v=""/>
    <s v=""/>
    <s v=""/>
    <n v="3"/>
    <s v=""/>
  </r>
  <r>
    <s v="INC171474"/>
    <x v="1"/>
    <s v="Integration Failure"/>
    <x v="1"/>
    <s v="Moderate"/>
    <x v="1"/>
    <s v="IT"/>
    <x v="90"/>
    <d v="2023-02-01T00:00:00"/>
    <n v="29"/>
    <x v="3"/>
    <x v="0"/>
    <x v="6"/>
    <n v="49.81"/>
    <n v="45.64"/>
    <n v="-4.17"/>
    <n v="-8.3718128889781196E-2"/>
    <n v="1"/>
    <s v="No"/>
  </r>
  <r>
    <s v="INC587311"/>
    <x v="3"/>
    <s v="Performance Issue"/>
    <x v="1"/>
    <s v="Minor"/>
    <x v="4"/>
    <s v="Compliance"/>
    <x v="91"/>
    <s v=""/>
    <s v=""/>
    <x v="0"/>
    <x v="3"/>
    <x v="1"/>
    <n v="969.14"/>
    <s v=""/>
    <s v=""/>
    <s v=""/>
    <n v="1"/>
    <s v=""/>
  </r>
  <r>
    <s v="INC202766"/>
    <x v="2"/>
    <s v="User Access Issue"/>
    <x v="0"/>
    <s v="Major"/>
    <x v="2"/>
    <s v="Claims"/>
    <x v="92"/>
    <s v=""/>
    <s v=""/>
    <x v="0"/>
    <x v="0"/>
    <x v="0"/>
    <n v="2104.09"/>
    <s v=""/>
    <s v=""/>
    <s v=""/>
    <n v="5"/>
    <s v=""/>
  </r>
  <r>
    <s v="INC874403"/>
    <x v="5"/>
    <s v="Performance Issue"/>
    <x v="0"/>
    <s v="Critical"/>
    <x v="0"/>
    <s v="IT"/>
    <x v="93"/>
    <d v="2024-04-03T00:00:00"/>
    <n v="17"/>
    <x v="3"/>
    <x v="0"/>
    <x v="1"/>
    <n v="2639.27"/>
    <n v="2376.08"/>
    <n v="-263.19"/>
    <n v="-9.9720756118169065E-2"/>
    <n v="5"/>
    <s v="No"/>
  </r>
  <r>
    <s v="INC598221"/>
    <x v="0"/>
    <s v="Payment Failure"/>
    <x v="3"/>
    <s v="Major"/>
    <x v="0"/>
    <s v="Finance"/>
    <x v="94"/>
    <s v=""/>
    <s v=""/>
    <x v="1"/>
    <x v="2"/>
    <x v="2"/>
    <n v="7386.69"/>
    <s v=""/>
    <s v=""/>
    <s v=""/>
    <n v="10"/>
    <s v=""/>
  </r>
  <r>
    <s v="INC987414"/>
    <x v="6"/>
    <s v="Integration Failure"/>
    <x v="2"/>
    <s v="Critical"/>
    <x v="3"/>
    <s v="Claims"/>
    <x v="95"/>
    <s v=""/>
    <s v=""/>
    <x v="1"/>
    <x v="4"/>
    <x v="1"/>
    <n v="6.97"/>
    <s v=""/>
    <s v=""/>
    <s v=""/>
    <n v="3"/>
    <s v=""/>
  </r>
  <r>
    <s v="INC560628"/>
    <x v="1"/>
    <s v="System Error"/>
    <x v="3"/>
    <s v="Moderate"/>
    <x v="3"/>
    <s v="Compliance"/>
    <x v="96"/>
    <d v="2024-08-16T00:00:00"/>
    <n v="78"/>
    <x v="2"/>
    <x v="1"/>
    <x v="5"/>
    <n v="41.02"/>
    <n v="40.590000000000003"/>
    <n v="-0.43"/>
    <n v="-1.0482691370063376E-2"/>
    <n v="10"/>
    <s v="No"/>
  </r>
  <r>
    <s v="INC385069"/>
    <x v="3"/>
    <s v="Processing Delay"/>
    <x v="1"/>
    <s v="Critical"/>
    <x v="2"/>
    <s v="Billing"/>
    <x v="97"/>
    <d v="2023-06-04T00:00:00"/>
    <n v="106"/>
    <x v="3"/>
    <x v="5"/>
    <x v="1"/>
    <n v="552.14"/>
    <n v="530.78"/>
    <n v="-21.36"/>
    <n v="-3.8685840547687207E-2"/>
    <n v="1"/>
    <s v="No"/>
  </r>
  <r>
    <s v="INC628633"/>
    <x v="6"/>
    <s v="Performance Issue"/>
    <x v="1"/>
    <s v="Major"/>
    <x v="2"/>
    <s v="Finance"/>
    <x v="98"/>
    <s v=""/>
    <s v=""/>
    <x v="4"/>
    <x v="4"/>
    <x v="2"/>
    <n v="161.35"/>
    <s v=""/>
    <s v=""/>
    <s v=""/>
    <n v="1"/>
    <s v=""/>
  </r>
  <r>
    <s v="INC251195"/>
    <x v="2"/>
    <s v="Integration Failure"/>
    <x v="0"/>
    <s v="Minor"/>
    <x v="1"/>
    <s v="Billing"/>
    <x v="99"/>
    <s v=""/>
    <s v=""/>
    <x v="1"/>
    <x v="5"/>
    <x v="7"/>
    <n v="8939.2800000000007"/>
    <s v=""/>
    <s v=""/>
    <s v=""/>
    <n v="5"/>
    <s v=""/>
  </r>
  <r>
    <s v="INC894083"/>
    <x v="4"/>
    <s v="User Access Issue"/>
    <x v="2"/>
    <s v="Moderate"/>
    <x v="2"/>
    <s v="Claims"/>
    <x v="44"/>
    <d v="2023-05-22T00:00:00"/>
    <n v="40"/>
    <x v="2"/>
    <x v="0"/>
    <x v="0"/>
    <n v="13929.73"/>
    <n v="14208.38"/>
    <n v="278.64999999999998"/>
    <n v="2.0003977105083851E-2"/>
    <n v="3"/>
    <s v="No"/>
  </r>
  <r>
    <s v="INC624757"/>
    <x v="0"/>
    <s v="Processing Delay"/>
    <x v="1"/>
    <s v="Minor"/>
    <x v="4"/>
    <s v="Customer Service"/>
    <x v="100"/>
    <s v=""/>
    <s v=""/>
    <x v="4"/>
    <x v="4"/>
    <x v="4"/>
    <n v="16195.3"/>
    <s v=""/>
    <s v=""/>
    <s v=""/>
    <n v="1"/>
    <s v=""/>
  </r>
  <r>
    <s v="INC382104"/>
    <x v="2"/>
    <s v="User Access Issue"/>
    <x v="3"/>
    <s v="Minor"/>
    <x v="4"/>
    <s v="IT"/>
    <x v="101"/>
    <d v="2024-06-27T00:00:00"/>
    <n v="64"/>
    <x v="3"/>
    <x v="4"/>
    <x v="6"/>
    <n v="12.28"/>
    <n v="12.84"/>
    <n v="0.56000000000000005"/>
    <n v="4.5602605863192223E-2"/>
    <n v="10"/>
    <s v="No"/>
  </r>
  <r>
    <s v="INC954501"/>
    <x v="3"/>
    <s v="Data Issue"/>
    <x v="1"/>
    <s v="Moderate"/>
    <x v="0"/>
    <s v="Billing"/>
    <x v="6"/>
    <d v="2024-05-06T00:00:00"/>
    <n v="88"/>
    <x v="2"/>
    <x v="1"/>
    <x v="4"/>
    <n v="527.76"/>
    <n v="586.21"/>
    <n v="58.45"/>
    <n v="0.11075109898438693"/>
    <n v="1"/>
    <s v="No"/>
  </r>
  <r>
    <s v="INC391866"/>
    <x v="1"/>
    <s v="Processing Delay"/>
    <x v="3"/>
    <s v="Minor"/>
    <x v="1"/>
    <s v="Compliance"/>
    <x v="102"/>
    <d v="2023-07-22T00:00:00"/>
    <n v="43"/>
    <x v="2"/>
    <x v="3"/>
    <x v="7"/>
    <n v="5940.04"/>
    <n v="5584.3"/>
    <n v="-355.74"/>
    <n v="-5.9888485599423537E-2"/>
    <n v="10"/>
    <s v="No"/>
  </r>
  <r>
    <s v="INC301147"/>
    <x v="1"/>
    <s v="Processing Delay"/>
    <x v="0"/>
    <s v="Minor"/>
    <x v="4"/>
    <s v="Customer Service"/>
    <x v="36"/>
    <d v="2024-09-23T00:00:00"/>
    <n v="118"/>
    <x v="3"/>
    <x v="0"/>
    <x v="4"/>
    <n v="28.92"/>
    <n v="31.5"/>
    <n v="2.58"/>
    <n v="8.9211618257261344E-2"/>
    <n v="5"/>
    <s v="No"/>
  </r>
  <r>
    <s v="INC712263"/>
    <x v="1"/>
    <s v="System Error"/>
    <x v="0"/>
    <s v="Minor"/>
    <x v="4"/>
    <s v="IT"/>
    <x v="103"/>
    <s v=""/>
    <s v=""/>
    <x v="0"/>
    <x v="4"/>
    <x v="7"/>
    <n v="487.82"/>
    <s v=""/>
    <s v=""/>
    <s v=""/>
    <n v="5"/>
    <s v=""/>
  </r>
  <r>
    <s v="INC926077"/>
    <x v="4"/>
    <s v="User Access Issue"/>
    <x v="2"/>
    <s v="Major"/>
    <x v="1"/>
    <s v="IT"/>
    <x v="104"/>
    <s v=""/>
    <s v=""/>
    <x v="1"/>
    <x v="5"/>
    <x v="4"/>
    <n v="34014.17"/>
    <s v=""/>
    <s v=""/>
    <s v=""/>
    <n v="3"/>
    <s v=""/>
  </r>
  <r>
    <s v="INC844114"/>
    <x v="2"/>
    <s v="Complaint"/>
    <x v="2"/>
    <s v="Major"/>
    <x v="2"/>
    <s v="Finance"/>
    <x v="105"/>
    <d v="2023-11-25T00:00:00"/>
    <n v="75"/>
    <x v="2"/>
    <x v="0"/>
    <x v="4"/>
    <n v="325.04000000000002"/>
    <n v="325.54000000000002"/>
    <n v="0.5"/>
    <n v="1.5382722126507506E-3"/>
    <n v="3"/>
    <s v="No"/>
  </r>
  <r>
    <s v="INC696400"/>
    <x v="4"/>
    <s v="System Error"/>
    <x v="2"/>
    <s v="Major"/>
    <x v="2"/>
    <s v="IT"/>
    <x v="106"/>
    <s v=""/>
    <s v=""/>
    <x v="0"/>
    <x v="5"/>
    <x v="6"/>
    <n v="16123.01"/>
    <s v=""/>
    <s v=""/>
    <s v=""/>
    <n v="3"/>
    <s v=""/>
  </r>
  <r>
    <s v="INC599972"/>
    <x v="2"/>
    <s v="Integration Failure"/>
    <x v="3"/>
    <s v="Minor"/>
    <x v="2"/>
    <s v="IT"/>
    <x v="19"/>
    <s v=""/>
    <s v=""/>
    <x v="1"/>
    <x v="5"/>
    <x v="6"/>
    <n v="132.65"/>
    <s v=""/>
    <s v=""/>
    <s v=""/>
    <n v="10"/>
    <s v=""/>
  </r>
  <r>
    <s v="INC623647"/>
    <x v="5"/>
    <s v="Data Issue"/>
    <x v="3"/>
    <s v="Minor"/>
    <x v="2"/>
    <s v="Compliance"/>
    <x v="107"/>
    <s v=""/>
    <s v=""/>
    <x v="1"/>
    <x v="4"/>
    <x v="0"/>
    <n v="867.98"/>
    <s v=""/>
    <s v=""/>
    <s v=""/>
    <n v="10"/>
    <s v=""/>
  </r>
  <r>
    <s v="INC611874"/>
    <x v="5"/>
    <s v="System Error"/>
    <x v="3"/>
    <s v="Critical"/>
    <x v="0"/>
    <s v="Compliance"/>
    <x v="60"/>
    <d v="2024-08-10T00:00:00"/>
    <n v="86"/>
    <x v="3"/>
    <x v="4"/>
    <x v="1"/>
    <n v="9412.9599999999991"/>
    <n v="8754.2099999999991"/>
    <n v="-658.75"/>
    <n v="-6.9983299620948153E-2"/>
    <n v="10"/>
    <s v="No"/>
  </r>
  <r>
    <s v="INC258215"/>
    <x v="2"/>
    <s v="Processing Delay"/>
    <x v="3"/>
    <s v="Moderate"/>
    <x v="4"/>
    <s v="Compliance"/>
    <x v="108"/>
    <s v=""/>
    <s v=""/>
    <x v="1"/>
    <x v="4"/>
    <x v="0"/>
    <n v="1072.2"/>
    <s v=""/>
    <s v=""/>
    <s v=""/>
    <n v="10"/>
    <s v=""/>
  </r>
  <r>
    <s v="INC733350"/>
    <x v="4"/>
    <s v="Performance Issue"/>
    <x v="1"/>
    <s v="Major"/>
    <x v="3"/>
    <s v="Compliance"/>
    <x v="109"/>
    <s v=""/>
    <s v=""/>
    <x v="4"/>
    <x v="1"/>
    <x v="5"/>
    <n v="25256.66"/>
    <s v=""/>
    <s v=""/>
    <s v=""/>
    <n v="1"/>
    <s v=""/>
  </r>
  <r>
    <s v="INC751388"/>
    <x v="5"/>
    <s v="System Error"/>
    <x v="2"/>
    <s v="Major"/>
    <x v="0"/>
    <s v="Compliance"/>
    <x v="74"/>
    <s v=""/>
    <s v=""/>
    <x v="0"/>
    <x v="0"/>
    <x v="0"/>
    <n v="64.73"/>
    <s v=""/>
    <s v=""/>
    <s v=""/>
    <n v="3"/>
    <s v=""/>
  </r>
  <r>
    <s v="INC127529"/>
    <x v="1"/>
    <s v="Performance Issue"/>
    <x v="3"/>
    <s v="Major"/>
    <x v="2"/>
    <s v="Customer Service"/>
    <x v="110"/>
    <s v=""/>
    <s v=""/>
    <x v="0"/>
    <x v="1"/>
    <x v="4"/>
    <n v="143.94999999999999"/>
    <s v=""/>
    <s v=""/>
    <s v=""/>
    <n v="10"/>
    <s v=""/>
  </r>
  <r>
    <s v="INC934361"/>
    <x v="2"/>
    <s v="Performance Issue"/>
    <x v="3"/>
    <s v="Critical"/>
    <x v="2"/>
    <s v="Customer Service"/>
    <x v="111"/>
    <s v=""/>
    <s v=""/>
    <x v="4"/>
    <x v="5"/>
    <x v="4"/>
    <n v="522.46"/>
    <s v=""/>
    <s v=""/>
    <s v=""/>
    <n v="10"/>
    <s v=""/>
  </r>
  <r>
    <s v="INC289709"/>
    <x v="5"/>
    <s v="Complaint"/>
    <x v="2"/>
    <s v="Moderate"/>
    <x v="1"/>
    <s v="Finance"/>
    <x v="112"/>
    <s v=""/>
    <s v=""/>
    <x v="4"/>
    <x v="5"/>
    <x v="6"/>
    <n v="4124.26"/>
    <s v=""/>
    <s v=""/>
    <s v=""/>
    <n v="3"/>
    <s v=""/>
  </r>
  <r>
    <s v="INC561828"/>
    <x v="0"/>
    <s v="Payment Failure"/>
    <x v="1"/>
    <s v="Minor"/>
    <x v="3"/>
    <s v="IT"/>
    <x v="113"/>
    <s v=""/>
    <s v=""/>
    <x v="0"/>
    <x v="2"/>
    <x v="1"/>
    <n v="1165.81"/>
    <s v=""/>
    <s v=""/>
    <s v=""/>
    <n v="1"/>
    <s v=""/>
  </r>
  <r>
    <s v="INC688991"/>
    <x v="3"/>
    <s v="System Error"/>
    <x v="2"/>
    <s v="Critical"/>
    <x v="3"/>
    <s v="Finance"/>
    <x v="114"/>
    <s v=""/>
    <s v=""/>
    <x v="1"/>
    <x v="5"/>
    <x v="0"/>
    <n v="3737.97"/>
    <s v=""/>
    <s v=""/>
    <s v=""/>
    <n v="3"/>
    <s v=""/>
  </r>
  <r>
    <s v="INC421081"/>
    <x v="1"/>
    <s v="Integration Failure"/>
    <x v="3"/>
    <s v="Major"/>
    <x v="2"/>
    <s v="Compliance"/>
    <x v="115"/>
    <d v="2023-03-11T00:00:00"/>
    <n v="3"/>
    <x v="3"/>
    <x v="4"/>
    <x v="5"/>
    <n v="4546.05"/>
    <n v="5046.92"/>
    <n v="500.87"/>
    <n v="0.1101769668173469"/>
    <n v="10"/>
    <s v="Yes"/>
  </r>
  <r>
    <s v="INC790001"/>
    <x v="0"/>
    <s v="Processing Delay"/>
    <x v="2"/>
    <s v="Minor"/>
    <x v="4"/>
    <s v="Billing"/>
    <x v="103"/>
    <d v="2023-07-31T00:00:00"/>
    <n v="43"/>
    <x v="2"/>
    <x v="1"/>
    <x v="5"/>
    <n v="6.53"/>
    <n v="8.01"/>
    <n v="1.48"/>
    <n v="0.22664624808575795"/>
    <n v="3"/>
    <s v="No"/>
  </r>
  <r>
    <s v="INC852957"/>
    <x v="2"/>
    <s v="Integration Failure"/>
    <x v="1"/>
    <s v="Moderate"/>
    <x v="4"/>
    <s v="Compliance"/>
    <x v="116"/>
    <s v=""/>
    <s v=""/>
    <x v="1"/>
    <x v="1"/>
    <x v="4"/>
    <n v="11876.61"/>
    <s v=""/>
    <s v=""/>
    <s v=""/>
    <n v="1"/>
    <s v=""/>
  </r>
  <r>
    <s v="INC962562"/>
    <x v="6"/>
    <s v="System Error"/>
    <x v="3"/>
    <s v="Critical"/>
    <x v="2"/>
    <s v="Claims"/>
    <x v="117"/>
    <d v="2023-11-24T00:00:00"/>
    <n v="16"/>
    <x v="3"/>
    <x v="4"/>
    <x v="6"/>
    <n v="5072.0600000000004"/>
    <n v="4514.2299999999996"/>
    <n v="-557.83000000000004"/>
    <n v="-0.10998095448397709"/>
    <n v="10"/>
    <s v="No"/>
  </r>
  <r>
    <s v="INC651075"/>
    <x v="1"/>
    <s v="Performance Issue"/>
    <x v="0"/>
    <s v="Critical"/>
    <x v="4"/>
    <s v="Finance"/>
    <x v="118"/>
    <s v=""/>
    <s v=""/>
    <x v="1"/>
    <x v="0"/>
    <x v="1"/>
    <n v="19578.23"/>
    <s v=""/>
    <s v=""/>
    <s v=""/>
    <n v="5"/>
    <s v=""/>
  </r>
  <r>
    <s v="INC644983"/>
    <x v="4"/>
    <s v="Payment Failure"/>
    <x v="2"/>
    <s v="Moderate"/>
    <x v="4"/>
    <s v="Claims"/>
    <x v="119"/>
    <d v="2023-11-06T00:00:00"/>
    <n v="6"/>
    <x v="3"/>
    <x v="1"/>
    <x v="5"/>
    <n v="158.99"/>
    <n v="142.24"/>
    <n v="-16.75"/>
    <n v="-0.10535253789546511"/>
    <n v="3"/>
    <s v="No"/>
  </r>
  <r>
    <s v="INC607882"/>
    <x v="6"/>
    <s v="Complaint"/>
    <x v="2"/>
    <s v="Moderate"/>
    <x v="1"/>
    <s v="Billing"/>
    <x v="120"/>
    <d v="2023-09-17T00:00:00"/>
    <n v="103"/>
    <x v="3"/>
    <x v="3"/>
    <x v="6"/>
    <n v="1.97"/>
    <n v="2.99"/>
    <n v="1.02"/>
    <n v="0.51776649746192904"/>
    <n v="3"/>
    <s v="No"/>
  </r>
  <r>
    <s v="INC748648"/>
    <x v="3"/>
    <s v="Data Issue"/>
    <x v="1"/>
    <s v="Minor"/>
    <x v="3"/>
    <s v="Claims"/>
    <x v="121"/>
    <s v=""/>
    <s v=""/>
    <x v="4"/>
    <x v="1"/>
    <x v="4"/>
    <n v="8.65"/>
    <s v=""/>
    <s v=""/>
    <s v=""/>
    <n v="1"/>
    <s v=""/>
  </r>
  <r>
    <s v="INC217644"/>
    <x v="4"/>
    <s v="Integration Failure"/>
    <x v="2"/>
    <s v="Moderate"/>
    <x v="3"/>
    <s v="Customer Service"/>
    <x v="29"/>
    <d v="2023-12-29T00:00:00"/>
    <n v="113"/>
    <x v="2"/>
    <x v="5"/>
    <x v="1"/>
    <n v="19.72"/>
    <n v="23.8"/>
    <n v="4.08"/>
    <n v="0.20689655172413804"/>
    <n v="3"/>
    <s v="No"/>
  </r>
  <r>
    <s v="INC412771"/>
    <x v="3"/>
    <s v="System Error"/>
    <x v="1"/>
    <s v="Major"/>
    <x v="3"/>
    <s v="Billing"/>
    <x v="122"/>
    <s v=""/>
    <s v=""/>
    <x v="4"/>
    <x v="4"/>
    <x v="5"/>
    <n v="0.05"/>
    <s v=""/>
    <s v=""/>
    <s v=""/>
    <n v="1"/>
    <s v=""/>
  </r>
  <r>
    <s v="INC541937"/>
    <x v="0"/>
    <s v="Processing Delay"/>
    <x v="2"/>
    <s v="Critical"/>
    <x v="4"/>
    <s v="Customer Service"/>
    <x v="38"/>
    <d v="2023-08-11T00:00:00"/>
    <n v="98"/>
    <x v="2"/>
    <x v="1"/>
    <x v="4"/>
    <n v="365"/>
    <n v="318"/>
    <n v="-47"/>
    <n v="-0.12876712328767123"/>
    <n v="3"/>
    <s v="No"/>
  </r>
  <r>
    <s v="INC332510"/>
    <x v="6"/>
    <s v="Performance Issue"/>
    <x v="1"/>
    <s v="Critical"/>
    <x v="4"/>
    <s v="Claims"/>
    <x v="15"/>
    <s v=""/>
    <s v=""/>
    <x v="4"/>
    <x v="3"/>
    <x v="4"/>
    <n v="0.99"/>
    <s v=""/>
    <s v=""/>
    <s v=""/>
    <n v="1"/>
    <s v=""/>
  </r>
  <r>
    <s v="INC737222"/>
    <x v="5"/>
    <s v="System Error"/>
    <x v="2"/>
    <s v="Critical"/>
    <x v="0"/>
    <s v="IT"/>
    <x v="69"/>
    <d v="2024-01-21T00:00:00"/>
    <n v="66"/>
    <x v="3"/>
    <x v="3"/>
    <x v="7"/>
    <n v="2482.19"/>
    <n v="2432.92"/>
    <n v="-49.27"/>
    <n v="-1.9849407176726997E-2"/>
    <n v="3"/>
    <s v="No"/>
  </r>
  <r>
    <s v="INC792282"/>
    <x v="5"/>
    <s v="System Error"/>
    <x v="0"/>
    <s v="Moderate"/>
    <x v="4"/>
    <s v="Customer Service"/>
    <x v="44"/>
    <s v=""/>
    <s v=""/>
    <x v="4"/>
    <x v="5"/>
    <x v="4"/>
    <n v="1026.57"/>
    <s v=""/>
    <s v=""/>
    <s v=""/>
    <n v="5"/>
    <s v=""/>
  </r>
  <r>
    <s v="INC234995"/>
    <x v="4"/>
    <s v="User Access Issue"/>
    <x v="1"/>
    <s v="Critical"/>
    <x v="1"/>
    <s v="Finance"/>
    <x v="123"/>
    <s v=""/>
    <s v=""/>
    <x v="4"/>
    <x v="1"/>
    <x v="5"/>
    <n v="26614.63"/>
    <s v=""/>
    <s v=""/>
    <s v=""/>
    <n v="1"/>
    <s v=""/>
  </r>
  <r>
    <s v="INC378429"/>
    <x v="5"/>
    <s v="Processing Delay"/>
    <x v="1"/>
    <s v="Minor"/>
    <x v="0"/>
    <s v="Compliance"/>
    <x v="56"/>
    <s v=""/>
    <s v=""/>
    <x v="4"/>
    <x v="2"/>
    <x v="4"/>
    <n v="13734.12"/>
    <s v=""/>
    <s v=""/>
    <s v=""/>
    <n v="1"/>
    <s v=""/>
  </r>
  <r>
    <s v="INC162777"/>
    <x v="2"/>
    <s v="Processing Delay"/>
    <x v="3"/>
    <s v="Major"/>
    <x v="0"/>
    <s v="Billing"/>
    <x v="124"/>
    <s v=""/>
    <s v=""/>
    <x v="4"/>
    <x v="1"/>
    <x v="4"/>
    <n v="11.34"/>
    <s v=""/>
    <s v=""/>
    <s v=""/>
    <n v="10"/>
    <s v=""/>
  </r>
  <r>
    <s v="INC664892"/>
    <x v="2"/>
    <s v="Processing Delay"/>
    <x v="1"/>
    <s v="Moderate"/>
    <x v="3"/>
    <s v="Claims"/>
    <x v="125"/>
    <s v=""/>
    <s v=""/>
    <x v="1"/>
    <x v="4"/>
    <x v="0"/>
    <n v="1122.0999999999999"/>
    <s v=""/>
    <s v=""/>
    <s v=""/>
    <n v="1"/>
    <s v=""/>
  </r>
  <r>
    <s v="INC288517"/>
    <x v="6"/>
    <s v="Processing Delay"/>
    <x v="0"/>
    <s v="Critical"/>
    <x v="4"/>
    <s v="Claims"/>
    <x v="126"/>
    <s v=""/>
    <s v=""/>
    <x v="4"/>
    <x v="1"/>
    <x v="2"/>
    <n v="20743.73"/>
    <s v=""/>
    <s v=""/>
    <s v=""/>
    <n v="5"/>
    <s v=""/>
  </r>
  <r>
    <s v="INC176933"/>
    <x v="4"/>
    <s v="Data Issue"/>
    <x v="0"/>
    <s v="Major"/>
    <x v="0"/>
    <s v="Finance"/>
    <x v="127"/>
    <d v="2023-12-21T00:00:00"/>
    <n v="116"/>
    <x v="3"/>
    <x v="2"/>
    <x v="0"/>
    <n v="0"/>
    <n v="0.1"/>
    <n v="0.1"/>
    <e v="#DIV/0!"/>
    <n v="5"/>
    <s v="No"/>
  </r>
  <r>
    <s v="INC448884"/>
    <x v="3"/>
    <s v="Complaint"/>
    <x v="0"/>
    <s v="Moderate"/>
    <x v="3"/>
    <s v="Finance"/>
    <x v="128"/>
    <s v=""/>
    <s v=""/>
    <x v="0"/>
    <x v="0"/>
    <x v="0"/>
    <n v="12.69"/>
    <s v=""/>
    <s v=""/>
    <s v=""/>
    <n v="5"/>
    <s v=""/>
  </r>
  <r>
    <s v="INC741150"/>
    <x v="5"/>
    <s v="Performance Issue"/>
    <x v="3"/>
    <s v="Major"/>
    <x v="1"/>
    <s v="Billing"/>
    <x v="129"/>
    <d v="2024-01-02T00:00:00"/>
    <n v="79"/>
    <x v="2"/>
    <x v="1"/>
    <x v="6"/>
    <n v="0.27"/>
    <n v="0.7"/>
    <n v="0.43"/>
    <n v="1.5925925925925923"/>
    <n v="10"/>
    <s v="No"/>
  </r>
  <r>
    <s v="INC242368"/>
    <x v="4"/>
    <s v="Payment Failure"/>
    <x v="1"/>
    <s v="Moderate"/>
    <x v="3"/>
    <s v="Finance"/>
    <x v="130"/>
    <s v=""/>
    <s v=""/>
    <x v="0"/>
    <x v="0"/>
    <x v="6"/>
    <n v="21768.39"/>
    <s v=""/>
    <s v=""/>
    <s v=""/>
    <n v="1"/>
    <s v=""/>
  </r>
  <r>
    <s v="INC216917"/>
    <x v="6"/>
    <s v="Complaint"/>
    <x v="0"/>
    <s v="Minor"/>
    <x v="3"/>
    <s v="Customer Service"/>
    <x v="131"/>
    <s v=""/>
    <s v=""/>
    <x v="1"/>
    <x v="1"/>
    <x v="0"/>
    <n v="29016.93"/>
    <s v=""/>
    <s v=""/>
    <s v=""/>
    <n v="5"/>
    <s v=""/>
  </r>
  <r>
    <s v="INC840971"/>
    <x v="0"/>
    <s v="User Access Issue"/>
    <x v="1"/>
    <s v="Moderate"/>
    <x v="3"/>
    <s v="Claims"/>
    <x v="132"/>
    <s v=""/>
    <s v=""/>
    <x v="1"/>
    <x v="2"/>
    <x v="7"/>
    <n v="590.95000000000005"/>
    <s v=""/>
    <s v=""/>
    <s v=""/>
    <n v="1"/>
    <s v=""/>
  </r>
  <r>
    <s v="INC417542"/>
    <x v="5"/>
    <s v="System Error"/>
    <x v="3"/>
    <s v="Minor"/>
    <x v="0"/>
    <s v="Claims"/>
    <x v="133"/>
    <s v=""/>
    <s v=""/>
    <x v="0"/>
    <x v="4"/>
    <x v="2"/>
    <n v="263.44"/>
    <s v=""/>
    <s v=""/>
    <s v=""/>
    <n v="10"/>
    <s v=""/>
  </r>
  <r>
    <s v="INC332293"/>
    <x v="1"/>
    <s v="Performance Issue"/>
    <x v="2"/>
    <s v="Critical"/>
    <x v="0"/>
    <s v="Finance"/>
    <x v="134"/>
    <d v="2024-06-08T00:00:00"/>
    <n v="14"/>
    <x v="3"/>
    <x v="0"/>
    <x v="6"/>
    <n v="31785.26"/>
    <n v="34010.629999999997"/>
    <n v="2225.37"/>
    <n v="7.0012641079544385E-2"/>
    <n v="3"/>
    <s v="No"/>
  </r>
  <r>
    <s v="INC707757"/>
    <x v="1"/>
    <s v="Payment Failure"/>
    <x v="3"/>
    <s v="Major"/>
    <x v="2"/>
    <s v="Claims"/>
    <x v="135"/>
    <s v=""/>
    <s v=""/>
    <x v="1"/>
    <x v="4"/>
    <x v="1"/>
    <n v="1922.95"/>
    <s v=""/>
    <s v=""/>
    <s v=""/>
    <n v="10"/>
    <s v=""/>
  </r>
  <r>
    <s v="INC712854"/>
    <x v="3"/>
    <s v="User Access Issue"/>
    <x v="3"/>
    <s v="Critical"/>
    <x v="3"/>
    <s v="Compliance"/>
    <x v="84"/>
    <d v="2023-05-07T00:00:00"/>
    <n v="119"/>
    <x v="2"/>
    <x v="4"/>
    <x v="6"/>
    <n v="8.9700000000000006"/>
    <n v="9.1999999999999993"/>
    <n v="0.23"/>
    <n v="2.5641025641025487E-2"/>
    <n v="10"/>
    <s v="No"/>
  </r>
  <r>
    <s v="INC205452"/>
    <x v="0"/>
    <s v="Data Issue"/>
    <x v="3"/>
    <s v="Major"/>
    <x v="0"/>
    <s v="Billing"/>
    <x v="136"/>
    <d v="2023-05-11T00:00:00"/>
    <n v="14"/>
    <x v="3"/>
    <x v="4"/>
    <x v="0"/>
    <n v="8.33"/>
    <n v="8.36"/>
    <n v="0.03"/>
    <n v="3.6014405762304154E-3"/>
    <n v="10"/>
    <s v="No"/>
  </r>
  <r>
    <s v="INC288751"/>
    <x v="2"/>
    <s v="Data Issue"/>
    <x v="3"/>
    <s v="Critical"/>
    <x v="2"/>
    <s v="Claims"/>
    <x v="137"/>
    <s v=""/>
    <s v=""/>
    <x v="0"/>
    <x v="5"/>
    <x v="2"/>
    <n v="0.27"/>
    <s v=""/>
    <s v=""/>
    <s v=""/>
    <n v="10"/>
    <s v=""/>
  </r>
  <r>
    <s v="INC435066"/>
    <x v="5"/>
    <s v="Integration Failure"/>
    <x v="2"/>
    <s v="Major"/>
    <x v="3"/>
    <s v="IT"/>
    <x v="138"/>
    <d v="2023-09-22T00:00:00"/>
    <n v="44"/>
    <x v="3"/>
    <x v="3"/>
    <x v="0"/>
    <n v="1159.1099999999999"/>
    <n v="1321.59"/>
    <n v="162.47999999999999"/>
    <n v="0.14017651473975726"/>
    <n v="3"/>
    <s v="No"/>
  </r>
  <r>
    <s v="INC978722"/>
    <x v="4"/>
    <s v="Complaint"/>
    <x v="3"/>
    <s v="Critical"/>
    <x v="1"/>
    <s v="Claims"/>
    <x v="139"/>
    <s v=""/>
    <s v=""/>
    <x v="0"/>
    <x v="0"/>
    <x v="2"/>
    <n v="2370.66"/>
    <s v=""/>
    <s v=""/>
    <s v=""/>
    <n v="10"/>
    <s v=""/>
  </r>
  <r>
    <s v="INC809824"/>
    <x v="5"/>
    <s v="System Error"/>
    <x v="3"/>
    <s v="Moderate"/>
    <x v="3"/>
    <s v="IT"/>
    <x v="137"/>
    <s v=""/>
    <s v=""/>
    <x v="0"/>
    <x v="0"/>
    <x v="2"/>
    <n v="2153.9699999999998"/>
    <s v=""/>
    <s v=""/>
    <s v=""/>
    <n v="10"/>
    <s v=""/>
  </r>
  <r>
    <s v="INC746994"/>
    <x v="2"/>
    <s v="User Access Issue"/>
    <x v="3"/>
    <s v="Critical"/>
    <x v="3"/>
    <s v="IT"/>
    <x v="140"/>
    <s v=""/>
    <s v=""/>
    <x v="0"/>
    <x v="0"/>
    <x v="7"/>
    <n v="79.790000000000006"/>
    <s v=""/>
    <s v=""/>
    <s v=""/>
    <n v="10"/>
    <s v=""/>
  </r>
  <r>
    <s v="INC223096"/>
    <x v="1"/>
    <s v="Data Issue"/>
    <x v="1"/>
    <s v="Major"/>
    <x v="2"/>
    <s v="Compliance"/>
    <x v="141"/>
    <d v="2024-09-03T00:00:00"/>
    <n v="69"/>
    <x v="3"/>
    <x v="1"/>
    <x v="7"/>
    <n v="69.42"/>
    <n v="64"/>
    <n v="-5.42"/>
    <n v="-7.8075482569864615E-2"/>
    <n v="1"/>
    <s v="No"/>
  </r>
  <r>
    <s v="INC774114"/>
    <x v="3"/>
    <s v="Integration Failure"/>
    <x v="0"/>
    <s v="Minor"/>
    <x v="3"/>
    <s v="Billing"/>
    <x v="142"/>
    <s v=""/>
    <s v=""/>
    <x v="1"/>
    <x v="2"/>
    <x v="4"/>
    <n v="20669.669999999998"/>
    <s v=""/>
    <s v=""/>
    <s v=""/>
    <n v="5"/>
    <s v=""/>
  </r>
  <r>
    <s v="INC325853"/>
    <x v="6"/>
    <s v="Data Issue"/>
    <x v="0"/>
    <s v="Major"/>
    <x v="3"/>
    <s v="Billing"/>
    <x v="143"/>
    <s v=""/>
    <s v=""/>
    <x v="4"/>
    <x v="2"/>
    <x v="0"/>
    <n v="7.0000000000000007E-2"/>
    <s v=""/>
    <s v=""/>
    <s v=""/>
    <n v="5"/>
    <s v=""/>
  </r>
  <r>
    <s v="INC430779"/>
    <x v="0"/>
    <s v="Integration Failure"/>
    <x v="1"/>
    <s v="Moderate"/>
    <x v="3"/>
    <s v="Customer Service"/>
    <x v="144"/>
    <s v=""/>
    <s v=""/>
    <x v="4"/>
    <x v="5"/>
    <x v="1"/>
    <n v="12146.31"/>
    <s v=""/>
    <s v=""/>
    <s v=""/>
    <n v="1"/>
    <s v=""/>
  </r>
  <r>
    <s v="INC165210"/>
    <x v="3"/>
    <s v="Complaint"/>
    <x v="0"/>
    <s v="Major"/>
    <x v="4"/>
    <s v="Customer Service"/>
    <x v="88"/>
    <s v=""/>
    <s v=""/>
    <x v="1"/>
    <x v="0"/>
    <x v="6"/>
    <n v="138"/>
    <s v=""/>
    <s v=""/>
    <s v=""/>
    <n v="5"/>
    <s v=""/>
  </r>
  <r>
    <s v="INC427912"/>
    <x v="3"/>
    <s v="Integration Failure"/>
    <x v="3"/>
    <s v="Major"/>
    <x v="3"/>
    <s v="Customer Service"/>
    <x v="145"/>
    <s v=""/>
    <s v=""/>
    <x v="0"/>
    <x v="5"/>
    <x v="0"/>
    <n v="0.01"/>
    <s v=""/>
    <s v=""/>
    <s v=""/>
    <n v="10"/>
    <s v=""/>
  </r>
  <r>
    <s v="INC780788"/>
    <x v="4"/>
    <s v="Processing Delay"/>
    <x v="1"/>
    <s v="Major"/>
    <x v="3"/>
    <s v="Compliance"/>
    <x v="136"/>
    <s v=""/>
    <s v=""/>
    <x v="0"/>
    <x v="0"/>
    <x v="3"/>
    <n v="41294.949999999997"/>
    <s v=""/>
    <s v=""/>
    <s v=""/>
    <n v="1"/>
    <s v=""/>
  </r>
  <r>
    <s v="INC316347"/>
    <x v="5"/>
    <s v="Processing Delay"/>
    <x v="1"/>
    <s v="Moderate"/>
    <x v="0"/>
    <s v="Billing"/>
    <x v="67"/>
    <s v=""/>
    <s v=""/>
    <x v="1"/>
    <x v="0"/>
    <x v="5"/>
    <n v="9927.19"/>
    <s v=""/>
    <s v=""/>
    <s v=""/>
    <n v="1"/>
    <s v=""/>
  </r>
  <r>
    <s v="INC655974"/>
    <x v="5"/>
    <s v="Complaint"/>
    <x v="1"/>
    <s v="Minor"/>
    <x v="1"/>
    <s v="Finance"/>
    <x v="146"/>
    <d v="2024-04-01T00:00:00"/>
    <n v="42"/>
    <x v="2"/>
    <x v="0"/>
    <x v="3"/>
    <n v="218.42"/>
    <n v="249.56"/>
    <n v="31.14"/>
    <n v="0.14256936178005686"/>
    <n v="1"/>
    <s v="No"/>
  </r>
  <r>
    <s v="INC129886"/>
    <x v="0"/>
    <s v="Data Issue"/>
    <x v="1"/>
    <s v="Moderate"/>
    <x v="2"/>
    <s v="Billing"/>
    <x v="50"/>
    <d v="2023-08-25T00:00:00"/>
    <n v="95"/>
    <x v="3"/>
    <x v="0"/>
    <x v="0"/>
    <n v="8548.9599999999991"/>
    <n v="9917.76"/>
    <n v="1368.8"/>
    <n v="0.16011304299002466"/>
    <n v="1"/>
    <s v="No"/>
  </r>
  <r>
    <s v="INC485520"/>
    <x v="1"/>
    <s v="Integration Failure"/>
    <x v="2"/>
    <s v="Critical"/>
    <x v="3"/>
    <s v="Customer Service"/>
    <x v="147"/>
    <s v=""/>
    <s v=""/>
    <x v="4"/>
    <x v="3"/>
    <x v="4"/>
    <n v="6936.44"/>
    <s v=""/>
    <s v=""/>
    <s v=""/>
    <n v="3"/>
    <s v=""/>
  </r>
  <r>
    <s v="INC989082"/>
    <x v="4"/>
    <s v="Integration Failure"/>
    <x v="0"/>
    <s v="Minor"/>
    <x v="1"/>
    <s v="Finance"/>
    <x v="63"/>
    <s v=""/>
    <s v=""/>
    <x v="0"/>
    <x v="1"/>
    <x v="5"/>
    <n v="3413.2"/>
    <s v=""/>
    <s v=""/>
    <s v=""/>
    <n v="5"/>
    <s v=""/>
  </r>
  <r>
    <s v="INC792632"/>
    <x v="0"/>
    <s v="Performance Issue"/>
    <x v="0"/>
    <s v="Critical"/>
    <x v="0"/>
    <s v="Finance"/>
    <x v="148"/>
    <s v=""/>
    <s v=""/>
    <x v="1"/>
    <x v="3"/>
    <x v="2"/>
    <n v="816.58"/>
    <s v=""/>
    <s v=""/>
    <s v=""/>
    <n v="5"/>
    <s v=""/>
  </r>
  <r>
    <s v="INC156161"/>
    <x v="3"/>
    <s v="Performance Issue"/>
    <x v="1"/>
    <s v="Moderate"/>
    <x v="3"/>
    <s v="Finance"/>
    <x v="149"/>
    <s v=""/>
    <s v=""/>
    <x v="0"/>
    <x v="0"/>
    <x v="6"/>
    <n v="26560.48"/>
    <s v=""/>
    <s v=""/>
    <s v=""/>
    <n v="1"/>
    <s v=""/>
  </r>
  <r>
    <s v="INC423158"/>
    <x v="6"/>
    <s v="System Error"/>
    <x v="3"/>
    <s v="Minor"/>
    <x v="1"/>
    <s v="Billing"/>
    <x v="16"/>
    <d v="2023-05-13T00:00:00"/>
    <n v="103"/>
    <x v="3"/>
    <x v="0"/>
    <x v="1"/>
    <n v="1325.77"/>
    <n v="1140.71"/>
    <n v="-185.06"/>
    <n v="-0.13958680615793082"/>
    <n v="10"/>
    <s v="No"/>
  </r>
  <r>
    <s v="INC697069"/>
    <x v="1"/>
    <s v="Processing Delay"/>
    <x v="3"/>
    <s v="Moderate"/>
    <x v="2"/>
    <s v="Claims"/>
    <x v="29"/>
    <d v="2023-12-18T00:00:00"/>
    <n v="102"/>
    <x v="3"/>
    <x v="5"/>
    <x v="0"/>
    <n v="5377.38"/>
    <n v="5861.88"/>
    <n v="484.5"/>
    <n v="9.0099639601441586E-2"/>
    <n v="10"/>
    <s v="No"/>
  </r>
  <r>
    <s v="INC883178"/>
    <x v="3"/>
    <s v="Data Issue"/>
    <x v="1"/>
    <s v="Moderate"/>
    <x v="4"/>
    <s v="Billing"/>
    <x v="21"/>
    <s v=""/>
    <s v=""/>
    <x v="4"/>
    <x v="4"/>
    <x v="3"/>
    <n v="15120.67"/>
    <s v=""/>
    <s v=""/>
    <s v=""/>
    <n v="1"/>
    <s v=""/>
  </r>
  <r>
    <s v="INC598854"/>
    <x v="6"/>
    <s v="System Error"/>
    <x v="2"/>
    <s v="Moderate"/>
    <x v="1"/>
    <s v="Compliance"/>
    <x v="60"/>
    <d v="2024-09-01T00:00:00"/>
    <n v="108"/>
    <x v="3"/>
    <x v="4"/>
    <x v="1"/>
    <n v="141.27000000000001"/>
    <n v="155.91"/>
    <n v="14.64"/>
    <n v="0.10363134423444458"/>
    <n v="3"/>
    <s v="No"/>
  </r>
  <r>
    <s v="INC556755"/>
    <x v="3"/>
    <s v="Data Issue"/>
    <x v="0"/>
    <s v="Minor"/>
    <x v="1"/>
    <s v="Customer Service"/>
    <x v="150"/>
    <d v="2023-10-07T00:00:00"/>
    <n v="22"/>
    <x v="3"/>
    <x v="0"/>
    <x v="3"/>
    <n v="113.83"/>
    <n v="130.04"/>
    <n v="16.21"/>
    <n v="0.14240534129842744"/>
    <n v="5"/>
    <s v="No"/>
  </r>
  <r>
    <s v="INC723790"/>
    <x v="6"/>
    <s v="Complaint"/>
    <x v="2"/>
    <s v="Minor"/>
    <x v="2"/>
    <s v="Claims"/>
    <x v="151"/>
    <d v="2023-09-10T00:00:00"/>
    <n v="116"/>
    <x v="3"/>
    <x v="1"/>
    <x v="7"/>
    <n v="6506.56"/>
    <n v="7287.97"/>
    <n v="781.41"/>
    <n v="0.1200957187822751"/>
    <n v="3"/>
    <s v="No"/>
  </r>
  <r>
    <s v="INC437801"/>
    <x v="5"/>
    <s v="System Error"/>
    <x v="0"/>
    <s v="Critical"/>
    <x v="2"/>
    <s v="Customer Service"/>
    <x v="152"/>
    <s v=""/>
    <s v=""/>
    <x v="0"/>
    <x v="4"/>
    <x v="4"/>
    <n v="2075.91"/>
    <s v=""/>
    <s v=""/>
    <s v=""/>
    <n v="5"/>
    <s v=""/>
  </r>
  <r>
    <s v="INC188276"/>
    <x v="1"/>
    <s v="Data Issue"/>
    <x v="3"/>
    <s v="Moderate"/>
    <x v="1"/>
    <s v="IT"/>
    <x v="153"/>
    <d v="2023-04-02T00:00:00"/>
    <n v="51"/>
    <x v="2"/>
    <x v="3"/>
    <x v="7"/>
    <n v="264.60000000000002"/>
    <n v="328.68"/>
    <n v="64.08"/>
    <n v="0.24217687074829924"/>
    <n v="10"/>
    <s v="No"/>
  </r>
  <r>
    <s v="INC466866"/>
    <x v="6"/>
    <s v="Processing Delay"/>
    <x v="2"/>
    <s v="Moderate"/>
    <x v="2"/>
    <s v="Finance"/>
    <x v="143"/>
    <d v="2023-10-25T00:00:00"/>
    <n v="57"/>
    <x v="3"/>
    <x v="3"/>
    <x v="2"/>
    <n v="435.41"/>
    <n v="483.69"/>
    <n v="48.28"/>
    <n v="0.11088399439608637"/>
    <n v="3"/>
    <s v="No"/>
  </r>
  <r>
    <s v="INC749309"/>
    <x v="6"/>
    <s v="Performance Issue"/>
    <x v="3"/>
    <s v="Critical"/>
    <x v="0"/>
    <s v="Compliance"/>
    <x v="154"/>
    <s v=""/>
    <s v=""/>
    <x v="0"/>
    <x v="4"/>
    <x v="6"/>
    <n v="5805.45"/>
    <s v=""/>
    <s v=""/>
    <s v=""/>
    <n v="10"/>
    <s v=""/>
  </r>
  <r>
    <s v="INC741938"/>
    <x v="4"/>
    <s v="Processing Delay"/>
    <x v="3"/>
    <s v="Moderate"/>
    <x v="4"/>
    <s v="Finance"/>
    <x v="155"/>
    <d v="2023-02-04T00:00:00"/>
    <n v="16"/>
    <x v="3"/>
    <x v="5"/>
    <x v="3"/>
    <n v="47562.25"/>
    <n v="46135.44"/>
    <n v="-1426.81"/>
    <n v="-2.9998791058034421E-2"/>
    <n v="10"/>
    <s v="No"/>
  </r>
  <r>
    <s v="INC271031"/>
    <x v="0"/>
    <s v="System Error"/>
    <x v="1"/>
    <s v="Critical"/>
    <x v="4"/>
    <s v="IT"/>
    <x v="130"/>
    <d v="2024-06-29T00:00:00"/>
    <n v="26"/>
    <x v="3"/>
    <x v="1"/>
    <x v="4"/>
    <n v="9.83"/>
    <n v="9.77"/>
    <n v="-0.06"/>
    <n v="-6.1037639877925222E-3"/>
    <n v="1"/>
    <s v="No"/>
  </r>
  <r>
    <s v="INC675545"/>
    <x v="1"/>
    <s v="Integration Failure"/>
    <x v="2"/>
    <s v="Critical"/>
    <x v="4"/>
    <s v="Compliance"/>
    <x v="36"/>
    <d v="2024-09-09T00:00:00"/>
    <n v="104"/>
    <x v="2"/>
    <x v="4"/>
    <x v="6"/>
    <n v="229.35"/>
    <n v="202.32"/>
    <n v="-27.03"/>
    <n v="-0.11785480706344016"/>
    <n v="3"/>
    <s v="No"/>
  </r>
  <r>
    <s v="INC437614"/>
    <x v="3"/>
    <s v="Performance Issue"/>
    <x v="2"/>
    <s v="Minor"/>
    <x v="4"/>
    <s v="Compliance"/>
    <x v="156"/>
    <s v=""/>
    <s v=""/>
    <x v="1"/>
    <x v="1"/>
    <x v="4"/>
    <n v="803.4"/>
    <s v=""/>
    <s v=""/>
    <s v=""/>
    <n v="3"/>
    <s v=""/>
  </r>
  <r>
    <s v="INC120448"/>
    <x v="4"/>
    <s v="Processing Delay"/>
    <x v="0"/>
    <s v="Critical"/>
    <x v="2"/>
    <s v="Billing"/>
    <x v="157"/>
    <s v=""/>
    <s v=""/>
    <x v="1"/>
    <x v="3"/>
    <x v="7"/>
    <n v="13.63"/>
    <s v=""/>
    <s v=""/>
    <s v=""/>
    <n v="5"/>
    <s v=""/>
  </r>
  <r>
    <s v="INC130360"/>
    <x v="4"/>
    <s v="Processing Delay"/>
    <x v="3"/>
    <s v="Major"/>
    <x v="2"/>
    <s v="Customer Service"/>
    <x v="16"/>
    <d v="2023-05-24T00:00:00"/>
    <n v="114"/>
    <x v="3"/>
    <x v="5"/>
    <x v="4"/>
    <n v="4487.43"/>
    <n v="4488"/>
    <n v="0.56999999999999995"/>
    <n v="1.2702148000073737E-4"/>
    <n v="10"/>
    <s v="No"/>
  </r>
  <r>
    <s v="INC998390"/>
    <x v="5"/>
    <s v="Payment Failure"/>
    <x v="2"/>
    <s v="Moderate"/>
    <x v="4"/>
    <s v="Compliance"/>
    <x v="158"/>
    <s v=""/>
    <s v=""/>
    <x v="4"/>
    <x v="5"/>
    <x v="7"/>
    <n v="123.19"/>
    <s v=""/>
    <s v=""/>
    <s v=""/>
    <n v="3"/>
    <s v=""/>
  </r>
  <r>
    <s v="INC666972"/>
    <x v="1"/>
    <s v="Processing Delay"/>
    <x v="0"/>
    <s v="Major"/>
    <x v="4"/>
    <s v="Billing"/>
    <x v="101"/>
    <s v=""/>
    <s v=""/>
    <x v="0"/>
    <x v="5"/>
    <x v="2"/>
    <n v="25349.37"/>
    <s v=""/>
    <s v=""/>
    <s v=""/>
    <n v="5"/>
    <s v=""/>
  </r>
  <r>
    <s v="INC461253"/>
    <x v="4"/>
    <s v="Integration Failure"/>
    <x v="1"/>
    <s v="Major"/>
    <x v="0"/>
    <s v="Finance"/>
    <x v="2"/>
    <s v=""/>
    <s v=""/>
    <x v="1"/>
    <x v="3"/>
    <x v="2"/>
    <n v="981.34"/>
    <s v=""/>
    <s v=""/>
    <s v=""/>
    <n v="1"/>
    <s v=""/>
  </r>
  <r>
    <s v="INC909458"/>
    <x v="1"/>
    <s v="Performance Issue"/>
    <x v="3"/>
    <s v="Moderate"/>
    <x v="0"/>
    <s v="Claims"/>
    <x v="100"/>
    <s v=""/>
    <s v=""/>
    <x v="4"/>
    <x v="3"/>
    <x v="0"/>
    <n v="105.54"/>
    <s v=""/>
    <s v=""/>
    <s v=""/>
    <n v="10"/>
    <s v=""/>
  </r>
  <r>
    <s v="INC910520"/>
    <x v="5"/>
    <s v="Data Issue"/>
    <x v="2"/>
    <s v="Major"/>
    <x v="0"/>
    <s v="Customer Service"/>
    <x v="159"/>
    <d v="2024-08-29T00:00:00"/>
    <n v="61"/>
    <x v="2"/>
    <x v="3"/>
    <x v="2"/>
    <n v="14152.8"/>
    <n v="13162.92"/>
    <n v="-989.88"/>
    <n v="-6.9942343564524279E-2"/>
    <n v="3"/>
    <s v="No"/>
  </r>
  <r>
    <s v="INC935542"/>
    <x v="2"/>
    <s v="System Error"/>
    <x v="3"/>
    <s v="Minor"/>
    <x v="3"/>
    <s v="Claims"/>
    <x v="149"/>
    <d v="2023-03-20T00:00:00"/>
    <n v="3"/>
    <x v="2"/>
    <x v="0"/>
    <x v="5"/>
    <n v="18.18"/>
    <n v="22.2"/>
    <n v="4.0199999999999996"/>
    <n v="0.22112211221122111"/>
    <n v="10"/>
    <s v="Yes"/>
  </r>
  <r>
    <s v="INC520681"/>
    <x v="1"/>
    <s v="User Access Issue"/>
    <x v="1"/>
    <s v="Major"/>
    <x v="4"/>
    <s v="Customer Service"/>
    <x v="160"/>
    <d v="2024-09-30T00:00:00"/>
    <n v="108"/>
    <x v="2"/>
    <x v="1"/>
    <x v="6"/>
    <n v="16440.400000000001"/>
    <n v="20221.939999999999"/>
    <n v="3781.54"/>
    <n v="0.23001508479112412"/>
    <n v="1"/>
    <s v="No"/>
  </r>
  <r>
    <s v="INC111581"/>
    <x v="1"/>
    <s v="System Error"/>
    <x v="1"/>
    <s v="Minor"/>
    <x v="4"/>
    <s v="Compliance"/>
    <x v="161"/>
    <s v=""/>
    <s v=""/>
    <x v="1"/>
    <x v="0"/>
    <x v="6"/>
    <n v="0"/>
    <s v=""/>
    <s v=""/>
    <s v=""/>
    <n v="1"/>
    <s v=""/>
  </r>
  <r>
    <s v="INC188605"/>
    <x v="5"/>
    <s v="Processing Delay"/>
    <x v="0"/>
    <s v="Critical"/>
    <x v="2"/>
    <s v="Billing"/>
    <x v="162"/>
    <d v="2024-01-24T00:00:00"/>
    <n v="3"/>
    <x v="2"/>
    <x v="3"/>
    <x v="4"/>
    <n v="3779.23"/>
    <n v="4573.3100000000004"/>
    <n v="794.08"/>
    <n v="0.21011687565985673"/>
    <n v="5"/>
    <s v="Yes"/>
  </r>
  <r>
    <s v="INC708548"/>
    <x v="5"/>
    <s v="Integration Failure"/>
    <x v="1"/>
    <s v="Major"/>
    <x v="0"/>
    <s v="IT"/>
    <x v="163"/>
    <s v=""/>
    <s v=""/>
    <x v="1"/>
    <x v="1"/>
    <x v="6"/>
    <n v="0.45"/>
    <s v=""/>
    <s v=""/>
    <s v=""/>
    <n v="1"/>
    <s v=""/>
  </r>
  <r>
    <s v="INC635725"/>
    <x v="5"/>
    <s v="Data Issue"/>
    <x v="2"/>
    <s v="Minor"/>
    <x v="0"/>
    <s v="IT"/>
    <x v="164"/>
    <s v=""/>
    <s v=""/>
    <x v="1"/>
    <x v="0"/>
    <x v="7"/>
    <n v="11879.44"/>
    <s v=""/>
    <s v=""/>
    <s v=""/>
    <n v="3"/>
    <s v=""/>
  </r>
  <r>
    <s v="INC161942"/>
    <x v="1"/>
    <s v="Complaint"/>
    <x v="2"/>
    <s v="Critical"/>
    <x v="2"/>
    <s v="Compliance"/>
    <x v="165"/>
    <d v="2023-03-03T00:00:00"/>
    <n v="11"/>
    <x v="2"/>
    <x v="0"/>
    <x v="6"/>
    <n v="71"/>
    <n v="79.09"/>
    <n v="8.09"/>
    <n v="0.11394366197183103"/>
    <n v="3"/>
    <s v="No"/>
  </r>
  <r>
    <s v="INC582947"/>
    <x v="4"/>
    <s v="Data Issue"/>
    <x v="1"/>
    <s v="Major"/>
    <x v="0"/>
    <s v="Compliance"/>
    <x v="56"/>
    <d v="2024-07-28T00:00:00"/>
    <n v="87"/>
    <x v="2"/>
    <x v="3"/>
    <x v="5"/>
    <n v="8446.69"/>
    <n v="7180.26"/>
    <n v="-1266.43"/>
    <n v="-0.14993210358140291"/>
    <n v="1"/>
    <s v="No"/>
  </r>
  <r>
    <s v="INC852497"/>
    <x v="6"/>
    <s v="Integration Failure"/>
    <x v="1"/>
    <s v="Major"/>
    <x v="2"/>
    <s v="IT"/>
    <x v="166"/>
    <s v=""/>
    <s v=""/>
    <x v="1"/>
    <x v="1"/>
    <x v="0"/>
    <n v="20050.45"/>
    <s v=""/>
    <s v=""/>
    <s v=""/>
    <n v="1"/>
    <s v=""/>
  </r>
  <r>
    <s v="INC745632"/>
    <x v="4"/>
    <s v="Processing Delay"/>
    <x v="1"/>
    <s v="Minor"/>
    <x v="4"/>
    <s v="IT"/>
    <x v="158"/>
    <s v=""/>
    <s v=""/>
    <x v="0"/>
    <x v="0"/>
    <x v="7"/>
    <n v="37471.699999999997"/>
    <s v=""/>
    <s v=""/>
    <s v=""/>
    <n v="1"/>
    <s v=""/>
  </r>
  <r>
    <s v="INC440034"/>
    <x v="1"/>
    <s v="System Error"/>
    <x v="0"/>
    <s v="Moderate"/>
    <x v="0"/>
    <s v="Compliance"/>
    <x v="167"/>
    <s v=""/>
    <s v=""/>
    <x v="4"/>
    <x v="3"/>
    <x v="0"/>
    <n v="11835.58"/>
    <s v=""/>
    <s v=""/>
    <s v=""/>
    <n v="5"/>
    <s v=""/>
  </r>
  <r>
    <s v="INC128647"/>
    <x v="0"/>
    <s v="Payment Failure"/>
    <x v="2"/>
    <s v="Major"/>
    <x v="3"/>
    <s v="IT"/>
    <x v="168"/>
    <s v=""/>
    <s v=""/>
    <x v="4"/>
    <x v="4"/>
    <x v="0"/>
    <n v="904.98"/>
    <s v=""/>
    <s v=""/>
    <s v=""/>
    <n v="3"/>
    <s v=""/>
  </r>
  <r>
    <s v="INC948143"/>
    <x v="5"/>
    <s v="Performance Issue"/>
    <x v="2"/>
    <s v="Critical"/>
    <x v="3"/>
    <s v="Customer Service"/>
    <x v="137"/>
    <s v=""/>
    <s v=""/>
    <x v="0"/>
    <x v="5"/>
    <x v="3"/>
    <n v="6835.41"/>
    <s v=""/>
    <s v=""/>
    <s v=""/>
    <n v="3"/>
    <s v=""/>
  </r>
  <r>
    <s v="INC430952"/>
    <x v="2"/>
    <s v="Processing Delay"/>
    <x v="3"/>
    <s v="Critical"/>
    <x v="1"/>
    <s v="Finance"/>
    <x v="169"/>
    <d v="2023-05-06T00:00:00"/>
    <n v="102"/>
    <x v="3"/>
    <x v="1"/>
    <x v="7"/>
    <n v="3365.75"/>
    <n v="3904.61"/>
    <n v="538.86"/>
    <n v="0.16010101760380305"/>
    <n v="10"/>
    <s v="No"/>
  </r>
  <r>
    <s v="INC967885"/>
    <x v="2"/>
    <s v="Integration Failure"/>
    <x v="2"/>
    <s v="Critical"/>
    <x v="3"/>
    <s v="IT"/>
    <x v="170"/>
    <d v="2023-10-02T00:00:00"/>
    <n v="2"/>
    <x v="3"/>
    <x v="5"/>
    <x v="6"/>
    <n v="14128.28"/>
    <n v="12574.4"/>
    <n v="-1553.88"/>
    <n v="-0.10998366397041968"/>
    <n v="3"/>
    <s v="Yes"/>
  </r>
  <r>
    <s v="INC635504"/>
    <x v="2"/>
    <s v="Performance Issue"/>
    <x v="1"/>
    <s v="Major"/>
    <x v="0"/>
    <s v="Compliance"/>
    <x v="171"/>
    <d v="2023-09-08T00:00:00"/>
    <n v="80"/>
    <x v="2"/>
    <x v="3"/>
    <x v="7"/>
    <n v="6837.31"/>
    <n v="8547.19"/>
    <n v="1709.88"/>
    <n v="0.25008080663301796"/>
    <n v="1"/>
    <s v="No"/>
  </r>
  <r>
    <s v="INC906771"/>
    <x v="0"/>
    <s v="Performance Issue"/>
    <x v="1"/>
    <s v="Minor"/>
    <x v="4"/>
    <s v="Finance"/>
    <x v="172"/>
    <d v="2024-07-31T00:00:00"/>
    <n v="89"/>
    <x v="2"/>
    <x v="1"/>
    <x v="4"/>
    <n v="8008.9"/>
    <n v="9371.14"/>
    <n v="1362.24"/>
    <n v="0.17009077401390951"/>
    <n v="1"/>
    <s v="No"/>
  </r>
  <r>
    <s v="INC239464"/>
    <x v="0"/>
    <s v="System Error"/>
    <x v="0"/>
    <s v="Minor"/>
    <x v="4"/>
    <s v="Billing"/>
    <x v="173"/>
    <d v="2024-02-24T00:00:00"/>
    <n v="72"/>
    <x v="3"/>
    <x v="3"/>
    <x v="3"/>
    <n v="6777.89"/>
    <n v="5897.32"/>
    <n v="-880.57"/>
    <n v="-0.12991801283290236"/>
    <n v="5"/>
    <s v="No"/>
  </r>
  <r>
    <s v="INC505495"/>
    <x v="3"/>
    <s v="Integration Failure"/>
    <x v="2"/>
    <s v="Critical"/>
    <x v="2"/>
    <s v="Customer Service"/>
    <x v="174"/>
    <d v="2024-08-27T00:00:00"/>
    <n v="106"/>
    <x v="3"/>
    <x v="2"/>
    <x v="1"/>
    <n v="25.4"/>
    <n v="30.82"/>
    <n v="5.42"/>
    <n v="0.21338582677165363"/>
    <n v="3"/>
    <s v="No"/>
  </r>
  <r>
    <s v="INC387325"/>
    <x v="6"/>
    <s v="Data Issue"/>
    <x v="3"/>
    <s v="Minor"/>
    <x v="4"/>
    <s v="Customer Service"/>
    <x v="175"/>
    <s v=""/>
    <s v=""/>
    <x v="1"/>
    <x v="5"/>
    <x v="5"/>
    <n v="8186.63"/>
    <s v=""/>
    <s v=""/>
    <s v=""/>
    <n v="10"/>
    <s v=""/>
  </r>
  <r>
    <s v="INC438260"/>
    <x v="4"/>
    <s v="User Access Issue"/>
    <x v="2"/>
    <s v="Critical"/>
    <x v="1"/>
    <s v="IT"/>
    <x v="176"/>
    <s v=""/>
    <s v=""/>
    <x v="4"/>
    <x v="2"/>
    <x v="1"/>
    <n v="30448.17"/>
    <s v=""/>
    <s v=""/>
    <s v=""/>
    <n v="3"/>
    <s v=""/>
  </r>
  <r>
    <s v="INC411765"/>
    <x v="2"/>
    <s v="Processing Delay"/>
    <x v="3"/>
    <s v="Moderate"/>
    <x v="2"/>
    <s v="Finance"/>
    <x v="88"/>
    <s v=""/>
    <s v=""/>
    <x v="0"/>
    <x v="5"/>
    <x v="2"/>
    <n v="13865.57"/>
    <s v=""/>
    <s v=""/>
    <s v=""/>
    <n v="10"/>
    <s v=""/>
  </r>
  <r>
    <s v="INC930635"/>
    <x v="4"/>
    <s v="Complaint"/>
    <x v="2"/>
    <s v="Major"/>
    <x v="1"/>
    <s v="Finance"/>
    <x v="177"/>
    <s v=""/>
    <s v=""/>
    <x v="1"/>
    <x v="1"/>
    <x v="6"/>
    <n v="26777.3"/>
    <s v=""/>
    <s v=""/>
    <s v=""/>
    <n v="3"/>
    <s v=""/>
  </r>
  <r>
    <s v="INC255182"/>
    <x v="4"/>
    <s v="Data Issue"/>
    <x v="1"/>
    <s v="Critical"/>
    <x v="0"/>
    <s v="Finance"/>
    <x v="178"/>
    <s v=""/>
    <s v=""/>
    <x v="0"/>
    <x v="1"/>
    <x v="7"/>
    <n v="4646.49"/>
    <s v=""/>
    <s v=""/>
    <s v=""/>
    <n v="1"/>
    <s v=""/>
  </r>
  <r>
    <s v="INC148578"/>
    <x v="0"/>
    <s v="Integration Failure"/>
    <x v="2"/>
    <s v="Major"/>
    <x v="4"/>
    <s v="Customer Service"/>
    <x v="179"/>
    <s v=""/>
    <s v=""/>
    <x v="4"/>
    <x v="1"/>
    <x v="0"/>
    <n v="4047.19"/>
    <s v=""/>
    <s v=""/>
    <s v=""/>
    <n v="3"/>
    <s v=""/>
  </r>
  <r>
    <s v="INC851687"/>
    <x v="3"/>
    <s v="Integration Failure"/>
    <x v="2"/>
    <s v="Major"/>
    <x v="1"/>
    <s v="Finance"/>
    <x v="102"/>
    <d v="2023-06-22T00:00:00"/>
    <n v="13"/>
    <x v="2"/>
    <x v="2"/>
    <x v="4"/>
    <n v="43.02"/>
    <n v="43.97"/>
    <n v="0.95"/>
    <n v="2.208275220827512E-2"/>
    <n v="3"/>
    <s v="No"/>
  </r>
  <r>
    <s v="INC973576"/>
    <x v="2"/>
    <s v="Integration Failure"/>
    <x v="3"/>
    <s v="Moderate"/>
    <x v="1"/>
    <s v="Billing"/>
    <x v="180"/>
    <s v=""/>
    <s v=""/>
    <x v="1"/>
    <x v="2"/>
    <x v="4"/>
    <n v="684.15"/>
    <s v=""/>
    <s v=""/>
    <s v=""/>
    <n v="10"/>
    <s v=""/>
  </r>
  <r>
    <s v="INC399537"/>
    <x v="5"/>
    <s v="Performance Issue"/>
    <x v="3"/>
    <s v="Critical"/>
    <x v="1"/>
    <s v="Billing"/>
    <x v="146"/>
    <d v="2024-03-26T00:00:00"/>
    <n v="36"/>
    <x v="2"/>
    <x v="0"/>
    <x v="6"/>
    <n v="406.96"/>
    <n v="484.76"/>
    <n v="77.8"/>
    <n v="0.19117357971299395"/>
    <n v="10"/>
    <s v="No"/>
  </r>
  <r>
    <s v="INC254462"/>
    <x v="0"/>
    <s v="System Error"/>
    <x v="1"/>
    <s v="Minor"/>
    <x v="1"/>
    <s v="Customer Service"/>
    <x v="181"/>
    <d v="2024-05-27T00:00:00"/>
    <n v="78"/>
    <x v="3"/>
    <x v="1"/>
    <x v="3"/>
    <n v="494.74"/>
    <n v="598.9"/>
    <n v="104.16"/>
    <n v="0.21053482637344861"/>
    <n v="1"/>
    <s v="No"/>
  </r>
  <r>
    <s v="INC253695"/>
    <x v="4"/>
    <s v="Processing Delay"/>
    <x v="3"/>
    <s v="Critical"/>
    <x v="1"/>
    <s v="Compliance"/>
    <x v="182"/>
    <s v=""/>
    <s v=""/>
    <x v="0"/>
    <x v="1"/>
    <x v="5"/>
    <n v="0.42"/>
    <s v=""/>
    <s v=""/>
    <s v=""/>
    <n v="10"/>
    <s v=""/>
  </r>
  <r>
    <s v="INC524692"/>
    <x v="0"/>
    <s v="Payment Failure"/>
    <x v="0"/>
    <s v="Moderate"/>
    <x v="0"/>
    <s v="Compliance"/>
    <x v="41"/>
    <s v=""/>
    <s v=""/>
    <x v="0"/>
    <x v="4"/>
    <x v="2"/>
    <n v="211.84"/>
    <s v=""/>
    <s v=""/>
    <s v=""/>
    <n v="5"/>
    <s v=""/>
  </r>
  <r>
    <s v="INC437924"/>
    <x v="2"/>
    <s v="Data Issue"/>
    <x v="3"/>
    <s v="Critical"/>
    <x v="3"/>
    <s v="Compliance"/>
    <x v="97"/>
    <d v="2023-05-08T00:00:00"/>
    <n v="79"/>
    <x v="2"/>
    <x v="2"/>
    <x v="6"/>
    <n v="5290.29"/>
    <n v="6296.36"/>
    <n v="1006.07"/>
    <n v="0.19017293947968822"/>
    <n v="10"/>
    <s v="No"/>
  </r>
  <r>
    <s v="INC173371"/>
    <x v="1"/>
    <s v="Processing Delay"/>
    <x v="3"/>
    <s v="Critical"/>
    <x v="2"/>
    <s v="Billing"/>
    <x v="183"/>
    <s v=""/>
    <s v=""/>
    <x v="1"/>
    <x v="4"/>
    <x v="1"/>
    <n v="4269.3999999999996"/>
    <s v=""/>
    <s v=""/>
    <s v=""/>
    <n v="10"/>
    <s v=""/>
  </r>
  <r>
    <s v="INC398811"/>
    <x v="2"/>
    <s v="Integration Failure"/>
    <x v="3"/>
    <s v="Minor"/>
    <x v="0"/>
    <s v="Finance"/>
    <x v="184"/>
    <s v=""/>
    <s v=""/>
    <x v="4"/>
    <x v="4"/>
    <x v="0"/>
    <n v="348.29"/>
    <s v=""/>
    <s v=""/>
    <s v=""/>
    <n v="10"/>
    <s v=""/>
  </r>
  <r>
    <s v="INC553800"/>
    <x v="2"/>
    <s v="Data Issue"/>
    <x v="1"/>
    <s v="Major"/>
    <x v="4"/>
    <s v="IT"/>
    <x v="156"/>
    <s v=""/>
    <s v=""/>
    <x v="0"/>
    <x v="0"/>
    <x v="6"/>
    <n v="4160"/>
    <s v=""/>
    <s v=""/>
    <s v=""/>
    <n v="1"/>
    <s v=""/>
  </r>
  <r>
    <s v="INC102290"/>
    <x v="2"/>
    <s v="User Access Issue"/>
    <x v="3"/>
    <s v="Major"/>
    <x v="4"/>
    <s v="Billing"/>
    <x v="185"/>
    <s v=""/>
    <s v=""/>
    <x v="1"/>
    <x v="1"/>
    <x v="5"/>
    <n v="7885.3"/>
    <s v=""/>
    <s v=""/>
    <s v=""/>
    <n v="10"/>
    <s v=""/>
  </r>
  <r>
    <s v="INC886729"/>
    <x v="5"/>
    <s v="Integration Failure"/>
    <x v="0"/>
    <s v="Major"/>
    <x v="1"/>
    <s v="Claims"/>
    <x v="186"/>
    <s v=""/>
    <s v=""/>
    <x v="0"/>
    <x v="5"/>
    <x v="7"/>
    <n v="14049.62"/>
    <s v=""/>
    <s v=""/>
    <s v=""/>
    <n v="5"/>
    <s v=""/>
  </r>
  <r>
    <s v="INC396013"/>
    <x v="0"/>
    <s v="Complaint"/>
    <x v="2"/>
    <s v="Moderate"/>
    <x v="0"/>
    <s v="Compliance"/>
    <x v="54"/>
    <s v=""/>
    <s v=""/>
    <x v="4"/>
    <x v="0"/>
    <x v="2"/>
    <n v="5151.67"/>
    <s v=""/>
    <s v=""/>
    <s v=""/>
    <n v="3"/>
    <s v=""/>
  </r>
  <r>
    <s v="INC668997"/>
    <x v="6"/>
    <s v="Complaint"/>
    <x v="1"/>
    <s v="Moderate"/>
    <x v="3"/>
    <s v="Claims"/>
    <x v="101"/>
    <d v="2024-07-13T00:00:00"/>
    <n v="80"/>
    <x v="2"/>
    <x v="3"/>
    <x v="6"/>
    <n v="4215.51"/>
    <n v="4216.09"/>
    <n v="0.57999999999999996"/>
    <n v="1.3758714841144421E-4"/>
    <n v="1"/>
    <s v="No"/>
  </r>
  <r>
    <s v="INC571834"/>
    <x v="1"/>
    <s v="System Error"/>
    <x v="3"/>
    <s v="Minor"/>
    <x v="2"/>
    <s v="IT"/>
    <x v="187"/>
    <s v=""/>
    <s v=""/>
    <x v="0"/>
    <x v="0"/>
    <x v="2"/>
    <n v="898.27"/>
    <s v=""/>
    <s v=""/>
    <s v=""/>
    <n v="10"/>
    <s v=""/>
  </r>
  <r>
    <s v="INC666310"/>
    <x v="5"/>
    <s v="User Access Issue"/>
    <x v="3"/>
    <s v="Minor"/>
    <x v="0"/>
    <s v="Compliance"/>
    <x v="120"/>
    <s v=""/>
    <s v=""/>
    <x v="0"/>
    <x v="2"/>
    <x v="0"/>
    <n v="13667.67"/>
    <s v=""/>
    <s v=""/>
    <s v=""/>
    <n v="10"/>
    <s v=""/>
  </r>
  <r>
    <s v="INC901491"/>
    <x v="3"/>
    <s v="Payment Failure"/>
    <x v="0"/>
    <s v="Critical"/>
    <x v="2"/>
    <s v="IT"/>
    <x v="188"/>
    <s v=""/>
    <s v=""/>
    <x v="4"/>
    <x v="2"/>
    <x v="6"/>
    <n v="98.99"/>
    <s v=""/>
    <s v=""/>
    <s v=""/>
    <n v="5"/>
    <s v=""/>
  </r>
  <r>
    <s v="INC909348"/>
    <x v="2"/>
    <s v="Complaint"/>
    <x v="2"/>
    <s v="Major"/>
    <x v="0"/>
    <s v="Finance"/>
    <x v="93"/>
    <s v=""/>
    <s v=""/>
    <x v="0"/>
    <x v="5"/>
    <x v="0"/>
    <n v="0.48"/>
    <s v=""/>
    <s v=""/>
    <s v=""/>
    <n v="3"/>
    <s v=""/>
  </r>
  <r>
    <s v="INC683185"/>
    <x v="5"/>
    <s v="Payment Failure"/>
    <x v="0"/>
    <s v="Critical"/>
    <x v="1"/>
    <s v="Compliance"/>
    <x v="189"/>
    <s v=""/>
    <s v=""/>
    <x v="4"/>
    <x v="5"/>
    <x v="1"/>
    <n v="0.02"/>
    <s v=""/>
    <s v=""/>
    <s v=""/>
    <n v="5"/>
    <s v=""/>
  </r>
  <r>
    <s v="INC234078"/>
    <x v="6"/>
    <s v="Payment Failure"/>
    <x v="2"/>
    <s v="Major"/>
    <x v="2"/>
    <s v="Compliance"/>
    <x v="190"/>
    <d v="2023-11-23T00:00:00"/>
    <n v="66"/>
    <x v="3"/>
    <x v="4"/>
    <x v="3"/>
    <n v="13033.59"/>
    <n v="15119.76"/>
    <n v="2086.17"/>
    <n v="0.16006104227614956"/>
    <n v="3"/>
    <s v="No"/>
  </r>
  <r>
    <s v="INC211182"/>
    <x v="1"/>
    <s v="Payment Failure"/>
    <x v="3"/>
    <s v="Critical"/>
    <x v="3"/>
    <s v="Claims"/>
    <x v="64"/>
    <d v="2023-04-27T00:00:00"/>
    <n v="94"/>
    <x v="3"/>
    <x v="1"/>
    <x v="4"/>
    <n v="26061.45"/>
    <n v="31795.040000000001"/>
    <n v="5733.59"/>
    <n v="0.22000272433038071"/>
    <n v="10"/>
    <s v="No"/>
  </r>
  <r>
    <s v="INC496528"/>
    <x v="5"/>
    <s v="Performance Issue"/>
    <x v="0"/>
    <s v="Major"/>
    <x v="3"/>
    <s v="Claims"/>
    <x v="95"/>
    <s v=""/>
    <s v=""/>
    <x v="0"/>
    <x v="3"/>
    <x v="6"/>
    <n v="84.96"/>
    <s v=""/>
    <s v=""/>
    <s v=""/>
    <n v="5"/>
    <s v=""/>
  </r>
  <r>
    <s v="INC527388"/>
    <x v="4"/>
    <s v="Integration Failure"/>
    <x v="0"/>
    <s v="Major"/>
    <x v="2"/>
    <s v="Customer Service"/>
    <x v="191"/>
    <s v=""/>
    <s v=""/>
    <x v="0"/>
    <x v="4"/>
    <x v="3"/>
    <n v="27.39"/>
    <s v=""/>
    <s v=""/>
    <s v=""/>
    <n v="5"/>
    <s v=""/>
  </r>
  <r>
    <s v="INC651368"/>
    <x v="3"/>
    <s v="Processing Delay"/>
    <x v="0"/>
    <s v="Major"/>
    <x v="0"/>
    <s v="Claims"/>
    <x v="192"/>
    <d v="2023-06-27T00:00:00"/>
    <n v="94"/>
    <x v="3"/>
    <x v="1"/>
    <x v="0"/>
    <n v="21837.33"/>
    <n v="22929.65"/>
    <n v="1092.32"/>
    <n v="5.0020767190860772E-2"/>
    <n v="5"/>
    <s v="No"/>
  </r>
  <r>
    <s v="INC324887"/>
    <x v="1"/>
    <s v="Data Issue"/>
    <x v="3"/>
    <s v="Major"/>
    <x v="0"/>
    <s v="Claims"/>
    <x v="193"/>
    <s v=""/>
    <s v=""/>
    <x v="1"/>
    <x v="0"/>
    <x v="5"/>
    <n v="1161.8900000000001"/>
    <s v=""/>
    <s v=""/>
    <s v=""/>
    <n v="10"/>
    <s v=""/>
  </r>
  <r>
    <s v="INC452233"/>
    <x v="0"/>
    <s v="Performance Issue"/>
    <x v="2"/>
    <s v="Minor"/>
    <x v="3"/>
    <s v="Finance"/>
    <x v="43"/>
    <d v="2023-07-11T00:00:00"/>
    <n v="44"/>
    <x v="2"/>
    <x v="4"/>
    <x v="7"/>
    <n v="280.70999999999998"/>
    <n v="301.14"/>
    <n v="20.43"/>
    <n v="7.2779737095222855E-2"/>
    <n v="3"/>
    <s v="No"/>
  </r>
  <r>
    <s v="INC154972"/>
    <x v="4"/>
    <s v="System Error"/>
    <x v="2"/>
    <s v="Minor"/>
    <x v="0"/>
    <s v="IT"/>
    <x v="194"/>
    <s v=""/>
    <s v=""/>
    <x v="1"/>
    <x v="0"/>
    <x v="4"/>
    <n v="25767.47"/>
    <s v=""/>
    <s v=""/>
    <s v=""/>
    <n v="3"/>
    <s v=""/>
  </r>
  <r>
    <s v="INC955845"/>
    <x v="5"/>
    <s v="System Error"/>
    <x v="3"/>
    <s v="Critical"/>
    <x v="1"/>
    <s v="Customer Service"/>
    <x v="195"/>
    <s v=""/>
    <s v=""/>
    <x v="4"/>
    <x v="4"/>
    <x v="0"/>
    <n v="1232.22"/>
    <s v=""/>
    <s v=""/>
    <s v=""/>
    <n v="10"/>
    <s v=""/>
  </r>
  <r>
    <s v="INC639928"/>
    <x v="0"/>
    <s v="Complaint"/>
    <x v="2"/>
    <s v="Minor"/>
    <x v="0"/>
    <s v="Claims"/>
    <x v="91"/>
    <d v="2024-05-20T00:00:00"/>
    <n v="42"/>
    <x v="2"/>
    <x v="1"/>
    <x v="7"/>
    <n v="15323.75"/>
    <n v="18542.12"/>
    <n v="3218.37"/>
    <n v="0.21002496125295694"/>
    <n v="3"/>
    <s v="No"/>
  </r>
  <r>
    <s v="INC559452"/>
    <x v="5"/>
    <s v="Integration Failure"/>
    <x v="0"/>
    <s v="Critical"/>
    <x v="1"/>
    <s v="Compliance"/>
    <x v="196"/>
    <s v=""/>
    <s v=""/>
    <x v="1"/>
    <x v="5"/>
    <x v="1"/>
    <n v="25980.71"/>
    <s v=""/>
    <s v=""/>
    <s v=""/>
    <n v="5"/>
    <s v=""/>
  </r>
  <r>
    <s v="INC597576"/>
    <x v="1"/>
    <s v="Payment Failure"/>
    <x v="1"/>
    <s v="Moderate"/>
    <x v="0"/>
    <s v="Customer Service"/>
    <x v="67"/>
    <s v=""/>
    <s v=""/>
    <x v="4"/>
    <x v="1"/>
    <x v="7"/>
    <n v="289.52"/>
    <s v=""/>
    <s v=""/>
    <s v=""/>
    <n v="1"/>
    <s v=""/>
  </r>
  <r>
    <s v="INC141787"/>
    <x v="1"/>
    <s v="Data Issue"/>
    <x v="2"/>
    <s v="Critical"/>
    <x v="1"/>
    <s v="Billing"/>
    <x v="197"/>
    <s v=""/>
    <s v=""/>
    <x v="4"/>
    <x v="1"/>
    <x v="2"/>
    <n v="6121.59"/>
    <s v=""/>
    <s v=""/>
    <s v=""/>
    <n v="3"/>
    <s v=""/>
  </r>
  <r>
    <s v="INC872221"/>
    <x v="3"/>
    <s v="Performance Issue"/>
    <x v="1"/>
    <s v="Critical"/>
    <x v="4"/>
    <s v="IT"/>
    <x v="198"/>
    <s v=""/>
    <s v=""/>
    <x v="0"/>
    <x v="3"/>
    <x v="6"/>
    <n v="929.83"/>
    <s v=""/>
    <s v=""/>
    <s v=""/>
    <n v="1"/>
    <s v=""/>
  </r>
  <r>
    <s v="INC216049"/>
    <x v="1"/>
    <s v="Complaint"/>
    <x v="1"/>
    <s v="Major"/>
    <x v="3"/>
    <s v="Finance"/>
    <x v="199"/>
    <s v=""/>
    <s v=""/>
    <x v="1"/>
    <x v="3"/>
    <x v="1"/>
    <n v="7765.08"/>
    <s v=""/>
    <s v=""/>
    <s v=""/>
    <n v="1"/>
    <s v=""/>
  </r>
  <r>
    <s v="INC470815"/>
    <x v="6"/>
    <s v="Payment Failure"/>
    <x v="1"/>
    <s v="Moderate"/>
    <x v="4"/>
    <s v="Billing"/>
    <x v="200"/>
    <s v=""/>
    <s v=""/>
    <x v="4"/>
    <x v="2"/>
    <x v="5"/>
    <n v="6500.24"/>
    <s v=""/>
    <s v=""/>
    <s v=""/>
    <n v="1"/>
    <s v=""/>
  </r>
  <r>
    <s v="INC830479"/>
    <x v="1"/>
    <s v="Complaint"/>
    <x v="2"/>
    <s v="Moderate"/>
    <x v="3"/>
    <s v="Customer Service"/>
    <x v="201"/>
    <d v="2023-06-25T00:00:00"/>
    <n v="54"/>
    <x v="2"/>
    <x v="4"/>
    <x v="0"/>
    <n v="8079.53"/>
    <n v="7352.47"/>
    <n v="-727.06"/>
    <n v="-8.9987907712453505E-2"/>
    <n v="3"/>
    <s v="No"/>
  </r>
  <r>
    <s v="INC476209"/>
    <x v="0"/>
    <s v="Processing Delay"/>
    <x v="3"/>
    <s v="Minor"/>
    <x v="3"/>
    <s v="Compliance"/>
    <x v="180"/>
    <s v=""/>
    <s v=""/>
    <x v="0"/>
    <x v="4"/>
    <x v="2"/>
    <n v="5946.95"/>
    <s v=""/>
    <s v=""/>
    <s v=""/>
    <n v="10"/>
    <s v=""/>
  </r>
  <r>
    <s v="INC342954"/>
    <x v="5"/>
    <s v="User Access Issue"/>
    <x v="2"/>
    <s v="Critical"/>
    <x v="2"/>
    <s v="Compliance"/>
    <x v="197"/>
    <s v=""/>
    <s v=""/>
    <x v="0"/>
    <x v="4"/>
    <x v="6"/>
    <n v="2624.09"/>
    <s v=""/>
    <s v=""/>
    <s v=""/>
    <n v="3"/>
    <s v=""/>
  </r>
  <r>
    <s v="INC315227"/>
    <x v="2"/>
    <s v="System Error"/>
    <x v="1"/>
    <s v="Moderate"/>
    <x v="3"/>
    <s v="IT"/>
    <x v="138"/>
    <s v=""/>
    <s v=""/>
    <x v="1"/>
    <x v="1"/>
    <x v="2"/>
    <n v="240.49"/>
    <s v=""/>
    <s v=""/>
    <s v=""/>
    <n v="1"/>
    <s v=""/>
  </r>
  <r>
    <s v="INC378722"/>
    <x v="2"/>
    <s v="Processing Delay"/>
    <x v="0"/>
    <s v="Moderate"/>
    <x v="3"/>
    <s v="Customer Service"/>
    <x v="202"/>
    <s v=""/>
    <s v=""/>
    <x v="0"/>
    <x v="2"/>
    <x v="7"/>
    <n v="270.91000000000003"/>
    <s v=""/>
    <s v=""/>
    <s v=""/>
    <n v="5"/>
    <s v=""/>
  </r>
  <r>
    <s v="INC840102"/>
    <x v="4"/>
    <s v="System Error"/>
    <x v="0"/>
    <s v="Major"/>
    <x v="1"/>
    <s v="Customer Service"/>
    <x v="175"/>
    <d v="2023-10-21T00:00:00"/>
    <n v="26"/>
    <x v="3"/>
    <x v="3"/>
    <x v="2"/>
    <n v="5493.04"/>
    <n v="5823.21"/>
    <n v="330.17"/>
    <n v="6.0106971731500237E-2"/>
    <n v="5"/>
    <s v="No"/>
  </r>
  <r>
    <s v="INC366559"/>
    <x v="2"/>
    <s v="Data Issue"/>
    <x v="2"/>
    <s v="Major"/>
    <x v="2"/>
    <s v="Finance"/>
    <x v="203"/>
    <d v="2024-08-28T00:00:00"/>
    <n v="64"/>
    <x v="2"/>
    <x v="2"/>
    <x v="2"/>
    <n v="44.3"/>
    <n v="41.12"/>
    <n v="-3.18"/>
    <n v="-7.1783295711060943E-2"/>
    <n v="3"/>
    <s v="No"/>
  </r>
  <r>
    <s v="INC506364"/>
    <x v="1"/>
    <s v="Integration Failure"/>
    <x v="0"/>
    <s v="Major"/>
    <x v="0"/>
    <s v="Compliance"/>
    <x v="32"/>
    <s v=""/>
    <s v=""/>
    <x v="1"/>
    <x v="4"/>
    <x v="6"/>
    <n v="38.42"/>
    <s v=""/>
    <s v=""/>
    <s v=""/>
    <n v="5"/>
    <s v=""/>
  </r>
  <r>
    <s v="INC811931"/>
    <x v="6"/>
    <s v="Complaint"/>
    <x v="1"/>
    <s v="Moderate"/>
    <x v="4"/>
    <s v="Billing"/>
    <x v="204"/>
    <s v=""/>
    <s v=""/>
    <x v="4"/>
    <x v="3"/>
    <x v="5"/>
    <n v="6902.45"/>
    <s v=""/>
    <s v=""/>
    <s v=""/>
    <n v="1"/>
    <s v=""/>
  </r>
  <r>
    <s v="INC223890"/>
    <x v="2"/>
    <s v="Payment Failure"/>
    <x v="1"/>
    <s v="Minor"/>
    <x v="1"/>
    <s v="Claims"/>
    <x v="205"/>
    <s v=""/>
    <s v=""/>
    <x v="4"/>
    <x v="3"/>
    <x v="5"/>
    <n v="1266"/>
    <s v=""/>
    <s v=""/>
    <s v=""/>
    <n v="1"/>
    <s v=""/>
  </r>
  <r>
    <s v="INC273085"/>
    <x v="5"/>
    <s v="Data Issue"/>
    <x v="2"/>
    <s v="Moderate"/>
    <x v="4"/>
    <s v="Billing"/>
    <x v="21"/>
    <s v=""/>
    <s v=""/>
    <x v="1"/>
    <x v="4"/>
    <x v="0"/>
    <n v="666.09"/>
    <s v=""/>
    <s v=""/>
    <s v=""/>
    <n v="3"/>
    <s v=""/>
  </r>
  <r>
    <s v="INC546161"/>
    <x v="4"/>
    <s v="Processing Delay"/>
    <x v="2"/>
    <s v="Minor"/>
    <x v="3"/>
    <s v="Billing"/>
    <x v="194"/>
    <d v="2023-12-08T00:00:00"/>
    <n v="2"/>
    <x v="3"/>
    <x v="3"/>
    <x v="7"/>
    <n v="1915.67"/>
    <n v="1705.08"/>
    <n v="-210.59"/>
    <n v="-0.10993020718599766"/>
    <n v="3"/>
    <s v="Yes"/>
  </r>
  <r>
    <s v="INC248650"/>
    <x v="0"/>
    <s v="Processing Delay"/>
    <x v="1"/>
    <s v="Moderate"/>
    <x v="2"/>
    <s v="Finance"/>
    <x v="186"/>
    <d v="2023-04-30T00:00:00"/>
    <n v="12"/>
    <x v="3"/>
    <x v="0"/>
    <x v="6"/>
    <n v="15308.17"/>
    <n v="17451.900000000001"/>
    <n v="2143.73"/>
    <n v="0.14003829327738074"/>
    <n v="1"/>
    <s v="No"/>
  </r>
  <r>
    <s v="INC190292"/>
    <x v="4"/>
    <s v="Performance Issue"/>
    <x v="1"/>
    <s v="Major"/>
    <x v="2"/>
    <s v="Claims"/>
    <x v="199"/>
    <d v="2024-04-04T00:00:00"/>
    <n v="43"/>
    <x v="2"/>
    <x v="4"/>
    <x v="7"/>
    <n v="182.7"/>
    <n v="217.92"/>
    <n v="35.22"/>
    <n v="0.19277504105090312"/>
    <n v="1"/>
    <s v="No"/>
  </r>
  <r>
    <s v="INC613317"/>
    <x v="4"/>
    <s v="Payment Failure"/>
    <x v="0"/>
    <s v="Minor"/>
    <x v="0"/>
    <s v="IT"/>
    <x v="39"/>
    <s v=""/>
    <s v=""/>
    <x v="1"/>
    <x v="4"/>
    <x v="5"/>
    <n v="3695.51"/>
    <s v=""/>
    <s v=""/>
    <s v=""/>
    <n v="5"/>
    <s v=""/>
  </r>
  <r>
    <s v="INC282685"/>
    <x v="0"/>
    <s v="Processing Delay"/>
    <x v="2"/>
    <s v="Critical"/>
    <x v="4"/>
    <s v="Billing"/>
    <x v="174"/>
    <d v="2024-05-16T00:00:00"/>
    <n v="3"/>
    <x v="2"/>
    <x v="1"/>
    <x v="6"/>
    <n v="15833.68"/>
    <n v="17733.95"/>
    <n v="1900.27"/>
    <n v="0.12001442494732749"/>
    <n v="3"/>
    <s v="Yes"/>
  </r>
  <r>
    <s v="INC378802"/>
    <x v="4"/>
    <s v="Processing Delay"/>
    <x v="0"/>
    <s v="Major"/>
    <x v="4"/>
    <s v="Billing"/>
    <x v="206"/>
    <s v=""/>
    <s v=""/>
    <x v="1"/>
    <x v="2"/>
    <x v="6"/>
    <n v="455.8"/>
    <s v=""/>
    <s v=""/>
    <s v=""/>
    <n v="5"/>
    <s v=""/>
  </r>
  <r>
    <s v="INC467920"/>
    <x v="1"/>
    <s v="Complaint"/>
    <x v="3"/>
    <s v="Critical"/>
    <x v="1"/>
    <s v="Compliance"/>
    <x v="82"/>
    <s v=""/>
    <s v=""/>
    <x v="4"/>
    <x v="2"/>
    <x v="3"/>
    <n v="666.14"/>
    <s v=""/>
    <s v=""/>
    <s v=""/>
    <n v="10"/>
    <s v=""/>
  </r>
  <r>
    <s v="INC386217"/>
    <x v="0"/>
    <s v="Payment Failure"/>
    <x v="3"/>
    <s v="Minor"/>
    <x v="1"/>
    <s v="Billing"/>
    <x v="207"/>
    <s v=""/>
    <s v=""/>
    <x v="0"/>
    <x v="3"/>
    <x v="2"/>
    <n v="1472.91"/>
    <s v=""/>
    <s v=""/>
    <s v=""/>
    <n v="10"/>
    <s v=""/>
  </r>
  <r>
    <s v="INC303923"/>
    <x v="3"/>
    <s v="Payment Failure"/>
    <x v="2"/>
    <s v="Moderate"/>
    <x v="3"/>
    <s v="Claims"/>
    <x v="208"/>
    <s v=""/>
    <s v=""/>
    <x v="1"/>
    <x v="0"/>
    <x v="0"/>
    <n v="1712.01"/>
    <s v=""/>
    <s v=""/>
    <s v=""/>
    <n v="3"/>
    <s v=""/>
  </r>
  <r>
    <s v="INC680382"/>
    <x v="6"/>
    <s v="System Error"/>
    <x v="2"/>
    <s v="Minor"/>
    <x v="3"/>
    <s v="IT"/>
    <x v="209"/>
    <s v=""/>
    <s v=""/>
    <x v="1"/>
    <x v="4"/>
    <x v="2"/>
    <n v="1702.27"/>
    <s v=""/>
    <s v=""/>
    <s v=""/>
    <n v="3"/>
    <s v=""/>
  </r>
  <r>
    <s v="INC568524"/>
    <x v="5"/>
    <s v="Integration Failure"/>
    <x v="0"/>
    <s v="Minor"/>
    <x v="3"/>
    <s v="Finance"/>
    <x v="210"/>
    <s v=""/>
    <s v=""/>
    <x v="4"/>
    <x v="5"/>
    <x v="1"/>
    <n v="3467.27"/>
    <s v=""/>
    <s v=""/>
    <s v=""/>
    <n v="5"/>
    <s v=""/>
  </r>
  <r>
    <s v="INC199098"/>
    <x v="1"/>
    <s v="User Access Issue"/>
    <x v="3"/>
    <s v="Minor"/>
    <x v="0"/>
    <s v="Claims"/>
    <x v="211"/>
    <s v=""/>
    <s v=""/>
    <x v="4"/>
    <x v="2"/>
    <x v="0"/>
    <n v="93.43"/>
    <s v=""/>
    <s v=""/>
    <s v=""/>
    <n v="10"/>
    <s v=""/>
  </r>
  <r>
    <s v="INC219260"/>
    <x v="4"/>
    <s v="Performance Issue"/>
    <x v="0"/>
    <s v="Major"/>
    <x v="1"/>
    <s v="Compliance"/>
    <x v="177"/>
    <d v="2024-05-21T00:00:00"/>
    <n v="37"/>
    <x v="3"/>
    <x v="0"/>
    <x v="1"/>
    <n v="24464.21"/>
    <n v="25442.89"/>
    <n v="978.68"/>
    <n v="4.0004561765942998E-2"/>
    <n v="5"/>
    <s v="No"/>
  </r>
  <r>
    <s v="INC824228"/>
    <x v="6"/>
    <s v="Processing Delay"/>
    <x v="3"/>
    <s v="Critical"/>
    <x v="3"/>
    <s v="Customer Service"/>
    <x v="95"/>
    <s v=""/>
    <s v=""/>
    <x v="1"/>
    <x v="0"/>
    <x v="5"/>
    <n v="276.68"/>
    <s v=""/>
    <s v=""/>
    <s v=""/>
    <n v="10"/>
    <s v=""/>
  </r>
  <r>
    <s v="INC637384"/>
    <x v="2"/>
    <s v="Data Issue"/>
    <x v="2"/>
    <s v="Major"/>
    <x v="3"/>
    <s v="IT"/>
    <x v="56"/>
    <d v="2024-08-11T00:00:00"/>
    <n v="101"/>
    <x v="2"/>
    <x v="4"/>
    <x v="4"/>
    <n v="21330.76"/>
    <n v="24103.81"/>
    <n v="2773.05"/>
    <n v="0.13000240028953508"/>
    <n v="3"/>
    <s v="No"/>
  </r>
  <r>
    <s v="INC450025"/>
    <x v="6"/>
    <s v="System Error"/>
    <x v="0"/>
    <s v="Major"/>
    <x v="4"/>
    <s v="Customer Service"/>
    <x v="212"/>
    <s v=""/>
    <s v=""/>
    <x v="1"/>
    <x v="2"/>
    <x v="5"/>
    <n v="5542.56"/>
    <s v=""/>
    <s v=""/>
    <s v=""/>
    <n v="5"/>
    <s v=""/>
  </r>
  <r>
    <s v="INC387549"/>
    <x v="3"/>
    <s v="Complaint"/>
    <x v="3"/>
    <s v="Moderate"/>
    <x v="0"/>
    <s v="Billing"/>
    <x v="213"/>
    <s v=""/>
    <s v=""/>
    <x v="0"/>
    <x v="4"/>
    <x v="5"/>
    <n v="61.72"/>
    <s v=""/>
    <s v=""/>
    <s v=""/>
    <n v="10"/>
    <s v=""/>
  </r>
  <r>
    <s v="INC212725"/>
    <x v="6"/>
    <s v="Integration Failure"/>
    <x v="0"/>
    <s v="Minor"/>
    <x v="1"/>
    <s v="Billing"/>
    <x v="214"/>
    <d v="2024-05-21T00:00:00"/>
    <n v="50"/>
    <x v="2"/>
    <x v="3"/>
    <x v="7"/>
    <n v="0.36"/>
    <n v="1.36"/>
    <n v="1"/>
    <n v="2.7777777777777777"/>
    <n v="5"/>
    <s v="No"/>
  </r>
  <r>
    <s v="INC606425"/>
    <x v="1"/>
    <s v="Data Issue"/>
    <x v="0"/>
    <s v="Minor"/>
    <x v="3"/>
    <s v="Customer Service"/>
    <x v="27"/>
    <s v=""/>
    <s v=""/>
    <x v="1"/>
    <x v="0"/>
    <x v="2"/>
    <n v="13993.95"/>
    <s v=""/>
    <s v=""/>
    <s v=""/>
    <n v="5"/>
    <s v=""/>
  </r>
  <r>
    <s v="INC433510"/>
    <x v="1"/>
    <s v="Data Issue"/>
    <x v="0"/>
    <s v="Critical"/>
    <x v="3"/>
    <s v="Compliance"/>
    <x v="34"/>
    <d v="2023-06-14T00:00:00"/>
    <n v="1"/>
    <x v="3"/>
    <x v="5"/>
    <x v="0"/>
    <n v="3089.78"/>
    <n v="3151.82"/>
    <n v="62.04"/>
    <n v="2.0079099482811062E-2"/>
    <n v="5"/>
    <s v="Yes"/>
  </r>
  <r>
    <s v="INC690991"/>
    <x v="1"/>
    <s v="Payment Failure"/>
    <x v="1"/>
    <s v="Minor"/>
    <x v="1"/>
    <s v="IT"/>
    <x v="215"/>
    <d v="2023-10-23T00:00:00"/>
    <n v="110"/>
    <x v="3"/>
    <x v="1"/>
    <x v="0"/>
    <n v="214.1"/>
    <n v="205.54"/>
    <n v="-8.56"/>
    <n v="-3.9981317141522664E-2"/>
    <n v="1"/>
    <s v="No"/>
  </r>
  <r>
    <s v="INC687142"/>
    <x v="6"/>
    <s v="Data Issue"/>
    <x v="1"/>
    <s v="Moderate"/>
    <x v="1"/>
    <s v="Billing"/>
    <x v="216"/>
    <s v=""/>
    <s v=""/>
    <x v="0"/>
    <x v="3"/>
    <x v="2"/>
    <n v="86.54"/>
    <s v=""/>
    <s v=""/>
    <s v=""/>
    <n v="1"/>
    <s v=""/>
  </r>
  <r>
    <s v="INC553000"/>
    <x v="4"/>
    <s v="Payment Failure"/>
    <x v="1"/>
    <s v="Major"/>
    <x v="0"/>
    <s v="Billing"/>
    <x v="217"/>
    <s v=""/>
    <s v=""/>
    <x v="4"/>
    <x v="0"/>
    <x v="2"/>
    <n v="1234.94"/>
    <s v=""/>
    <s v=""/>
    <s v=""/>
    <n v="1"/>
    <s v=""/>
  </r>
  <r>
    <s v="INC899469"/>
    <x v="0"/>
    <s v="Integration Failure"/>
    <x v="1"/>
    <s v="Critical"/>
    <x v="1"/>
    <s v="IT"/>
    <x v="218"/>
    <s v=""/>
    <s v=""/>
    <x v="0"/>
    <x v="5"/>
    <x v="4"/>
    <n v="340.02"/>
    <s v=""/>
    <s v=""/>
    <s v=""/>
    <n v="1"/>
    <s v=""/>
  </r>
  <r>
    <s v="INC824502"/>
    <x v="0"/>
    <s v="Complaint"/>
    <x v="1"/>
    <s v="Moderate"/>
    <x v="3"/>
    <s v="Finance"/>
    <x v="219"/>
    <d v="2023-11-28T00:00:00"/>
    <n v="88"/>
    <x v="2"/>
    <x v="5"/>
    <x v="5"/>
    <n v="7278.43"/>
    <n v="6697.12"/>
    <n v="-581.30999999999995"/>
    <n v="-7.98674988974271E-2"/>
    <n v="1"/>
    <s v="No"/>
  </r>
  <r>
    <s v="INC889410"/>
    <x v="6"/>
    <s v="Processing Delay"/>
    <x v="2"/>
    <s v="Critical"/>
    <x v="1"/>
    <s v="Finance"/>
    <x v="220"/>
    <s v=""/>
    <s v=""/>
    <x v="0"/>
    <x v="0"/>
    <x v="0"/>
    <n v="2988.58"/>
    <s v=""/>
    <s v=""/>
    <s v=""/>
    <n v="3"/>
    <s v=""/>
  </r>
  <r>
    <s v="INC606942"/>
    <x v="0"/>
    <s v="System Error"/>
    <x v="2"/>
    <s v="Major"/>
    <x v="2"/>
    <s v="Compliance"/>
    <x v="221"/>
    <s v=""/>
    <s v=""/>
    <x v="1"/>
    <x v="2"/>
    <x v="4"/>
    <n v="98.21"/>
    <s v=""/>
    <s v=""/>
    <s v=""/>
    <n v="3"/>
    <s v=""/>
  </r>
  <r>
    <s v="INC924729"/>
    <x v="5"/>
    <s v="Performance Issue"/>
    <x v="1"/>
    <s v="Minor"/>
    <x v="2"/>
    <s v="Compliance"/>
    <x v="222"/>
    <d v="2023-10-09T00:00:00"/>
    <n v="11"/>
    <x v="3"/>
    <x v="3"/>
    <x v="7"/>
    <n v="53.84"/>
    <n v="52.98"/>
    <n v="-0.86"/>
    <n v="-1.5973254086181398E-2"/>
    <n v="1"/>
    <s v="No"/>
  </r>
  <r>
    <s v="INC697878"/>
    <x v="6"/>
    <s v="Data Issue"/>
    <x v="1"/>
    <s v="Critical"/>
    <x v="0"/>
    <s v="Compliance"/>
    <x v="145"/>
    <s v=""/>
    <s v=""/>
    <x v="4"/>
    <x v="3"/>
    <x v="3"/>
    <n v="8899.81"/>
    <s v=""/>
    <s v=""/>
    <s v=""/>
    <n v="1"/>
    <s v=""/>
  </r>
  <r>
    <s v="INC906071"/>
    <x v="3"/>
    <s v="Data Issue"/>
    <x v="1"/>
    <s v="Critical"/>
    <x v="2"/>
    <s v="Compliance"/>
    <x v="223"/>
    <s v=""/>
    <s v=""/>
    <x v="0"/>
    <x v="4"/>
    <x v="3"/>
    <n v="19416.61"/>
    <s v=""/>
    <s v=""/>
    <s v=""/>
    <n v="1"/>
    <s v=""/>
  </r>
  <r>
    <s v="INC174752"/>
    <x v="0"/>
    <s v="Payment Failure"/>
    <x v="1"/>
    <s v="Critical"/>
    <x v="1"/>
    <s v="IT"/>
    <x v="224"/>
    <s v=""/>
    <s v=""/>
    <x v="0"/>
    <x v="4"/>
    <x v="7"/>
    <n v="4068.79"/>
    <s v=""/>
    <s v=""/>
    <s v=""/>
    <n v="1"/>
    <s v=""/>
  </r>
  <r>
    <s v="INC771014"/>
    <x v="1"/>
    <s v="Processing Delay"/>
    <x v="2"/>
    <s v="Moderate"/>
    <x v="3"/>
    <s v="Finance"/>
    <x v="225"/>
    <s v=""/>
    <s v=""/>
    <x v="1"/>
    <x v="3"/>
    <x v="0"/>
    <n v="10311.68"/>
    <s v=""/>
    <s v=""/>
    <s v=""/>
    <n v="3"/>
    <s v=""/>
  </r>
  <r>
    <s v="INC690055"/>
    <x v="1"/>
    <s v="Performance Issue"/>
    <x v="3"/>
    <s v="Major"/>
    <x v="3"/>
    <s v="IT"/>
    <x v="226"/>
    <d v="2023-06-02T00:00:00"/>
    <n v="105"/>
    <x v="3"/>
    <x v="5"/>
    <x v="7"/>
    <n v="2450.5"/>
    <n v="2401.9899999999998"/>
    <n v="-48.51"/>
    <n v="-1.9795960008161688E-2"/>
    <n v="10"/>
    <s v="No"/>
  </r>
  <r>
    <s v="INC509257"/>
    <x v="3"/>
    <s v="System Error"/>
    <x v="2"/>
    <s v="Moderate"/>
    <x v="0"/>
    <s v="Billing"/>
    <x v="227"/>
    <d v="2023-11-18T00:00:00"/>
    <n v="27"/>
    <x v="3"/>
    <x v="0"/>
    <x v="1"/>
    <n v="57.1"/>
    <n v="63.1"/>
    <n v="6"/>
    <n v="0.10507880910683012"/>
    <n v="3"/>
    <s v="No"/>
  </r>
  <r>
    <s v="INC479614"/>
    <x v="0"/>
    <s v="User Access Issue"/>
    <x v="1"/>
    <s v="Moderate"/>
    <x v="1"/>
    <s v="Claims"/>
    <x v="228"/>
    <s v=""/>
    <s v=""/>
    <x v="0"/>
    <x v="2"/>
    <x v="1"/>
    <n v="733.36"/>
    <s v=""/>
    <s v=""/>
    <s v=""/>
    <n v="1"/>
    <s v=""/>
  </r>
  <r>
    <s v="INC482467"/>
    <x v="5"/>
    <s v="Payment Failure"/>
    <x v="2"/>
    <s v="Critical"/>
    <x v="3"/>
    <s v="Compliance"/>
    <x v="223"/>
    <s v=""/>
    <s v=""/>
    <x v="4"/>
    <x v="0"/>
    <x v="2"/>
    <n v="2872.78"/>
    <s v=""/>
    <s v=""/>
    <s v=""/>
    <n v="3"/>
    <s v=""/>
  </r>
  <r>
    <s v="INC320584"/>
    <x v="6"/>
    <s v="Payment Failure"/>
    <x v="0"/>
    <s v="Minor"/>
    <x v="0"/>
    <s v="Customer Service"/>
    <x v="149"/>
    <d v="2023-06-29T00:00:00"/>
    <n v="104"/>
    <x v="2"/>
    <x v="5"/>
    <x v="2"/>
    <n v="20568.78"/>
    <n v="22009.4"/>
    <n v="1440.62"/>
    <n v="7.0039156430279415E-2"/>
    <n v="5"/>
    <s v="No"/>
  </r>
  <r>
    <s v="INC100100"/>
    <x v="1"/>
    <s v="Integration Failure"/>
    <x v="0"/>
    <s v="Major"/>
    <x v="1"/>
    <s v="Customer Service"/>
    <x v="229"/>
    <d v="2024-06-16T00:00:00"/>
    <n v="42"/>
    <x v="2"/>
    <x v="3"/>
    <x v="7"/>
    <n v="0.73"/>
    <n v="0.96"/>
    <n v="0.23"/>
    <n v="0.31506849315068491"/>
    <n v="5"/>
    <s v="No"/>
  </r>
  <r>
    <s v="INC954657"/>
    <x v="2"/>
    <s v="Complaint"/>
    <x v="3"/>
    <s v="Minor"/>
    <x v="0"/>
    <s v="IT"/>
    <x v="230"/>
    <s v=""/>
    <s v=""/>
    <x v="1"/>
    <x v="3"/>
    <x v="0"/>
    <n v="2.06"/>
    <s v=""/>
    <s v=""/>
    <s v=""/>
    <n v="10"/>
    <s v=""/>
  </r>
  <r>
    <s v="INC834673"/>
    <x v="0"/>
    <s v="Performance Issue"/>
    <x v="1"/>
    <s v="Moderate"/>
    <x v="2"/>
    <s v="Billing"/>
    <x v="231"/>
    <s v=""/>
    <s v=""/>
    <x v="1"/>
    <x v="0"/>
    <x v="1"/>
    <n v="5193.2700000000004"/>
    <s v=""/>
    <s v=""/>
    <s v=""/>
    <n v="1"/>
    <s v=""/>
  </r>
  <r>
    <s v="INC744297"/>
    <x v="3"/>
    <s v="Integration Failure"/>
    <x v="1"/>
    <s v="Minor"/>
    <x v="3"/>
    <s v="IT"/>
    <x v="232"/>
    <s v=""/>
    <s v=""/>
    <x v="0"/>
    <x v="4"/>
    <x v="1"/>
    <n v="807.33"/>
    <s v=""/>
    <s v=""/>
    <s v=""/>
    <n v="1"/>
    <s v=""/>
  </r>
  <r>
    <s v="INC207122"/>
    <x v="2"/>
    <s v="Performance Issue"/>
    <x v="2"/>
    <s v="Minor"/>
    <x v="0"/>
    <s v="Finance"/>
    <x v="137"/>
    <s v=""/>
    <s v=""/>
    <x v="1"/>
    <x v="1"/>
    <x v="4"/>
    <n v="7953.02"/>
    <s v=""/>
    <s v=""/>
    <s v=""/>
    <n v="3"/>
    <s v=""/>
  </r>
  <r>
    <s v="INC762604"/>
    <x v="4"/>
    <s v="Data Issue"/>
    <x v="1"/>
    <s v="Minor"/>
    <x v="0"/>
    <s v="Finance"/>
    <x v="126"/>
    <s v=""/>
    <s v=""/>
    <x v="1"/>
    <x v="5"/>
    <x v="0"/>
    <n v="3113.53"/>
    <s v=""/>
    <s v=""/>
    <s v=""/>
    <n v="1"/>
    <s v=""/>
  </r>
  <r>
    <s v="INC124133"/>
    <x v="3"/>
    <s v="Integration Failure"/>
    <x v="1"/>
    <s v="Moderate"/>
    <x v="0"/>
    <s v="Claims"/>
    <x v="233"/>
    <d v="2023-08-11T00:00:00"/>
    <n v="44"/>
    <x v="2"/>
    <x v="4"/>
    <x v="7"/>
    <n v="992.22"/>
    <n v="1081.9000000000001"/>
    <n v="89.68"/>
    <n v="9.0383181149341935E-2"/>
    <n v="1"/>
    <s v="No"/>
  </r>
  <r>
    <s v="INC829547"/>
    <x v="0"/>
    <s v="Performance Issue"/>
    <x v="0"/>
    <s v="Moderate"/>
    <x v="2"/>
    <s v="Billing"/>
    <x v="41"/>
    <d v="2023-04-10T00:00:00"/>
    <n v="96"/>
    <x v="2"/>
    <x v="3"/>
    <x v="6"/>
    <n v="25.53"/>
    <n v="32.08"/>
    <n v="6.55"/>
    <n v="0.25656090873482168"/>
    <n v="5"/>
    <s v="No"/>
  </r>
  <r>
    <s v="INC406620"/>
    <x v="1"/>
    <s v="Complaint"/>
    <x v="3"/>
    <s v="Major"/>
    <x v="3"/>
    <s v="Compliance"/>
    <x v="234"/>
    <s v=""/>
    <s v=""/>
    <x v="4"/>
    <x v="2"/>
    <x v="3"/>
    <n v="9838.2900000000009"/>
    <s v=""/>
    <s v=""/>
    <s v=""/>
    <n v="10"/>
    <s v=""/>
  </r>
  <r>
    <s v="INC640331"/>
    <x v="1"/>
    <s v="Data Issue"/>
    <x v="2"/>
    <s v="Moderate"/>
    <x v="1"/>
    <s v="Billing"/>
    <x v="235"/>
    <d v="2023-12-27T00:00:00"/>
    <n v="64"/>
    <x v="2"/>
    <x v="5"/>
    <x v="4"/>
    <n v="1939.01"/>
    <n v="1765.27"/>
    <n v="-173.74"/>
    <n v="-8.9602425980268283E-2"/>
    <n v="3"/>
    <s v="No"/>
  </r>
  <r>
    <s v="INC788154"/>
    <x v="2"/>
    <s v="System Error"/>
    <x v="0"/>
    <s v="Minor"/>
    <x v="1"/>
    <s v="Customer Service"/>
    <x v="40"/>
    <s v=""/>
    <s v=""/>
    <x v="4"/>
    <x v="5"/>
    <x v="3"/>
    <n v="11843.81"/>
    <s v=""/>
    <s v=""/>
    <s v=""/>
    <n v="5"/>
    <s v=""/>
  </r>
  <r>
    <s v="INC695027"/>
    <x v="3"/>
    <s v="Payment Failure"/>
    <x v="1"/>
    <s v="Critical"/>
    <x v="2"/>
    <s v="Compliance"/>
    <x v="226"/>
    <s v=""/>
    <s v=""/>
    <x v="4"/>
    <x v="4"/>
    <x v="6"/>
    <n v="14.2"/>
    <s v=""/>
    <s v=""/>
    <s v=""/>
    <n v="1"/>
    <s v=""/>
  </r>
  <r>
    <s v="INC991408"/>
    <x v="1"/>
    <s v="Performance Issue"/>
    <x v="0"/>
    <s v="Minor"/>
    <x v="4"/>
    <s v="Billing"/>
    <x v="236"/>
    <s v=""/>
    <s v=""/>
    <x v="4"/>
    <x v="3"/>
    <x v="5"/>
    <n v="10088.549999999999"/>
    <s v=""/>
    <s v=""/>
    <s v=""/>
    <n v="5"/>
    <s v=""/>
  </r>
  <r>
    <s v="INC333474"/>
    <x v="5"/>
    <s v="Payment Failure"/>
    <x v="3"/>
    <s v="Minor"/>
    <x v="2"/>
    <s v="Customer Service"/>
    <x v="107"/>
    <d v="2023-07-30T00:00:00"/>
    <n v="73"/>
    <x v="2"/>
    <x v="2"/>
    <x v="3"/>
    <n v="1727.22"/>
    <n v="1675.82"/>
    <n v="-51.4"/>
    <n v="-2.975880316346504E-2"/>
    <n v="10"/>
    <s v="No"/>
  </r>
  <r>
    <s v="INC895361"/>
    <x v="4"/>
    <s v="Payment Failure"/>
    <x v="1"/>
    <s v="Major"/>
    <x v="2"/>
    <s v="IT"/>
    <x v="237"/>
    <s v=""/>
    <s v=""/>
    <x v="0"/>
    <x v="5"/>
    <x v="6"/>
    <n v="7.99"/>
    <s v=""/>
    <s v=""/>
    <s v=""/>
    <n v="1"/>
    <s v=""/>
  </r>
  <r>
    <s v="INC192464"/>
    <x v="4"/>
    <s v="System Error"/>
    <x v="3"/>
    <s v="Critical"/>
    <x v="4"/>
    <s v="Billing"/>
    <x v="238"/>
    <d v="2023-05-31T00:00:00"/>
    <n v="92"/>
    <x v="2"/>
    <x v="0"/>
    <x v="1"/>
    <n v="715.41"/>
    <n v="851.86"/>
    <n v="136.44999999999999"/>
    <n v="0.19072979130848053"/>
    <n v="10"/>
    <s v="No"/>
  </r>
  <r>
    <s v="INC627362"/>
    <x v="5"/>
    <s v="Payment Failure"/>
    <x v="1"/>
    <s v="Major"/>
    <x v="2"/>
    <s v="Compliance"/>
    <x v="239"/>
    <d v="2023-11-06T00:00:00"/>
    <n v="26"/>
    <x v="2"/>
    <x v="1"/>
    <x v="3"/>
    <n v="641.58000000000004"/>
    <n v="642.44000000000005"/>
    <n v="0.86"/>
    <n v="1.34044078680759E-3"/>
    <n v="1"/>
    <s v="No"/>
  </r>
  <r>
    <s v="INC574034"/>
    <x v="4"/>
    <s v="Data Issue"/>
    <x v="1"/>
    <s v="Minor"/>
    <x v="3"/>
    <s v="Finance"/>
    <x v="240"/>
    <s v=""/>
    <s v=""/>
    <x v="0"/>
    <x v="1"/>
    <x v="6"/>
    <n v="9.9499999999999993"/>
    <s v=""/>
    <s v=""/>
    <s v=""/>
    <n v="1"/>
    <s v=""/>
  </r>
  <r>
    <s v="INC877244"/>
    <x v="0"/>
    <s v="Integration Failure"/>
    <x v="0"/>
    <s v="Critical"/>
    <x v="0"/>
    <s v="Compliance"/>
    <x v="241"/>
    <d v="2024-07-29T00:00:00"/>
    <n v="61"/>
    <x v="3"/>
    <x v="1"/>
    <x v="2"/>
    <n v="5142.4799999999996"/>
    <n v="4886.1499999999996"/>
    <n v="-256.33"/>
    <n v="-4.9845599788428917E-2"/>
    <n v="5"/>
    <s v="No"/>
  </r>
  <r>
    <s v="INC163908"/>
    <x v="3"/>
    <s v="Data Issue"/>
    <x v="0"/>
    <s v="Critical"/>
    <x v="1"/>
    <s v="IT"/>
    <x v="160"/>
    <s v=""/>
    <s v=""/>
    <x v="1"/>
    <x v="1"/>
    <x v="7"/>
    <n v="4731.38"/>
    <s v=""/>
    <s v=""/>
    <s v=""/>
    <n v="5"/>
    <s v=""/>
  </r>
  <r>
    <s v="INC619626"/>
    <x v="5"/>
    <s v="Performance Issue"/>
    <x v="3"/>
    <s v="Major"/>
    <x v="2"/>
    <s v="Finance"/>
    <x v="242"/>
    <d v="2023-11-21T00:00:00"/>
    <n v="11"/>
    <x v="3"/>
    <x v="2"/>
    <x v="0"/>
    <n v="5735.91"/>
    <n v="7170.49"/>
    <n v="1434.58"/>
    <n v="0.25010504000237105"/>
    <n v="10"/>
    <s v="No"/>
  </r>
  <r>
    <s v="INC654383"/>
    <x v="0"/>
    <s v="Payment Failure"/>
    <x v="0"/>
    <s v="Moderate"/>
    <x v="2"/>
    <s v="Finance"/>
    <x v="22"/>
    <s v=""/>
    <s v=""/>
    <x v="0"/>
    <x v="2"/>
    <x v="0"/>
    <n v="28673.64"/>
    <s v=""/>
    <s v=""/>
    <s v=""/>
    <n v="5"/>
    <s v=""/>
  </r>
  <r>
    <s v="INC787182"/>
    <x v="3"/>
    <s v="User Access Issue"/>
    <x v="3"/>
    <s v="Minor"/>
    <x v="3"/>
    <s v="Customer Service"/>
    <x v="243"/>
    <d v="2024-01-30T00:00:00"/>
    <n v="77"/>
    <x v="2"/>
    <x v="1"/>
    <x v="3"/>
    <n v="7028.36"/>
    <n v="6747.94"/>
    <n v="-280.42"/>
    <n v="-3.989835466595338E-2"/>
    <n v="10"/>
    <s v="No"/>
  </r>
  <r>
    <s v="INC912765"/>
    <x v="6"/>
    <s v="Processing Delay"/>
    <x v="2"/>
    <s v="Moderate"/>
    <x v="2"/>
    <s v="Claims"/>
    <x v="55"/>
    <s v=""/>
    <s v=""/>
    <x v="0"/>
    <x v="5"/>
    <x v="3"/>
    <n v="616.52"/>
    <s v=""/>
    <s v=""/>
    <s v=""/>
    <n v="3"/>
    <s v=""/>
  </r>
  <r>
    <s v="INC254417"/>
    <x v="3"/>
    <s v="System Error"/>
    <x v="0"/>
    <s v="Major"/>
    <x v="2"/>
    <s v="Customer Service"/>
    <x v="220"/>
    <d v="2024-02-12T00:00:00"/>
    <n v="79"/>
    <x v="2"/>
    <x v="3"/>
    <x v="4"/>
    <n v="11545"/>
    <n v="12815.92"/>
    <n v="1270.92"/>
    <n v="0.11008401905586834"/>
    <n v="5"/>
    <s v="No"/>
  </r>
  <r>
    <s v="INC440705"/>
    <x v="6"/>
    <s v="Integration Failure"/>
    <x v="3"/>
    <s v="Moderate"/>
    <x v="3"/>
    <s v="Compliance"/>
    <x v="244"/>
    <d v="2023-05-01T00:00:00"/>
    <n v="1"/>
    <x v="2"/>
    <x v="2"/>
    <x v="7"/>
    <n v="219.39"/>
    <n v="186.73"/>
    <n v="-32.659999999999997"/>
    <n v="-0.14886731391585759"/>
    <n v="10"/>
    <s v="Yes"/>
  </r>
  <r>
    <s v="INC482679"/>
    <x v="6"/>
    <s v="Performance Issue"/>
    <x v="2"/>
    <s v="Major"/>
    <x v="0"/>
    <s v="Compliance"/>
    <x v="51"/>
    <d v="2023-05-07T00:00:00"/>
    <n v="26"/>
    <x v="2"/>
    <x v="0"/>
    <x v="1"/>
    <n v="111.78"/>
    <n v="118.98"/>
    <n v="7.2"/>
    <n v="6.4412238325281826E-2"/>
    <n v="3"/>
    <s v="No"/>
  </r>
  <r>
    <s v="INC121222"/>
    <x v="1"/>
    <s v="Data Issue"/>
    <x v="3"/>
    <s v="Moderate"/>
    <x v="0"/>
    <s v="IT"/>
    <x v="245"/>
    <s v=""/>
    <s v=""/>
    <x v="0"/>
    <x v="2"/>
    <x v="4"/>
    <n v="1174.8599999999999"/>
    <s v=""/>
    <s v=""/>
    <s v=""/>
    <n v="10"/>
    <s v=""/>
  </r>
  <r>
    <s v="INC983433"/>
    <x v="6"/>
    <s v="Processing Delay"/>
    <x v="2"/>
    <s v="Critical"/>
    <x v="4"/>
    <s v="Compliance"/>
    <x v="84"/>
    <s v=""/>
    <s v=""/>
    <x v="0"/>
    <x v="1"/>
    <x v="6"/>
    <n v="3894.15"/>
    <s v=""/>
    <s v=""/>
    <s v=""/>
    <n v="3"/>
    <s v=""/>
  </r>
  <r>
    <s v="INC211330"/>
    <x v="3"/>
    <s v="Performance Issue"/>
    <x v="2"/>
    <s v="Critical"/>
    <x v="4"/>
    <s v="Finance"/>
    <x v="246"/>
    <s v=""/>
    <s v=""/>
    <x v="1"/>
    <x v="3"/>
    <x v="2"/>
    <n v="3832.81"/>
    <s v=""/>
    <s v=""/>
    <s v=""/>
    <n v="3"/>
    <s v=""/>
  </r>
  <r>
    <s v="INC694719"/>
    <x v="3"/>
    <s v="Processing Delay"/>
    <x v="0"/>
    <s v="Moderate"/>
    <x v="4"/>
    <s v="Claims"/>
    <x v="66"/>
    <s v=""/>
    <s v=""/>
    <x v="1"/>
    <x v="2"/>
    <x v="3"/>
    <n v="954.17"/>
    <s v=""/>
    <s v=""/>
    <s v=""/>
    <n v="5"/>
    <s v=""/>
  </r>
  <r>
    <s v="INC901866"/>
    <x v="5"/>
    <s v="Payment Failure"/>
    <x v="1"/>
    <s v="Minor"/>
    <x v="4"/>
    <s v="Billing"/>
    <x v="247"/>
    <d v="2023-07-23T00:00:00"/>
    <n v="71"/>
    <x v="3"/>
    <x v="0"/>
    <x v="6"/>
    <n v="928.79"/>
    <n v="789.87"/>
    <n v="-138.91999999999999"/>
    <n v="-0.14957094714628708"/>
    <n v="1"/>
    <s v="No"/>
  </r>
  <r>
    <s v="INC978098"/>
    <x v="3"/>
    <s v="User Access Issue"/>
    <x v="1"/>
    <s v="Critical"/>
    <x v="4"/>
    <s v="Claims"/>
    <x v="76"/>
    <s v=""/>
    <s v=""/>
    <x v="1"/>
    <x v="0"/>
    <x v="1"/>
    <n v="41937.129999999997"/>
    <s v=""/>
    <s v=""/>
    <s v=""/>
    <n v="1"/>
    <s v=""/>
  </r>
  <r>
    <s v="INC478414"/>
    <x v="0"/>
    <s v="System Error"/>
    <x v="3"/>
    <s v="Critical"/>
    <x v="2"/>
    <s v="Billing"/>
    <x v="248"/>
    <s v=""/>
    <s v=""/>
    <x v="0"/>
    <x v="1"/>
    <x v="7"/>
    <n v="26508.6"/>
    <s v=""/>
    <s v=""/>
    <s v=""/>
    <n v="10"/>
    <s v=""/>
  </r>
  <r>
    <s v="INC406733"/>
    <x v="0"/>
    <s v="Complaint"/>
    <x v="1"/>
    <s v="Critical"/>
    <x v="4"/>
    <s v="Billing"/>
    <x v="249"/>
    <s v=""/>
    <s v=""/>
    <x v="1"/>
    <x v="1"/>
    <x v="5"/>
    <n v="6423.22"/>
    <s v=""/>
    <s v=""/>
    <s v=""/>
    <n v="1"/>
    <s v=""/>
  </r>
  <r>
    <s v="INC441847"/>
    <x v="0"/>
    <s v="System Error"/>
    <x v="3"/>
    <s v="Minor"/>
    <x v="2"/>
    <s v="Compliance"/>
    <x v="250"/>
    <s v=""/>
    <s v=""/>
    <x v="1"/>
    <x v="4"/>
    <x v="2"/>
    <n v="9637.83"/>
    <s v=""/>
    <s v=""/>
    <s v=""/>
    <n v="10"/>
    <s v=""/>
  </r>
  <r>
    <s v="INC895252"/>
    <x v="4"/>
    <s v="Processing Delay"/>
    <x v="0"/>
    <s v="Critical"/>
    <x v="0"/>
    <s v="Customer Service"/>
    <x v="251"/>
    <d v="2023-07-21T00:00:00"/>
    <n v="30"/>
    <x v="3"/>
    <x v="3"/>
    <x v="4"/>
    <n v="0.01"/>
    <n v="0.1"/>
    <n v="0.09"/>
    <n v="9"/>
    <n v="5"/>
    <s v="No"/>
  </r>
  <r>
    <s v="INC852846"/>
    <x v="4"/>
    <s v="Complaint"/>
    <x v="2"/>
    <s v="Critical"/>
    <x v="4"/>
    <s v="IT"/>
    <x v="252"/>
    <s v=""/>
    <s v=""/>
    <x v="1"/>
    <x v="3"/>
    <x v="0"/>
    <n v="10048.15"/>
    <s v=""/>
    <s v=""/>
    <s v=""/>
    <n v="3"/>
    <s v=""/>
  </r>
  <r>
    <s v="INC126139"/>
    <x v="6"/>
    <s v="Integration Failure"/>
    <x v="3"/>
    <s v="Critical"/>
    <x v="4"/>
    <s v="Finance"/>
    <x v="209"/>
    <s v=""/>
    <s v=""/>
    <x v="4"/>
    <x v="5"/>
    <x v="3"/>
    <n v="2334.8000000000002"/>
    <s v=""/>
    <s v=""/>
    <s v=""/>
    <n v="10"/>
    <s v=""/>
  </r>
  <r>
    <s v="INC731565"/>
    <x v="1"/>
    <s v="Processing Delay"/>
    <x v="0"/>
    <s v="Critical"/>
    <x v="0"/>
    <s v="IT"/>
    <x v="253"/>
    <s v=""/>
    <s v=""/>
    <x v="4"/>
    <x v="4"/>
    <x v="5"/>
    <n v="2993.22"/>
    <s v=""/>
    <s v=""/>
    <s v=""/>
    <n v="5"/>
    <s v=""/>
  </r>
  <r>
    <s v="INC543134"/>
    <x v="3"/>
    <s v="User Access Issue"/>
    <x v="3"/>
    <s v="Critical"/>
    <x v="2"/>
    <s v="Customer Service"/>
    <x v="58"/>
    <s v=""/>
    <s v=""/>
    <x v="1"/>
    <x v="1"/>
    <x v="5"/>
    <n v="139.19999999999999"/>
    <s v=""/>
    <s v=""/>
    <s v=""/>
    <n v="10"/>
    <s v=""/>
  </r>
  <r>
    <s v="INC990939"/>
    <x v="2"/>
    <s v="Performance Issue"/>
    <x v="0"/>
    <s v="Moderate"/>
    <x v="1"/>
    <s v="Claims"/>
    <x v="254"/>
    <s v=""/>
    <s v=""/>
    <x v="4"/>
    <x v="0"/>
    <x v="3"/>
    <n v="193.83"/>
    <s v=""/>
    <s v=""/>
    <s v=""/>
    <n v="5"/>
    <s v=""/>
  </r>
  <r>
    <s v="INC419968"/>
    <x v="6"/>
    <s v="Payment Failure"/>
    <x v="0"/>
    <s v="Critical"/>
    <x v="0"/>
    <s v="Finance"/>
    <x v="255"/>
    <s v=""/>
    <s v=""/>
    <x v="4"/>
    <x v="1"/>
    <x v="5"/>
    <n v="18548.25"/>
    <s v=""/>
    <s v=""/>
    <s v=""/>
    <n v="5"/>
    <s v=""/>
  </r>
  <r>
    <s v="INC575409"/>
    <x v="3"/>
    <s v="Data Issue"/>
    <x v="1"/>
    <s v="Minor"/>
    <x v="2"/>
    <s v="Compliance"/>
    <x v="40"/>
    <s v=""/>
    <s v=""/>
    <x v="4"/>
    <x v="5"/>
    <x v="1"/>
    <n v="32933.24"/>
    <s v=""/>
    <s v=""/>
    <s v=""/>
    <n v="1"/>
    <s v=""/>
  </r>
  <r>
    <s v="INC484177"/>
    <x v="2"/>
    <s v="System Error"/>
    <x v="1"/>
    <s v="Minor"/>
    <x v="4"/>
    <s v="Finance"/>
    <x v="117"/>
    <s v=""/>
    <s v=""/>
    <x v="4"/>
    <x v="4"/>
    <x v="0"/>
    <n v="705.95"/>
    <s v=""/>
    <s v=""/>
    <s v=""/>
    <n v="1"/>
    <s v=""/>
  </r>
  <r>
    <s v="INC921802"/>
    <x v="6"/>
    <s v="Processing Delay"/>
    <x v="2"/>
    <s v="Minor"/>
    <x v="4"/>
    <s v="Customer Service"/>
    <x v="256"/>
    <d v="2023-04-06T00:00:00"/>
    <n v="6"/>
    <x v="3"/>
    <x v="5"/>
    <x v="4"/>
    <n v="36083.75"/>
    <n v="38970.82"/>
    <n v="2887.07"/>
    <n v="8.0010253923164854E-2"/>
    <n v="3"/>
    <s v="No"/>
  </r>
  <r>
    <s v="INC913046"/>
    <x v="5"/>
    <s v="Performance Issue"/>
    <x v="0"/>
    <s v="Minor"/>
    <x v="2"/>
    <s v="Claims"/>
    <x v="161"/>
    <s v=""/>
    <s v=""/>
    <x v="1"/>
    <x v="2"/>
    <x v="7"/>
    <n v="839.28"/>
    <s v=""/>
    <s v=""/>
    <s v=""/>
    <n v="5"/>
    <s v=""/>
  </r>
  <r>
    <s v="INC500859"/>
    <x v="1"/>
    <s v="Payment Failure"/>
    <x v="0"/>
    <s v="Major"/>
    <x v="4"/>
    <s v="Billing"/>
    <x v="120"/>
    <d v="2023-08-05T00:00:00"/>
    <n v="60"/>
    <x v="3"/>
    <x v="1"/>
    <x v="5"/>
    <n v="171.16"/>
    <n v="193.48"/>
    <n v="22.32"/>
    <n v="0.13040430007010981"/>
    <n v="5"/>
    <s v="No"/>
  </r>
  <r>
    <s v="INC780107"/>
    <x v="0"/>
    <s v="Data Issue"/>
    <x v="3"/>
    <s v="Minor"/>
    <x v="3"/>
    <s v="Compliance"/>
    <x v="0"/>
    <s v=""/>
    <s v=""/>
    <x v="0"/>
    <x v="1"/>
    <x v="4"/>
    <n v="9027.81"/>
    <s v=""/>
    <s v=""/>
    <s v=""/>
    <n v="10"/>
    <s v=""/>
  </r>
  <r>
    <s v="INC608673"/>
    <x v="1"/>
    <s v="Data Issue"/>
    <x v="2"/>
    <s v="Major"/>
    <x v="2"/>
    <s v="Finance"/>
    <x v="257"/>
    <s v=""/>
    <s v=""/>
    <x v="0"/>
    <x v="4"/>
    <x v="5"/>
    <n v="3589.58"/>
    <s v=""/>
    <s v=""/>
    <s v=""/>
    <n v="3"/>
    <s v=""/>
  </r>
  <r>
    <s v="INC938768"/>
    <x v="3"/>
    <s v="Processing Delay"/>
    <x v="0"/>
    <s v="Major"/>
    <x v="4"/>
    <s v="IT"/>
    <x v="258"/>
    <s v=""/>
    <s v=""/>
    <x v="0"/>
    <x v="3"/>
    <x v="5"/>
    <n v="0.05"/>
    <s v=""/>
    <s v=""/>
    <s v=""/>
    <n v="5"/>
    <s v=""/>
  </r>
  <r>
    <s v="INC845386"/>
    <x v="4"/>
    <s v="Performance Issue"/>
    <x v="1"/>
    <s v="Minor"/>
    <x v="1"/>
    <s v="Customer Service"/>
    <x v="259"/>
    <d v="2023-10-26T00:00:00"/>
    <n v="14"/>
    <x v="2"/>
    <x v="0"/>
    <x v="7"/>
    <n v="411.19"/>
    <n v="461.38"/>
    <n v="50.19"/>
    <n v="0.12206036139011162"/>
    <n v="1"/>
    <s v="No"/>
  </r>
  <r>
    <s v="INC992668"/>
    <x v="0"/>
    <s v="User Access Issue"/>
    <x v="3"/>
    <s v="Moderate"/>
    <x v="3"/>
    <s v="Customer Service"/>
    <x v="57"/>
    <s v=""/>
    <s v=""/>
    <x v="1"/>
    <x v="5"/>
    <x v="5"/>
    <n v="8.0399999999999991"/>
    <s v=""/>
    <s v=""/>
    <s v=""/>
    <n v="10"/>
    <s v=""/>
  </r>
  <r>
    <s v="INC921735"/>
    <x v="2"/>
    <s v="Processing Delay"/>
    <x v="2"/>
    <s v="Moderate"/>
    <x v="2"/>
    <s v="Billing"/>
    <x v="260"/>
    <s v=""/>
    <s v=""/>
    <x v="4"/>
    <x v="5"/>
    <x v="4"/>
    <n v="2751.13"/>
    <s v=""/>
    <s v=""/>
    <s v=""/>
    <n v="3"/>
    <s v=""/>
  </r>
  <r>
    <s v="INC488535"/>
    <x v="5"/>
    <s v="Processing Delay"/>
    <x v="3"/>
    <s v="Minor"/>
    <x v="1"/>
    <s v="Compliance"/>
    <x v="14"/>
    <s v=""/>
    <s v=""/>
    <x v="1"/>
    <x v="1"/>
    <x v="1"/>
    <n v="1841.48"/>
    <s v=""/>
    <s v=""/>
    <s v=""/>
    <n v="10"/>
    <s v=""/>
  </r>
  <r>
    <s v="INC632224"/>
    <x v="3"/>
    <s v="Performance Issue"/>
    <x v="1"/>
    <s v="Minor"/>
    <x v="3"/>
    <s v="Billing"/>
    <x v="19"/>
    <s v=""/>
    <s v=""/>
    <x v="4"/>
    <x v="0"/>
    <x v="5"/>
    <n v="2661.24"/>
    <s v=""/>
    <s v=""/>
    <s v=""/>
    <n v="1"/>
    <s v=""/>
  </r>
  <r>
    <s v="INC921679"/>
    <x v="5"/>
    <s v="Payment Failure"/>
    <x v="0"/>
    <s v="Critical"/>
    <x v="2"/>
    <s v="Compliance"/>
    <x v="261"/>
    <d v="2024-03-26T00:00:00"/>
    <n v="60"/>
    <x v="2"/>
    <x v="0"/>
    <x v="0"/>
    <n v="421.05"/>
    <n v="371.42"/>
    <n v="-49.63"/>
    <n v="-0.11787198669991686"/>
    <n v="5"/>
    <s v="No"/>
  </r>
  <r>
    <s v="INC377028"/>
    <x v="5"/>
    <s v="System Error"/>
    <x v="1"/>
    <s v="Major"/>
    <x v="4"/>
    <s v="Finance"/>
    <x v="262"/>
    <s v=""/>
    <s v=""/>
    <x v="1"/>
    <x v="0"/>
    <x v="6"/>
    <n v="5.25"/>
    <s v=""/>
    <s v=""/>
    <s v=""/>
    <n v="1"/>
    <s v=""/>
  </r>
  <r>
    <s v="INC949857"/>
    <x v="1"/>
    <s v="Integration Failure"/>
    <x v="0"/>
    <s v="Major"/>
    <x v="3"/>
    <s v="IT"/>
    <x v="76"/>
    <s v=""/>
    <s v=""/>
    <x v="1"/>
    <x v="5"/>
    <x v="7"/>
    <n v="397.72"/>
    <s v=""/>
    <s v=""/>
    <s v=""/>
    <n v="5"/>
    <s v=""/>
  </r>
  <r>
    <s v="INC262056"/>
    <x v="5"/>
    <s v="Performance Issue"/>
    <x v="1"/>
    <s v="Minor"/>
    <x v="4"/>
    <s v="Customer Service"/>
    <x v="263"/>
    <d v="2023-12-16T00:00:00"/>
    <n v="76"/>
    <x v="2"/>
    <x v="5"/>
    <x v="5"/>
    <n v="5966.39"/>
    <n v="6146.05"/>
    <n v="179.66"/>
    <n v="3.0112010780388113E-2"/>
    <n v="1"/>
    <s v="No"/>
  </r>
  <r>
    <s v="INC961519"/>
    <x v="3"/>
    <s v="Complaint"/>
    <x v="2"/>
    <s v="Critical"/>
    <x v="0"/>
    <s v="Billing"/>
    <x v="264"/>
    <s v=""/>
    <s v=""/>
    <x v="1"/>
    <x v="2"/>
    <x v="1"/>
    <n v="109.51"/>
    <s v=""/>
    <s v=""/>
    <s v=""/>
    <n v="3"/>
    <s v=""/>
  </r>
  <r>
    <s v="INC602833"/>
    <x v="0"/>
    <s v="Data Issue"/>
    <x v="2"/>
    <s v="Moderate"/>
    <x v="1"/>
    <s v="IT"/>
    <x v="203"/>
    <s v=""/>
    <s v=""/>
    <x v="0"/>
    <x v="3"/>
    <x v="5"/>
    <n v="0.5"/>
    <s v=""/>
    <s v=""/>
    <s v=""/>
    <n v="3"/>
    <s v=""/>
  </r>
  <r>
    <s v="INC436883"/>
    <x v="4"/>
    <s v="System Error"/>
    <x v="0"/>
    <s v="Major"/>
    <x v="4"/>
    <s v="Customer Service"/>
    <x v="66"/>
    <d v="2023-06-08T00:00:00"/>
    <n v="93"/>
    <x v="2"/>
    <x v="0"/>
    <x v="7"/>
    <n v="1851.22"/>
    <n v="2017.87"/>
    <n v="166.65"/>
    <n v="9.0021715409297584E-2"/>
    <n v="5"/>
    <s v="No"/>
  </r>
  <r>
    <s v="INC184077"/>
    <x v="3"/>
    <s v="Integration Failure"/>
    <x v="2"/>
    <s v="Critical"/>
    <x v="3"/>
    <s v="Finance"/>
    <x v="265"/>
    <d v="2023-06-18T00:00:00"/>
    <n v="1"/>
    <x v="2"/>
    <x v="1"/>
    <x v="1"/>
    <n v="31353.52"/>
    <n v="28219.09"/>
    <n v="-3134.43"/>
    <n v="-9.9970593413434922E-2"/>
    <n v="3"/>
    <s v="Yes"/>
  </r>
  <r>
    <s v="INC221849"/>
    <x v="6"/>
    <s v="Data Issue"/>
    <x v="2"/>
    <s v="Critical"/>
    <x v="0"/>
    <s v="Customer Service"/>
    <x v="266"/>
    <s v=""/>
    <s v=""/>
    <x v="0"/>
    <x v="1"/>
    <x v="1"/>
    <n v="51.52"/>
    <s v=""/>
    <s v=""/>
    <s v=""/>
    <n v="3"/>
    <s v=""/>
  </r>
  <r>
    <s v="INC519528"/>
    <x v="4"/>
    <s v="Payment Failure"/>
    <x v="3"/>
    <s v="Moderate"/>
    <x v="3"/>
    <s v="Finance"/>
    <x v="267"/>
    <s v=""/>
    <s v=""/>
    <x v="1"/>
    <x v="3"/>
    <x v="0"/>
    <n v="37.200000000000003"/>
    <s v=""/>
    <s v=""/>
    <s v=""/>
    <n v="10"/>
    <s v=""/>
  </r>
  <r>
    <s v="INC497129"/>
    <x v="4"/>
    <s v="User Access Issue"/>
    <x v="1"/>
    <s v="Minor"/>
    <x v="4"/>
    <s v="Billing"/>
    <x v="268"/>
    <s v=""/>
    <s v=""/>
    <x v="1"/>
    <x v="1"/>
    <x v="2"/>
    <n v="986.08"/>
    <s v=""/>
    <s v=""/>
    <s v=""/>
    <n v="1"/>
    <s v=""/>
  </r>
  <r>
    <s v="INC419686"/>
    <x v="0"/>
    <s v="Integration Failure"/>
    <x v="1"/>
    <s v="Minor"/>
    <x v="3"/>
    <s v="Claims"/>
    <x v="39"/>
    <d v="2023-04-05T00:00:00"/>
    <n v="16"/>
    <x v="3"/>
    <x v="5"/>
    <x v="2"/>
    <n v="585.61"/>
    <n v="726.78"/>
    <n v="141.16999999999999"/>
    <n v="0.24106487252608383"/>
    <n v="1"/>
    <s v="No"/>
  </r>
  <r>
    <s v="INC640933"/>
    <x v="4"/>
    <s v="Complaint"/>
    <x v="2"/>
    <s v="Moderate"/>
    <x v="4"/>
    <s v="Finance"/>
    <x v="269"/>
    <s v=""/>
    <s v=""/>
    <x v="1"/>
    <x v="4"/>
    <x v="7"/>
    <n v="94.84"/>
    <s v=""/>
    <s v=""/>
    <s v=""/>
    <n v="3"/>
    <s v=""/>
  </r>
  <r>
    <s v="INC335549"/>
    <x v="1"/>
    <s v="Payment Failure"/>
    <x v="0"/>
    <s v="Major"/>
    <x v="1"/>
    <s v="IT"/>
    <x v="216"/>
    <s v=""/>
    <s v=""/>
    <x v="1"/>
    <x v="4"/>
    <x v="7"/>
    <n v="596.27"/>
    <s v=""/>
    <s v=""/>
    <s v=""/>
    <n v="5"/>
    <s v=""/>
  </r>
  <r>
    <s v="INC224358"/>
    <x v="1"/>
    <s v="User Access Issue"/>
    <x v="3"/>
    <s v="Critical"/>
    <x v="4"/>
    <s v="Claims"/>
    <x v="270"/>
    <s v=""/>
    <s v=""/>
    <x v="4"/>
    <x v="1"/>
    <x v="2"/>
    <n v="5788.4"/>
    <s v=""/>
    <s v=""/>
    <s v=""/>
    <n v="10"/>
    <s v=""/>
  </r>
  <r>
    <s v="INC371175"/>
    <x v="5"/>
    <s v="Processing Delay"/>
    <x v="0"/>
    <s v="Major"/>
    <x v="4"/>
    <s v="Claims"/>
    <x v="271"/>
    <d v="2024-06-17T00:00:00"/>
    <n v="103"/>
    <x v="3"/>
    <x v="0"/>
    <x v="6"/>
    <n v="37358.86"/>
    <n v="37732.839999999997"/>
    <n v="373.98"/>
    <n v="1.0010476765083194E-2"/>
    <n v="5"/>
    <s v="No"/>
  </r>
  <r>
    <s v="INC524107"/>
    <x v="3"/>
    <s v="Processing Delay"/>
    <x v="3"/>
    <s v="Minor"/>
    <x v="4"/>
    <s v="Compliance"/>
    <x v="227"/>
    <s v=""/>
    <s v=""/>
    <x v="1"/>
    <x v="5"/>
    <x v="5"/>
    <n v="93.94"/>
    <s v=""/>
    <s v=""/>
    <s v=""/>
    <n v="10"/>
    <s v=""/>
  </r>
  <r>
    <s v="INC140737"/>
    <x v="0"/>
    <s v="Performance Issue"/>
    <x v="1"/>
    <s v="Minor"/>
    <x v="0"/>
    <s v="Compliance"/>
    <x v="272"/>
    <d v="2024-03-31T00:00:00"/>
    <n v="12"/>
    <x v="2"/>
    <x v="0"/>
    <x v="2"/>
    <n v="8535.73"/>
    <n v="8280.15"/>
    <n v="-255.58"/>
    <n v="-2.9942371654211174E-2"/>
    <n v="1"/>
    <s v="No"/>
  </r>
  <r>
    <s v="INC300299"/>
    <x v="5"/>
    <s v="Payment Failure"/>
    <x v="3"/>
    <s v="Minor"/>
    <x v="3"/>
    <s v="Compliance"/>
    <x v="207"/>
    <s v=""/>
    <s v=""/>
    <x v="4"/>
    <x v="5"/>
    <x v="2"/>
    <n v="13239.54"/>
    <s v=""/>
    <s v=""/>
    <s v=""/>
    <n v="10"/>
    <s v=""/>
  </r>
  <r>
    <s v="INC427400"/>
    <x v="6"/>
    <s v="User Access Issue"/>
    <x v="3"/>
    <s v="Critical"/>
    <x v="4"/>
    <s v="Compliance"/>
    <x v="217"/>
    <d v="2024-04-09T00:00:00"/>
    <n v="98"/>
    <x v="3"/>
    <x v="4"/>
    <x v="0"/>
    <n v="8779.98"/>
    <n v="8429.57"/>
    <n v="-350.41"/>
    <n v="-3.9910113690463975E-2"/>
    <n v="10"/>
    <s v="No"/>
  </r>
  <r>
    <s v="INC249590"/>
    <x v="1"/>
    <s v="Processing Delay"/>
    <x v="1"/>
    <s v="Moderate"/>
    <x v="0"/>
    <s v="Finance"/>
    <x v="116"/>
    <d v="2023-10-22T00:00:00"/>
    <n v="76"/>
    <x v="2"/>
    <x v="3"/>
    <x v="7"/>
    <n v="427.04"/>
    <n v="431.77"/>
    <n v="4.7300000000000004"/>
    <n v="1.1076245784938089E-2"/>
    <n v="1"/>
    <s v="No"/>
  </r>
  <r>
    <s v="INC358546"/>
    <x v="0"/>
    <s v="Processing Delay"/>
    <x v="3"/>
    <s v="Minor"/>
    <x v="3"/>
    <s v="Billing"/>
    <x v="90"/>
    <s v=""/>
    <s v=""/>
    <x v="1"/>
    <x v="1"/>
    <x v="5"/>
    <n v="0.06"/>
    <s v=""/>
    <s v=""/>
    <s v=""/>
    <n v="10"/>
    <s v=""/>
  </r>
  <r>
    <s v="INC616629"/>
    <x v="2"/>
    <s v="Payment Failure"/>
    <x v="2"/>
    <s v="Major"/>
    <x v="1"/>
    <s v="Claims"/>
    <x v="273"/>
    <d v="2024-03-12T00:00:00"/>
    <n v="96"/>
    <x v="3"/>
    <x v="3"/>
    <x v="6"/>
    <n v="23005.67"/>
    <n v="21166.17"/>
    <n v="-1839.5"/>
    <n v="-7.9958549348921382E-2"/>
    <n v="3"/>
    <s v="No"/>
  </r>
  <r>
    <s v="INC760500"/>
    <x v="2"/>
    <s v="Complaint"/>
    <x v="0"/>
    <s v="Moderate"/>
    <x v="4"/>
    <s v="Claims"/>
    <x v="242"/>
    <s v=""/>
    <s v=""/>
    <x v="1"/>
    <x v="5"/>
    <x v="7"/>
    <n v="16283.24"/>
    <s v=""/>
    <s v=""/>
    <s v=""/>
    <n v="5"/>
    <s v=""/>
  </r>
  <r>
    <s v="INC551811"/>
    <x v="6"/>
    <s v="Data Issue"/>
    <x v="1"/>
    <s v="Moderate"/>
    <x v="3"/>
    <s v="IT"/>
    <x v="85"/>
    <s v=""/>
    <s v=""/>
    <x v="4"/>
    <x v="0"/>
    <x v="3"/>
    <n v="16045.48"/>
    <s v=""/>
    <s v=""/>
    <s v=""/>
    <n v="1"/>
    <s v=""/>
  </r>
  <r>
    <s v="INC992728"/>
    <x v="1"/>
    <s v="Data Issue"/>
    <x v="3"/>
    <s v="Minor"/>
    <x v="2"/>
    <s v="Finance"/>
    <x v="274"/>
    <d v="2024-03-25T00:00:00"/>
    <n v="28"/>
    <x v="3"/>
    <x v="5"/>
    <x v="2"/>
    <n v="771.59"/>
    <n v="849.3"/>
    <n v="77.709999999999994"/>
    <n v="0.10071410982516611"/>
    <n v="10"/>
    <s v="No"/>
  </r>
  <r>
    <s v="INC785397"/>
    <x v="4"/>
    <s v="Data Issue"/>
    <x v="3"/>
    <s v="Critical"/>
    <x v="4"/>
    <s v="Billing"/>
    <x v="275"/>
    <d v="2023-11-19T00:00:00"/>
    <n v="78"/>
    <x v="2"/>
    <x v="0"/>
    <x v="7"/>
    <n v="4871.4799999999996"/>
    <n v="5505.48"/>
    <n v="634"/>
    <n v="0.13014525359849574"/>
    <n v="10"/>
    <s v="No"/>
  </r>
  <r>
    <s v="INC228154"/>
    <x v="2"/>
    <s v="Integration Failure"/>
    <x v="0"/>
    <s v="Moderate"/>
    <x v="4"/>
    <s v="Compliance"/>
    <x v="234"/>
    <s v=""/>
    <s v=""/>
    <x v="0"/>
    <x v="2"/>
    <x v="3"/>
    <n v="9008.65"/>
    <s v=""/>
    <s v=""/>
    <s v=""/>
    <n v="5"/>
    <s v=""/>
  </r>
  <r>
    <s v="INC327373"/>
    <x v="5"/>
    <s v="Data Issue"/>
    <x v="2"/>
    <s v="Critical"/>
    <x v="2"/>
    <s v="Billing"/>
    <x v="276"/>
    <d v="2023-12-27T00:00:00"/>
    <n v="54"/>
    <x v="2"/>
    <x v="5"/>
    <x v="5"/>
    <n v="312.72000000000003"/>
    <n v="322.79000000000002"/>
    <n v="10.07"/>
    <n v="3.2201330263494476E-2"/>
    <n v="3"/>
    <s v="No"/>
  </r>
  <r>
    <s v="INC661059"/>
    <x v="3"/>
    <s v="User Access Issue"/>
    <x v="3"/>
    <s v="Critical"/>
    <x v="4"/>
    <s v="IT"/>
    <x v="277"/>
    <s v=""/>
    <s v=""/>
    <x v="4"/>
    <x v="4"/>
    <x v="1"/>
    <n v="1768.64"/>
    <s v=""/>
    <s v=""/>
    <s v=""/>
    <n v="10"/>
    <s v=""/>
  </r>
  <r>
    <s v="INC866748"/>
    <x v="3"/>
    <s v="Payment Failure"/>
    <x v="3"/>
    <s v="Moderate"/>
    <x v="3"/>
    <s v="Customer Service"/>
    <x v="269"/>
    <d v="2023-11-21T00:00:00"/>
    <n v="9"/>
    <x v="3"/>
    <x v="0"/>
    <x v="6"/>
    <n v="165.42"/>
    <n v="148.19"/>
    <n v="-17.23"/>
    <n v="-0.10415911014387615"/>
    <n v="10"/>
    <s v="Yes"/>
  </r>
  <r>
    <s v="INC244984"/>
    <x v="0"/>
    <s v="Payment Failure"/>
    <x v="2"/>
    <s v="Minor"/>
    <x v="0"/>
    <s v="Compliance"/>
    <x v="278"/>
    <s v=""/>
    <s v=""/>
    <x v="1"/>
    <x v="4"/>
    <x v="7"/>
    <n v="100.58"/>
    <s v=""/>
    <s v=""/>
    <s v=""/>
    <n v="3"/>
    <s v=""/>
  </r>
  <r>
    <s v="INC452056"/>
    <x v="3"/>
    <s v="Performance Issue"/>
    <x v="1"/>
    <s v="Critical"/>
    <x v="0"/>
    <s v="Compliance"/>
    <x v="279"/>
    <d v="2024-02-05T00:00:00"/>
    <n v="92"/>
    <x v="3"/>
    <x v="0"/>
    <x v="4"/>
    <n v="390.53"/>
    <n v="402.66"/>
    <n v="12.13"/>
    <n v="3.1060353878063281E-2"/>
    <n v="1"/>
    <s v="No"/>
  </r>
  <r>
    <s v="INC985545"/>
    <x v="0"/>
    <s v="Complaint"/>
    <x v="1"/>
    <s v="Critical"/>
    <x v="0"/>
    <s v="Claims"/>
    <x v="95"/>
    <s v=""/>
    <s v=""/>
    <x v="4"/>
    <x v="1"/>
    <x v="4"/>
    <n v="4599.37"/>
    <s v=""/>
    <s v=""/>
    <s v=""/>
    <n v="1"/>
    <s v=""/>
  </r>
  <r>
    <s v="INC690934"/>
    <x v="1"/>
    <s v="User Access Issue"/>
    <x v="1"/>
    <s v="Moderate"/>
    <x v="4"/>
    <s v="Claims"/>
    <x v="222"/>
    <s v=""/>
    <s v=""/>
    <x v="1"/>
    <x v="5"/>
    <x v="0"/>
    <n v="1324.93"/>
    <s v=""/>
    <s v=""/>
    <s v=""/>
    <n v="1"/>
    <s v=""/>
  </r>
  <r>
    <s v="INC908783"/>
    <x v="0"/>
    <s v="Performance Issue"/>
    <x v="2"/>
    <s v="Critical"/>
    <x v="4"/>
    <s v="Claims"/>
    <x v="280"/>
    <s v=""/>
    <s v=""/>
    <x v="0"/>
    <x v="0"/>
    <x v="0"/>
    <n v="30241.5"/>
    <s v=""/>
    <s v=""/>
    <s v=""/>
    <n v="3"/>
    <s v=""/>
  </r>
  <r>
    <s v="INC694255"/>
    <x v="2"/>
    <s v="Performance Issue"/>
    <x v="3"/>
    <s v="Critical"/>
    <x v="1"/>
    <s v="Finance"/>
    <x v="281"/>
    <d v="2024-01-23T00:00:00"/>
    <n v="22"/>
    <x v="3"/>
    <x v="5"/>
    <x v="0"/>
    <n v="2014.53"/>
    <n v="2256.5500000000002"/>
    <n v="242.02"/>
    <n v="0.12013720321861686"/>
    <n v="10"/>
    <s v="No"/>
  </r>
  <r>
    <s v="INC566150"/>
    <x v="2"/>
    <s v="Complaint"/>
    <x v="3"/>
    <s v="Minor"/>
    <x v="2"/>
    <s v="Claims"/>
    <x v="282"/>
    <d v="2024-05-27T00:00:00"/>
    <n v="1"/>
    <x v="3"/>
    <x v="4"/>
    <x v="7"/>
    <n v="1395.92"/>
    <n v="1480.39"/>
    <n v="84.47"/>
    <n v="6.0512063728580451E-2"/>
    <n v="10"/>
    <s v="Yes"/>
  </r>
  <r>
    <s v="INC805824"/>
    <x v="3"/>
    <s v="Payment Failure"/>
    <x v="2"/>
    <s v="Moderate"/>
    <x v="3"/>
    <s v="IT"/>
    <x v="249"/>
    <d v="2023-09-06T00:00:00"/>
    <n v="34"/>
    <x v="3"/>
    <x v="2"/>
    <x v="0"/>
    <n v="38921.58"/>
    <n v="38921.65"/>
    <n v="7.0000000000000007E-2"/>
    <n v="1.7984881394770963E-6"/>
    <n v="3"/>
    <s v="No"/>
  </r>
  <r>
    <s v="INC281167"/>
    <x v="0"/>
    <s v="System Error"/>
    <x v="0"/>
    <s v="Major"/>
    <x v="2"/>
    <s v="Customer Service"/>
    <x v="283"/>
    <s v=""/>
    <s v=""/>
    <x v="0"/>
    <x v="0"/>
    <x v="0"/>
    <n v="16314.37"/>
    <s v=""/>
    <s v=""/>
    <s v=""/>
    <n v="5"/>
    <s v=""/>
  </r>
  <r>
    <s v="INC115697"/>
    <x v="4"/>
    <s v="Complaint"/>
    <x v="0"/>
    <s v="Major"/>
    <x v="4"/>
    <s v="IT"/>
    <x v="284"/>
    <d v="2024-03-16T00:00:00"/>
    <n v="1"/>
    <x v="3"/>
    <x v="1"/>
    <x v="1"/>
    <n v="1246.44"/>
    <n v="1072.42"/>
    <n v="-174.02"/>
    <n v="-0.13961361958858828"/>
    <n v="5"/>
    <s v="Yes"/>
  </r>
  <r>
    <s v="INC686031"/>
    <x v="4"/>
    <s v="Performance Issue"/>
    <x v="3"/>
    <s v="Critical"/>
    <x v="2"/>
    <s v="Claims"/>
    <x v="229"/>
    <s v=""/>
    <s v=""/>
    <x v="1"/>
    <x v="5"/>
    <x v="2"/>
    <n v="120.06"/>
    <s v=""/>
    <s v=""/>
    <s v=""/>
    <n v="10"/>
    <s v=""/>
  </r>
  <r>
    <s v="INC706452"/>
    <x v="4"/>
    <s v="Performance Issue"/>
    <x v="0"/>
    <s v="Minor"/>
    <x v="4"/>
    <s v="Finance"/>
    <x v="81"/>
    <s v=""/>
    <s v=""/>
    <x v="1"/>
    <x v="1"/>
    <x v="5"/>
    <n v="4995.74"/>
    <s v=""/>
    <s v=""/>
    <s v=""/>
    <n v="5"/>
    <s v=""/>
  </r>
  <r>
    <s v="INC322927"/>
    <x v="1"/>
    <s v="Data Issue"/>
    <x v="1"/>
    <s v="Critical"/>
    <x v="3"/>
    <s v="Compliance"/>
    <x v="258"/>
    <d v="2024-05-30T00:00:00"/>
    <n v="18"/>
    <x v="3"/>
    <x v="4"/>
    <x v="2"/>
    <n v="39.340000000000003"/>
    <n v="39.43"/>
    <n v="0.09"/>
    <n v="2.2877478393491689E-3"/>
    <n v="1"/>
    <s v="No"/>
  </r>
  <r>
    <s v="INC773397"/>
    <x v="6"/>
    <s v="Processing Delay"/>
    <x v="1"/>
    <s v="Minor"/>
    <x v="1"/>
    <s v="Claims"/>
    <x v="285"/>
    <s v=""/>
    <s v=""/>
    <x v="4"/>
    <x v="0"/>
    <x v="7"/>
    <n v="1157.42"/>
    <s v=""/>
    <s v=""/>
    <s v=""/>
    <n v="1"/>
    <s v=""/>
  </r>
  <r>
    <s v="INC304314"/>
    <x v="6"/>
    <s v="Data Issue"/>
    <x v="2"/>
    <s v="Moderate"/>
    <x v="0"/>
    <s v="Customer Service"/>
    <x v="1"/>
    <s v=""/>
    <s v=""/>
    <x v="4"/>
    <x v="4"/>
    <x v="0"/>
    <n v="549.67999999999995"/>
    <s v=""/>
    <s v=""/>
    <s v=""/>
    <n v="3"/>
    <s v=""/>
  </r>
  <r>
    <s v="INC872631"/>
    <x v="6"/>
    <s v="Integration Failure"/>
    <x v="1"/>
    <s v="Moderate"/>
    <x v="0"/>
    <s v="Billing"/>
    <x v="286"/>
    <d v="2023-11-14T00:00:00"/>
    <n v="115"/>
    <x v="3"/>
    <x v="1"/>
    <x v="2"/>
    <n v="9354.7099999999991"/>
    <n v="10290.33"/>
    <n v="935.62"/>
    <n v="0.10001592780535162"/>
    <n v="1"/>
    <s v="No"/>
  </r>
  <r>
    <s v="INC327578"/>
    <x v="0"/>
    <s v="System Error"/>
    <x v="0"/>
    <s v="Major"/>
    <x v="1"/>
    <s v="IT"/>
    <x v="287"/>
    <s v=""/>
    <s v=""/>
    <x v="4"/>
    <x v="3"/>
    <x v="7"/>
    <n v="15103.79"/>
    <s v=""/>
    <s v=""/>
    <s v=""/>
    <n v="5"/>
    <s v=""/>
  </r>
  <r>
    <s v="INC238454"/>
    <x v="5"/>
    <s v="System Error"/>
    <x v="0"/>
    <s v="Major"/>
    <x v="2"/>
    <s v="Claims"/>
    <x v="288"/>
    <d v="2023-04-30T00:00:00"/>
    <n v="68"/>
    <x v="3"/>
    <x v="3"/>
    <x v="3"/>
    <n v="5.43"/>
    <n v="5.92"/>
    <n v="0.49"/>
    <n v="9.0239410681399679E-2"/>
    <n v="5"/>
    <s v="No"/>
  </r>
  <r>
    <s v="INC576545"/>
    <x v="2"/>
    <s v="Performance Issue"/>
    <x v="2"/>
    <s v="Minor"/>
    <x v="1"/>
    <s v="Finance"/>
    <x v="252"/>
    <s v=""/>
    <s v=""/>
    <x v="1"/>
    <x v="2"/>
    <x v="5"/>
    <n v="3067.18"/>
    <s v=""/>
    <s v=""/>
    <s v=""/>
    <n v="3"/>
    <s v=""/>
  </r>
  <r>
    <s v="INC474884"/>
    <x v="4"/>
    <s v="System Error"/>
    <x v="0"/>
    <s v="Moderate"/>
    <x v="0"/>
    <s v="Finance"/>
    <x v="289"/>
    <d v="2023-07-14T00:00:00"/>
    <n v="79"/>
    <x v="3"/>
    <x v="2"/>
    <x v="0"/>
    <n v="15671.52"/>
    <n v="15671.94"/>
    <n v="0.42"/>
    <n v="2.6800208275908958E-5"/>
    <n v="5"/>
    <s v="No"/>
  </r>
  <r>
    <s v="INC398672"/>
    <x v="5"/>
    <s v="User Access Issue"/>
    <x v="2"/>
    <s v="Critical"/>
    <x v="1"/>
    <s v="Billing"/>
    <x v="237"/>
    <s v=""/>
    <s v=""/>
    <x v="4"/>
    <x v="4"/>
    <x v="2"/>
    <n v="10095.15"/>
    <s v=""/>
    <s v=""/>
    <s v=""/>
    <n v="3"/>
    <s v=""/>
  </r>
  <r>
    <s v="INC149831"/>
    <x v="6"/>
    <s v="Payment Failure"/>
    <x v="3"/>
    <s v="Minor"/>
    <x v="2"/>
    <s v="IT"/>
    <x v="290"/>
    <s v=""/>
    <s v=""/>
    <x v="0"/>
    <x v="5"/>
    <x v="2"/>
    <n v="618.71"/>
    <s v=""/>
    <s v=""/>
    <s v=""/>
    <n v="10"/>
    <s v=""/>
  </r>
  <r>
    <s v="INC932092"/>
    <x v="3"/>
    <s v="Performance Issue"/>
    <x v="0"/>
    <s v="Critical"/>
    <x v="1"/>
    <s v="IT"/>
    <x v="291"/>
    <d v="2023-08-05T00:00:00"/>
    <n v="105"/>
    <x v="2"/>
    <x v="0"/>
    <x v="5"/>
    <n v="978.45"/>
    <n v="861.27"/>
    <n v="-117.18"/>
    <n v="-0.11976084623639435"/>
    <n v="5"/>
    <s v="No"/>
  </r>
  <r>
    <s v="INC538020"/>
    <x v="5"/>
    <s v="Data Issue"/>
    <x v="2"/>
    <s v="Critical"/>
    <x v="2"/>
    <s v="IT"/>
    <x v="292"/>
    <s v=""/>
    <s v=""/>
    <x v="0"/>
    <x v="4"/>
    <x v="7"/>
    <n v="1361.85"/>
    <s v=""/>
    <s v=""/>
    <s v=""/>
    <n v="3"/>
    <s v=""/>
  </r>
  <r>
    <s v="INC626480"/>
    <x v="0"/>
    <s v="Performance Issue"/>
    <x v="0"/>
    <s v="Major"/>
    <x v="4"/>
    <s v="Compliance"/>
    <x v="293"/>
    <s v=""/>
    <s v=""/>
    <x v="4"/>
    <x v="2"/>
    <x v="5"/>
    <n v="17176.46"/>
    <s v=""/>
    <s v=""/>
    <s v=""/>
    <n v="5"/>
    <s v=""/>
  </r>
  <r>
    <s v="INC980635"/>
    <x v="0"/>
    <s v="User Access Issue"/>
    <x v="2"/>
    <s v="Major"/>
    <x v="1"/>
    <s v="Compliance"/>
    <x v="294"/>
    <d v="2024-01-10T00:00:00"/>
    <n v="16"/>
    <x v="2"/>
    <x v="2"/>
    <x v="3"/>
    <n v="846.03"/>
    <n v="846.61"/>
    <n v="0.57999999999999996"/>
    <n v="6.8555488576060061E-4"/>
    <n v="3"/>
    <s v="No"/>
  </r>
  <r>
    <s v="INC800739"/>
    <x v="2"/>
    <s v="Integration Failure"/>
    <x v="2"/>
    <s v="Critical"/>
    <x v="1"/>
    <s v="Customer Service"/>
    <x v="295"/>
    <s v=""/>
    <s v=""/>
    <x v="4"/>
    <x v="1"/>
    <x v="3"/>
    <n v="11937.74"/>
    <s v=""/>
    <s v=""/>
    <s v=""/>
    <n v="3"/>
    <s v=""/>
  </r>
  <r>
    <s v="INC273434"/>
    <x v="1"/>
    <s v="Data Issue"/>
    <x v="1"/>
    <s v="Moderate"/>
    <x v="3"/>
    <s v="Claims"/>
    <x v="180"/>
    <s v=""/>
    <s v=""/>
    <x v="0"/>
    <x v="5"/>
    <x v="3"/>
    <n v="9650.23"/>
    <s v=""/>
    <s v=""/>
    <s v=""/>
    <n v="1"/>
    <s v=""/>
  </r>
  <r>
    <s v="INC414014"/>
    <x v="5"/>
    <s v="Processing Delay"/>
    <x v="3"/>
    <s v="Moderate"/>
    <x v="1"/>
    <s v="Compliance"/>
    <x v="296"/>
    <d v="2024-02-21T00:00:00"/>
    <n v="79"/>
    <x v="2"/>
    <x v="5"/>
    <x v="3"/>
    <n v="1085.58"/>
    <n v="1064.69"/>
    <n v="-20.89"/>
    <n v="-1.92431695499179E-2"/>
    <n v="10"/>
    <s v="No"/>
  </r>
  <r>
    <s v="INC309727"/>
    <x v="4"/>
    <s v="User Access Issue"/>
    <x v="2"/>
    <s v="Critical"/>
    <x v="0"/>
    <s v="Claims"/>
    <x v="192"/>
    <d v="2023-07-09T00:00:00"/>
    <n v="106"/>
    <x v="2"/>
    <x v="0"/>
    <x v="2"/>
    <n v="19948.05"/>
    <n v="21943.3"/>
    <n v="1995.25"/>
    <n v="0.10002230794488685"/>
    <n v="3"/>
    <s v="No"/>
  </r>
  <r>
    <s v="INC725311"/>
    <x v="4"/>
    <s v="Payment Failure"/>
    <x v="1"/>
    <s v="Critical"/>
    <x v="2"/>
    <s v="Customer Service"/>
    <x v="297"/>
    <d v="2023-01-23T00:00:00"/>
    <n v="7"/>
    <x v="3"/>
    <x v="1"/>
    <x v="5"/>
    <n v="31719.69"/>
    <n v="28230.62"/>
    <n v="-3489.07"/>
    <n v="-0.10999697664132278"/>
    <n v="1"/>
    <s v="No"/>
  </r>
  <r>
    <s v="INC599120"/>
    <x v="2"/>
    <s v="Payment Failure"/>
    <x v="3"/>
    <s v="Major"/>
    <x v="4"/>
    <s v="Customer Service"/>
    <x v="72"/>
    <d v="2024-03-22T00:00:00"/>
    <n v="39"/>
    <x v="3"/>
    <x v="5"/>
    <x v="5"/>
    <n v="444.37"/>
    <n v="454.25"/>
    <n v="9.8800000000000008"/>
    <n v="2.2233724148794914E-2"/>
    <n v="10"/>
    <s v="No"/>
  </r>
  <r>
    <s v="INC398812"/>
    <x v="0"/>
    <s v="User Access Issue"/>
    <x v="3"/>
    <s v="Major"/>
    <x v="2"/>
    <s v="IT"/>
    <x v="57"/>
    <s v=""/>
    <s v=""/>
    <x v="0"/>
    <x v="2"/>
    <x v="1"/>
    <n v="277.31"/>
    <s v=""/>
    <s v=""/>
    <s v=""/>
    <n v="10"/>
    <s v=""/>
  </r>
  <r>
    <s v="INC321087"/>
    <x v="6"/>
    <s v="User Access Issue"/>
    <x v="0"/>
    <s v="Moderate"/>
    <x v="4"/>
    <s v="Finance"/>
    <x v="298"/>
    <s v=""/>
    <s v=""/>
    <x v="1"/>
    <x v="3"/>
    <x v="6"/>
    <n v="4986.91"/>
    <s v=""/>
    <s v=""/>
    <s v=""/>
    <n v="5"/>
    <s v=""/>
  </r>
  <r>
    <s v="INC139119"/>
    <x v="4"/>
    <s v="Payment Failure"/>
    <x v="1"/>
    <s v="Critical"/>
    <x v="3"/>
    <s v="Billing"/>
    <x v="32"/>
    <s v=""/>
    <s v=""/>
    <x v="4"/>
    <x v="2"/>
    <x v="0"/>
    <n v="4358.3900000000003"/>
    <s v=""/>
    <s v=""/>
    <s v=""/>
    <n v="1"/>
    <s v=""/>
  </r>
  <r>
    <s v="INC142385"/>
    <x v="6"/>
    <s v="Data Issue"/>
    <x v="2"/>
    <s v="Critical"/>
    <x v="0"/>
    <s v="IT"/>
    <x v="190"/>
    <d v="2023-12-27T00:00:00"/>
    <n v="100"/>
    <x v="2"/>
    <x v="2"/>
    <x v="6"/>
    <n v="0.52"/>
    <n v="0.9"/>
    <n v="0.38"/>
    <n v="0.73076923076923073"/>
    <n v="3"/>
    <s v="No"/>
  </r>
  <r>
    <s v="INC692500"/>
    <x v="3"/>
    <s v="Processing Delay"/>
    <x v="3"/>
    <s v="Major"/>
    <x v="0"/>
    <s v="Compliance"/>
    <x v="62"/>
    <s v=""/>
    <s v=""/>
    <x v="4"/>
    <x v="2"/>
    <x v="1"/>
    <n v="21125.05"/>
    <s v=""/>
    <s v=""/>
    <s v=""/>
    <n v="10"/>
    <s v=""/>
  </r>
  <r>
    <s v="INC877695"/>
    <x v="2"/>
    <s v="Integration Failure"/>
    <x v="0"/>
    <s v="Critical"/>
    <x v="2"/>
    <s v="IT"/>
    <x v="299"/>
    <d v="2024-07-12T00:00:00"/>
    <n v="22"/>
    <x v="3"/>
    <x v="5"/>
    <x v="2"/>
    <n v="23578.27"/>
    <n v="20277.91"/>
    <n v="-3300.36"/>
    <n v="-0.13997464614664268"/>
    <n v="5"/>
    <s v="No"/>
  </r>
  <r>
    <s v="INC716356"/>
    <x v="6"/>
    <s v="Payment Failure"/>
    <x v="1"/>
    <s v="Moderate"/>
    <x v="3"/>
    <s v="Claims"/>
    <x v="300"/>
    <s v=""/>
    <s v=""/>
    <x v="0"/>
    <x v="0"/>
    <x v="3"/>
    <n v="2116.65"/>
    <s v=""/>
    <s v=""/>
    <s v=""/>
    <n v="1"/>
    <s v=""/>
  </r>
  <r>
    <s v="INC993035"/>
    <x v="0"/>
    <s v="Data Issue"/>
    <x v="2"/>
    <s v="Major"/>
    <x v="0"/>
    <s v="Finance"/>
    <x v="185"/>
    <d v="2023-12-13T00:00:00"/>
    <n v="110"/>
    <x v="2"/>
    <x v="2"/>
    <x v="3"/>
    <n v="957.05"/>
    <n v="1120.6500000000001"/>
    <n v="163.6"/>
    <n v="0.17094195705553539"/>
    <n v="3"/>
    <s v="No"/>
  </r>
  <r>
    <s v="INC969318"/>
    <x v="4"/>
    <s v="System Error"/>
    <x v="1"/>
    <s v="Major"/>
    <x v="1"/>
    <s v="Customer Service"/>
    <x v="301"/>
    <s v=""/>
    <s v=""/>
    <x v="4"/>
    <x v="1"/>
    <x v="0"/>
    <n v="472.88"/>
    <s v=""/>
    <s v=""/>
    <s v=""/>
    <n v="1"/>
    <s v=""/>
  </r>
  <r>
    <s v="INC368199"/>
    <x v="6"/>
    <s v="Processing Delay"/>
    <x v="1"/>
    <s v="Critical"/>
    <x v="0"/>
    <s v="Finance"/>
    <x v="17"/>
    <s v=""/>
    <s v=""/>
    <x v="0"/>
    <x v="3"/>
    <x v="5"/>
    <n v="37533.99"/>
    <s v=""/>
    <s v=""/>
    <s v=""/>
    <n v="1"/>
    <s v=""/>
  </r>
  <r>
    <s v="INC426020"/>
    <x v="0"/>
    <s v="Data Issue"/>
    <x v="0"/>
    <s v="Minor"/>
    <x v="4"/>
    <s v="Claims"/>
    <x v="302"/>
    <s v=""/>
    <s v=""/>
    <x v="0"/>
    <x v="3"/>
    <x v="5"/>
    <n v="6831.84"/>
    <s v=""/>
    <s v=""/>
    <s v=""/>
    <n v="5"/>
    <s v=""/>
  </r>
  <r>
    <s v="INC790172"/>
    <x v="4"/>
    <s v="System Error"/>
    <x v="3"/>
    <s v="Major"/>
    <x v="4"/>
    <s v="IT"/>
    <x v="303"/>
    <s v=""/>
    <s v=""/>
    <x v="0"/>
    <x v="2"/>
    <x v="4"/>
    <n v="48.13"/>
    <s v=""/>
    <s v=""/>
    <s v=""/>
    <n v="10"/>
    <s v=""/>
  </r>
  <r>
    <s v="INC784268"/>
    <x v="6"/>
    <s v="Integration Failure"/>
    <x v="3"/>
    <s v="Critical"/>
    <x v="2"/>
    <s v="Billing"/>
    <x v="304"/>
    <d v="2023-06-17T00:00:00"/>
    <n v="81"/>
    <x v="2"/>
    <x v="3"/>
    <x v="4"/>
    <n v="0"/>
    <n v="0.87"/>
    <n v="0.87"/>
    <e v="#DIV/0!"/>
    <n v="10"/>
    <s v="No"/>
  </r>
  <r>
    <s v="INC685576"/>
    <x v="0"/>
    <s v="User Access Issue"/>
    <x v="0"/>
    <s v="Major"/>
    <x v="4"/>
    <s v="Compliance"/>
    <x v="305"/>
    <d v="2024-02-14T00:00:00"/>
    <n v="108"/>
    <x v="2"/>
    <x v="5"/>
    <x v="0"/>
    <n v="1506.25"/>
    <n v="1401.62"/>
    <n v="-104.63"/>
    <n v="-6.9463900414937829E-2"/>
    <n v="5"/>
    <s v="No"/>
  </r>
  <r>
    <s v="INC159273"/>
    <x v="2"/>
    <s v="User Access Issue"/>
    <x v="3"/>
    <s v="Minor"/>
    <x v="3"/>
    <s v="Billing"/>
    <x v="108"/>
    <s v=""/>
    <s v=""/>
    <x v="1"/>
    <x v="4"/>
    <x v="3"/>
    <n v="419.11"/>
    <s v=""/>
    <s v=""/>
    <s v=""/>
    <n v="10"/>
    <s v=""/>
  </r>
  <r>
    <s v="INC209981"/>
    <x v="6"/>
    <s v="Integration Failure"/>
    <x v="1"/>
    <s v="Critical"/>
    <x v="4"/>
    <s v="Claims"/>
    <x v="275"/>
    <s v=""/>
    <s v=""/>
    <x v="0"/>
    <x v="5"/>
    <x v="6"/>
    <n v="18328.189999999999"/>
    <s v=""/>
    <s v=""/>
    <s v=""/>
    <n v="1"/>
    <s v=""/>
  </r>
  <r>
    <s v="INC409591"/>
    <x v="4"/>
    <s v="Processing Delay"/>
    <x v="2"/>
    <s v="Critical"/>
    <x v="4"/>
    <s v="Claims"/>
    <x v="75"/>
    <s v=""/>
    <s v=""/>
    <x v="4"/>
    <x v="0"/>
    <x v="2"/>
    <n v="8038.57"/>
    <s v=""/>
    <s v=""/>
    <s v=""/>
    <n v="3"/>
    <s v=""/>
  </r>
  <r>
    <s v="INC908288"/>
    <x v="3"/>
    <s v="Processing Delay"/>
    <x v="0"/>
    <s v="Major"/>
    <x v="0"/>
    <s v="Customer Service"/>
    <x v="306"/>
    <d v="2024-05-15T00:00:00"/>
    <n v="29"/>
    <x v="2"/>
    <x v="3"/>
    <x v="2"/>
    <n v="3.26"/>
    <n v="4.4000000000000004"/>
    <n v="1.1399999999999999"/>
    <n v="0.34969325153374253"/>
    <n v="5"/>
    <s v="No"/>
  </r>
  <r>
    <s v="INC432144"/>
    <x v="1"/>
    <s v="User Access Issue"/>
    <x v="2"/>
    <s v="Major"/>
    <x v="0"/>
    <s v="Finance"/>
    <x v="307"/>
    <d v="2024-07-27T00:00:00"/>
    <n v="67"/>
    <x v="3"/>
    <x v="3"/>
    <x v="0"/>
    <n v="1465.62"/>
    <n v="1730.33"/>
    <n v="264.70999999999998"/>
    <n v="0.18061298290143424"/>
    <n v="3"/>
    <s v="No"/>
  </r>
  <r>
    <s v="INC995805"/>
    <x v="3"/>
    <s v="Integration Failure"/>
    <x v="2"/>
    <s v="Critical"/>
    <x v="2"/>
    <s v="IT"/>
    <x v="65"/>
    <s v=""/>
    <s v=""/>
    <x v="0"/>
    <x v="0"/>
    <x v="6"/>
    <n v="976.3"/>
    <s v=""/>
    <s v=""/>
    <s v=""/>
    <n v="3"/>
    <s v=""/>
  </r>
  <r>
    <s v="INC751393"/>
    <x v="3"/>
    <s v="Performance Issue"/>
    <x v="0"/>
    <s v="Minor"/>
    <x v="1"/>
    <s v="IT"/>
    <x v="148"/>
    <d v="2024-07-06T00:00:00"/>
    <n v="45"/>
    <x v="2"/>
    <x v="3"/>
    <x v="7"/>
    <n v="0.04"/>
    <n v="0.25"/>
    <n v="0.21"/>
    <n v="5.25"/>
    <n v="5"/>
    <s v="No"/>
  </r>
  <r>
    <s v="INC113338"/>
    <x v="3"/>
    <s v="Data Issue"/>
    <x v="0"/>
    <s v="Moderate"/>
    <x v="1"/>
    <s v="Customer Service"/>
    <x v="308"/>
    <s v=""/>
    <s v=""/>
    <x v="0"/>
    <x v="0"/>
    <x v="1"/>
    <n v="895.03"/>
    <s v=""/>
    <s v=""/>
    <s v=""/>
    <n v="5"/>
    <s v=""/>
  </r>
  <r>
    <s v="INC794031"/>
    <x v="4"/>
    <s v="Data Issue"/>
    <x v="2"/>
    <s v="Minor"/>
    <x v="1"/>
    <s v="Finance"/>
    <x v="81"/>
    <s v=""/>
    <s v=""/>
    <x v="0"/>
    <x v="2"/>
    <x v="5"/>
    <n v="0.08"/>
    <s v=""/>
    <s v=""/>
    <s v=""/>
    <n v="3"/>
    <s v=""/>
  </r>
  <r>
    <s v="INC545589"/>
    <x v="5"/>
    <s v="Payment Failure"/>
    <x v="1"/>
    <s v="Moderate"/>
    <x v="3"/>
    <s v="Finance"/>
    <x v="63"/>
    <s v=""/>
    <s v=""/>
    <x v="0"/>
    <x v="3"/>
    <x v="6"/>
    <n v="38.26"/>
    <s v=""/>
    <s v=""/>
    <s v=""/>
    <n v="1"/>
    <s v=""/>
  </r>
  <r>
    <s v="INC499043"/>
    <x v="3"/>
    <s v="User Access Issue"/>
    <x v="0"/>
    <s v="Minor"/>
    <x v="3"/>
    <s v="Claims"/>
    <x v="287"/>
    <s v=""/>
    <s v=""/>
    <x v="0"/>
    <x v="4"/>
    <x v="4"/>
    <n v="7273.64"/>
    <s v=""/>
    <s v=""/>
    <s v=""/>
    <n v="5"/>
    <s v=""/>
  </r>
  <r>
    <s v="INC451551"/>
    <x v="0"/>
    <s v="User Access Issue"/>
    <x v="1"/>
    <s v="Critical"/>
    <x v="1"/>
    <s v="Customer Service"/>
    <x v="309"/>
    <s v=""/>
    <s v=""/>
    <x v="0"/>
    <x v="4"/>
    <x v="0"/>
    <n v="7347.08"/>
    <s v=""/>
    <s v=""/>
    <s v=""/>
    <n v="1"/>
    <s v=""/>
  </r>
  <r>
    <s v="INC481293"/>
    <x v="4"/>
    <s v="Integration Failure"/>
    <x v="1"/>
    <s v="Critical"/>
    <x v="3"/>
    <s v="Customer Service"/>
    <x v="310"/>
    <d v="2024-04-18T00:00:00"/>
    <n v="26"/>
    <x v="2"/>
    <x v="5"/>
    <x v="2"/>
    <n v="10864.13"/>
    <n v="10647.56"/>
    <n v="-216.57"/>
    <n v="-1.9934408001376983E-2"/>
    <n v="1"/>
    <s v="No"/>
  </r>
  <r>
    <s v="INC405803"/>
    <x v="1"/>
    <s v="Data Issue"/>
    <x v="3"/>
    <s v="Minor"/>
    <x v="4"/>
    <s v="Customer Service"/>
    <x v="289"/>
    <s v=""/>
    <s v=""/>
    <x v="4"/>
    <x v="2"/>
    <x v="1"/>
    <n v="6.88"/>
    <s v=""/>
    <s v=""/>
    <s v=""/>
    <n v="10"/>
    <s v=""/>
  </r>
  <r>
    <s v="INC533069"/>
    <x v="1"/>
    <s v="Complaint"/>
    <x v="2"/>
    <s v="Minor"/>
    <x v="1"/>
    <s v="Claims"/>
    <x v="177"/>
    <s v=""/>
    <s v=""/>
    <x v="4"/>
    <x v="4"/>
    <x v="6"/>
    <n v="2050.4699999999998"/>
    <s v=""/>
    <s v=""/>
    <s v=""/>
    <n v="3"/>
    <s v=""/>
  </r>
  <r>
    <s v="INC284974"/>
    <x v="2"/>
    <s v="System Error"/>
    <x v="2"/>
    <s v="Moderate"/>
    <x v="2"/>
    <s v="Billing"/>
    <x v="311"/>
    <s v=""/>
    <s v=""/>
    <x v="4"/>
    <x v="0"/>
    <x v="2"/>
    <n v="319.07"/>
    <s v=""/>
    <s v=""/>
    <s v=""/>
    <n v="3"/>
    <s v=""/>
  </r>
  <r>
    <s v="INC159974"/>
    <x v="6"/>
    <s v="System Error"/>
    <x v="0"/>
    <s v="Critical"/>
    <x v="4"/>
    <s v="Customer Service"/>
    <x v="312"/>
    <d v="2023-06-26T00:00:00"/>
    <n v="19"/>
    <x v="2"/>
    <x v="0"/>
    <x v="0"/>
    <n v="0.9"/>
    <n v="1.02"/>
    <n v="0.12"/>
    <n v="0.13333333333333333"/>
    <n v="5"/>
    <s v="No"/>
  </r>
  <r>
    <s v="INC115567"/>
    <x v="3"/>
    <s v="System Error"/>
    <x v="3"/>
    <s v="Major"/>
    <x v="0"/>
    <s v="Customer Service"/>
    <x v="313"/>
    <d v="2024-04-16T00:00:00"/>
    <n v="47"/>
    <x v="3"/>
    <x v="1"/>
    <x v="1"/>
    <n v="3014.69"/>
    <n v="3407.59"/>
    <n v="392.9"/>
    <n v="0.13032849148668688"/>
    <n v="10"/>
    <s v="No"/>
  </r>
  <r>
    <s v="INC557080"/>
    <x v="1"/>
    <s v="Processing Delay"/>
    <x v="0"/>
    <s v="Minor"/>
    <x v="2"/>
    <s v="IT"/>
    <x v="74"/>
    <d v="2024-04-16T00:00:00"/>
    <n v="5"/>
    <x v="2"/>
    <x v="4"/>
    <x v="2"/>
    <n v="889.68"/>
    <n v="898.78"/>
    <n v="9.1"/>
    <n v="1.0228396726913074E-2"/>
    <n v="5"/>
    <s v="Yes"/>
  </r>
  <r>
    <s v="INC836356"/>
    <x v="0"/>
    <s v="Payment Failure"/>
    <x v="3"/>
    <s v="Critical"/>
    <x v="4"/>
    <s v="Billing"/>
    <x v="314"/>
    <d v="2023-04-06T00:00:00"/>
    <n v="63"/>
    <x v="3"/>
    <x v="2"/>
    <x v="6"/>
    <n v="3064.55"/>
    <n v="3279.78"/>
    <n v="215.23"/>
    <n v="7.0232171118108699E-2"/>
    <n v="10"/>
    <s v="No"/>
  </r>
  <r>
    <s v="INC616473"/>
    <x v="0"/>
    <s v="Processing Delay"/>
    <x v="1"/>
    <s v="Major"/>
    <x v="0"/>
    <s v="IT"/>
    <x v="315"/>
    <d v="2023-09-20T00:00:00"/>
    <n v="86"/>
    <x v="3"/>
    <x v="2"/>
    <x v="2"/>
    <n v="3318.08"/>
    <n v="3816.18"/>
    <n v="498.1"/>
    <n v="0.15011693509499466"/>
    <n v="1"/>
    <s v="No"/>
  </r>
  <r>
    <s v="INC220136"/>
    <x v="3"/>
    <s v="System Error"/>
    <x v="1"/>
    <s v="Major"/>
    <x v="3"/>
    <s v="Customer Service"/>
    <x v="316"/>
    <s v=""/>
    <s v=""/>
    <x v="4"/>
    <x v="0"/>
    <x v="2"/>
    <n v="4651.66"/>
    <s v=""/>
    <s v=""/>
    <s v=""/>
    <n v="1"/>
    <s v=""/>
  </r>
  <r>
    <s v="INC145773"/>
    <x v="4"/>
    <s v="Complaint"/>
    <x v="3"/>
    <s v="Critical"/>
    <x v="3"/>
    <s v="Billing"/>
    <x v="181"/>
    <s v=""/>
    <s v=""/>
    <x v="1"/>
    <x v="4"/>
    <x v="1"/>
    <n v="1.27"/>
    <s v=""/>
    <s v=""/>
    <s v=""/>
    <n v="10"/>
    <s v=""/>
  </r>
  <r>
    <s v="INC114859"/>
    <x v="5"/>
    <s v="System Error"/>
    <x v="2"/>
    <s v="Major"/>
    <x v="0"/>
    <s v="Billing"/>
    <x v="317"/>
    <s v=""/>
    <s v=""/>
    <x v="4"/>
    <x v="3"/>
    <x v="5"/>
    <n v="3.18"/>
    <s v=""/>
    <s v=""/>
    <s v=""/>
    <n v="3"/>
    <s v=""/>
  </r>
  <r>
    <s v="INC885241"/>
    <x v="0"/>
    <s v="Data Issue"/>
    <x v="1"/>
    <s v="Moderate"/>
    <x v="3"/>
    <s v="Claims"/>
    <x v="318"/>
    <s v=""/>
    <s v=""/>
    <x v="1"/>
    <x v="3"/>
    <x v="5"/>
    <n v="185.38"/>
    <s v=""/>
    <s v=""/>
    <s v=""/>
    <n v="1"/>
    <s v=""/>
  </r>
  <r>
    <s v="INC303167"/>
    <x v="5"/>
    <s v="Payment Failure"/>
    <x v="0"/>
    <s v="Major"/>
    <x v="3"/>
    <s v="Customer Service"/>
    <x v="319"/>
    <s v=""/>
    <s v=""/>
    <x v="4"/>
    <x v="5"/>
    <x v="6"/>
    <n v="0.16"/>
    <s v=""/>
    <s v=""/>
    <s v=""/>
    <n v="5"/>
    <s v=""/>
  </r>
  <r>
    <s v="INC209753"/>
    <x v="0"/>
    <s v="Performance Issue"/>
    <x v="0"/>
    <s v="Moderate"/>
    <x v="0"/>
    <s v="Claims"/>
    <x v="98"/>
    <d v="2024-06-21T00:00:00"/>
    <n v="100"/>
    <x v="2"/>
    <x v="5"/>
    <x v="6"/>
    <n v="111.46"/>
    <n v="124.85"/>
    <n v="13.39"/>
    <n v="0.12013278306118788"/>
    <n v="5"/>
    <s v="No"/>
  </r>
  <r>
    <s v="INC638713"/>
    <x v="3"/>
    <s v="Data Issue"/>
    <x v="3"/>
    <s v="Critical"/>
    <x v="2"/>
    <s v="Claims"/>
    <x v="241"/>
    <s v=""/>
    <s v=""/>
    <x v="4"/>
    <x v="0"/>
    <x v="6"/>
    <n v="6.45"/>
    <s v=""/>
    <s v=""/>
    <s v=""/>
    <n v="10"/>
    <s v=""/>
  </r>
  <r>
    <s v="INC537862"/>
    <x v="4"/>
    <s v="System Error"/>
    <x v="0"/>
    <s v="Minor"/>
    <x v="4"/>
    <s v="Finance"/>
    <x v="320"/>
    <d v="2024-04-24T00:00:00"/>
    <n v="53"/>
    <x v="3"/>
    <x v="1"/>
    <x v="5"/>
    <n v="16083.74"/>
    <n v="15280.35"/>
    <n v="-803.39"/>
    <n v="-4.9950446848805029E-2"/>
    <n v="5"/>
    <s v="No"/>
  </r>
  <r>
    <s v="INC497895"/>
    <x v="4"/>
    <s v="User Access Issue"/>
    <x v="2"/>
    <s v="Moderate"/>
    <x v="1"/>
    <s v="Compliance"/>
    <x v="27"/>
    <s v=""/>
    <s v=""/>
    <x v="0"/>
    <x v="3"/>
    <x v="1"/>
    <n v="1928.43"/>
    <s v=""/>
    <s v=""/>
    <s v=""/>
    <n v="3"/>
    <s v=""/>
  </r>
  <r>
    <s v="INC597847"/>
    <x v="3"/>
    <s v="Processing Delay"/>
    <x v="2"/>
    <s v="Critical"/>
    <x v="3"/>
    <s v="Compliance"/>
    <x v="39"/>
    <d v="2023-04-13T00:00:00"/>
    <n v="24"/>
    <x v="3"/>
    <x v="4"/>
    <x v="0"/>
    <n v="14689.24"/>
    <n v="12486.71"/>
    <n v="-2202.5300000000002"/>
    <n v="-0.14994172605253919"/>
    <n v="3"/>
    <s v="No"/>
  </r>
  <r>
    <s v="INC885535"/>
    <x v="1"/>
    <s v="Performance Issue"/>
    <x v="0"/>
    <s v="Moderate"/>
    <x v="2"/>
    <s v="IT"/>
    <x v="186"/>
    <s v=""/>
    <s v=""/>
    <x v="4"/>
    <x v="4"/>
    <x v="0"/>
    <n v="123.86"/>
    <s v=""/>
    <s v=""/>
    <s v=""/>
    <n v="5"/>
    <s v=""/>
  </r>
  <r>
    <s v="INC966483"/>
    <x v="0"/>
    <s v="System Error"/>
    <x v="2"/>
    <s v="Critical"/>
    <x v="2"/>
    <s v="IT"/>
    <x v="198"/>
    <s v=""/>
    <s v=""/>
    <x v="0"/>
    <x v="2"/>
    <x v="5"/>
    <n v="185.48"/>
    <s v=""/>
    <s v=""/>
    <s v=""/>
    <n v="3"/>
    <s v=""/>
  </r>
  <r>
    <s v="INC663612"/>
    <x v="0"/>
    <s v="System Error"/>
    <x v="3"/>
    <s v="Critical"/>
    <x v="3"/>
    <s v="Billing"/>
    <x v="75"/>
    <s v=""/>
    <s v=""/>
    <x v="0"/>
    <x v="1"/>
    <x v="7"/>
    <n v="17182.12"/>
    <s v=""/>
    <s v=""/>
    <s v=""/>
    <n v="10"/>
    <s v=""/>
  </r>
  <r>
    <s v="INC296723"/>
    <x v="0"/>
    <s v="Integration Failure"/>
    <x v="1"/>
    <s v="Critical"/>
    <x v="3"/>
    <s v="Billing"/>
    <x v="321"/>
    <d v="2024-10-08T00:00:00"/>
    <n v="102"/>
    <x v="3"/>
    <x v="3"/>
    <x v="3"/>
    <n v="32.119999999999997"/>
    <n v="32.770000000000003"/>
    <n v="0.65"/>
    <n v="2.0236612702366305E-2"/>
    <n v="1"/>
    <s v="No"/>
  </r>
  <r>
    <s v="INC269773"/>
    <x v="3"/>
    <s v="User Access Issue"/>
    <x v="2"/>
    <s v="Critical"/>
    <x v="2"/>
    <s v="Compliance"/>
    <x v="276"/>
    <s v=""/>
    <s v=""/>
    <x v="1"/>
    <x v="2"/>
    <x v="3"/>
    <n v="6747.27"/>
    <s v=""/>
    <s v=""/>
    <s v=""/>
    <n v="3"/>
    <s v=""/>
  </r>
  <r>
    <s v="INC198906"/>
    <x v="4"/>
    <s v="Data Issue"/>
    <x v="1"/>
    <s v="Major"/>
    <x v="4"/>
    <s v="Claims"/>
    <x v="265"/>
    <s v=""/>
    <s v=""/>
    <x v="4"/>
    <x v="1"/>
    <x v="4"/>
    <n v="250.07"/>
    <s v=""/>
    <s v=""/>
    <s v=""/>
    <n v="1"/>
    <s v=""/>
  </r>
  <r>
    <s v="INC421039"/>
    <x v="0"/>
    <s v="User Access Issue"/>
    <x v="1"/>
    <s v="Minor"/>
    <x v="0"/>
    <s v="Billing"/>
    <x v="304"/>
    <s v=""/>
    <s v=""/>
    <x v="0"/>
    <x v="3"/>
    <x v="4"/>
    <n v="7604.32"/>
    <s v=""/>
    <s v=""/>
    <s v=""/>
    <n v="1"/>
    <s v=""/>
  </r>
  <r>
    <s v="INC580131"/>
    <x v="2"/>
    <s v="Data Issue"/>
    <x v="3"/>
    <s v="Critical"/>
    <x v="3"/>
    <s v="Customer Service"/>
    <x v="129"/>
    <s v=""/>
    <s v=""/>
    <x v="0"/>
    <x v="0"/>
    <x v="5"/>
    <n v="2861.2"/>
    <s v=""/>
    <s v=""/>
    <s v=""/>
    <n v="10"/>
    <s v=""/>
  </r>
  <r>
    <s v="INC701879"/>
    <x v="5"/>
    <s v="System Error"/>
    <x v="2"/>
    <s v="Moderate"/>
    <x v="3"/>
    <s v="IT"/>
    <x v="35"/>
    <s v=""/>
    <s v=""/>
    <x v="0"/>
    <x v="5"/>
    <x v="3"/>
    <n v="17203.669999999998"/>
    <s v=""/>
    <s v=""/>
    <s v=""/>
    <n v="3"/>
    <s v=""/>
  </r>
  <r>
    <s v="INC388547"/>
    <x v="3"/>
    <s v="User Access Issue"/>
    <x v="0"/>
    <s v="Major"/>
    <x v="2"/>
    <s v="IT"/>
    <x v="183"/>
    <s v=""/>
    <s v=""/>
    <x v="0"/>
    <x v="2"/>
    <x v="0"/>
    <n v="10764.63"/>
    <s v=""/>
    <s v=""/>
    <s v=""/>
    <n v="5"/>
    <s v=""/>
  </r>
  <r>
    <s v="INC743599"/>
    <x v="3"/>
    <s v="Complaint"/>
    <x v="3"/>
    <s v="Critical"/>
    <x v="0"/>
    <s v="Claims"/>
    <x v="208"/>
    <d v="2024-04-03T00:00:00"/>
    <n v="112"/>
    <x v="2"/>
    <x v="0"/>
    <x v="2"/>
    <n v="12739.06"/>
    <n v="11211.15"/>
    <n v="-1527.91"/>
    <n v="-0.11993899078895931"/>
    <n v="10"/>
    <s v="No"/>
  </r>
  <r>
    <s v="INC124299"/>
    <x v="2"/>
    <s v="System Error"/>
    <x v="1"/>
    <s v="Minor"/>
    <x v="1"/>
    <s v="Compliance"/>
    <x v="322"/>
    <d v="2024-07-27T00:00:00"/>
    <n v="105"/>
    <x v="2"/>
    <x v="4"/>
    <x v="3"/>
    <n v="1423.53"/>
    <n v="1410.02"/>
    <n v="-13.51"/>
    <n v="-9.4904919460777025E-3"/>
    <n v="1"/>
    <s v="No"/>
  </r>
  <r>
    <s v="INC114202"/>
    <x v="4"/>
    <s v="Processing Delay"/>
    <x v="0"/>
    <s v="Major"/>
    <x v="0"/>
    <s v="Billing"/>
    <x v="173"/>
    <d v="2024-02-25T00:00:00"/>
    <n v="73"/>
    <x v="3"/>
    <x v="2"/>
    <x v="6"/>
    <n v="33811.69"/>
    <n v="36517.58"/>
    <n v="2705.89"/>
    <n v="8.0028238754111344E-2"/>
    <n v="5"/>
    <s v="No"/>
  </r>
  <r>
    <s v="INC620095"/>
    <x v="0"/>
    <s v="Data Issue"/>
    <x v="0"/>
    <s v="Moderate"/>
    <x v="3"/>
    <s v="IT"/>
    <x v="273"/>
    <d v="2024-03-11T00:00:00"/>
    <n v="95"/>
    <x v="3"/>
    <x v="3"/>
    <x v="1"/>
    <n v="761.52"/>
    <n v="845.97"/>
    <n v="84.45"/>
    <n v="0.11089662779703757"/>
    <n v="5"/>
    <s v="No"/>
  </r>
  <r>
    <s v="INC251756"/>
    <x v="5"/>
    <s v="Integration Failure"/>
    <x v="0"/>
    <s v="Major"/>
    <x v="1"/>
    <s v="Compliance"/>
    <x v="323"/>
    <s v=""/>
    <s v=""/>
    <x v="4"/>
    <x v="3"/>
    <x v="5"/>
    <n v="9715.2900000000009"/>
    <s v=""/>
    <s v=""/>
    <s v=""/>
    <n v="5"/>
    <s v=""/>
  </r>
  <r>
    <s v="INC209396"/>
    <x v="1"/>
    <s v="Payment Failure"/>
    <x v="3"/>
    <s v="Moderate"/>
    <x v="3"/>
    <s v="Compliance"/>
    <x v="324"/>
    <s v=""/>
    <s v=""/>
    <x v="0"/>
    <x v="0"/>
    <x v="1"/>
    <n v="3257.21"/>
    <s v=""/>
    <s v=""/>
    <s v=""/>
    <n v="10"/>
    <s v=""/>
  </r>
  <r>
    <s v="INC908452"/>
    <x v="1"/>
    <s v="Payment Failure"/>
    <x v="2"/>
    <s v="Minor"/>
    <x v="4"/>
    <s v="Finance"/>
    <x v="289"/>
    <s v=""/>
    <s v=""/>
    <x v="1"/>
    <x v="2"/>
    <x v="5"/>
    <n v="7038.78"/>
    <s v=""/>
    <s v=""/>
    <s v=""/>
    <n v="3"/>
    <s v=""/>
  </r>
  <r>
    <s v="INC249263"/>
    <x v="0"/>
    <s v="System Error"/>
    <x v="0"/>
    <s v="Moderate"/>
    <x v="3"/>
    <s v="Finance"/>
    <x v="325"/>
    <d v="2024-04-29T00:00:00"/>
    <n v="116"/>
    <x v="2"/>
    <x v="3"/>
    <x v="6"/>
    <n v="95.97"/>
    <n v="82.65"/>
    <n v="-13.32"/>
    <n v="-0.13879337292904026"/>
    <n v="5"/>
    <s v="No"/>
  </r>
  <r>
    <s v="INC163637"/>
    <x v="3"/>
    <s v="Payment Failure"/>
    <x v="3"/>
    <s v="Critical"/>
    <x v="2"/>
    <s v="IT"/>
    <x v="326"/>
    <d v="2023-06-25T00:00:00"/>
    <n v="111"/>
    <x v="3"/>
    <x v="4"/>
    <x v="6"/>
    <n v="1385.35"/>
    <n v="1316.29"/>
    <n v="-69.06"/>
    <n v="-4.9850218356372003E-2"/>
    <n v="10"/>
    <s v="No"/>
  </r>
  <r>
    <s v="INC909006"/>
    <x v="0"/>
    <s v="System Error"/>
    <x v="3"/>
    <s v="Minor"/>
    <x v="3"/>
    <s v="Compliance"/>
    <x v="247"/>
    <s v=""/>
    <s v=""/>
    <x v="0"/>
    <x v="0"/>
    <x v="6"/>
    <n v="2025.92"/>
    <s v=""/>
    <s v=""/>
    <s v=""/>
    <n v="10"/>
    <s v=""/>
  </r>
  <r>
    <s v="INC228316"/>
    <x v="2"/>
    <s v="Performance Issue"/>
    <x v="2"/>
    <s v="Minor"/>
    <x v="1"/>
    <s v="Billing"/>
    <x v="215"/>
    <s v=""/>
    <s v=""/>
    <x v="0"/>
    <x v="1"/>
    <x v="4"/>
    <n v="1157.08"/>
    <s v=""/>
    <s v=""/>
    <s v=""/>
    <n v="3"/>
    <s v=""/>
  </r>
  <r>
    <s v="INC572872"/>
    <x v="0"/>
    <s v="Integration Failure"/>
    <x v="3"/>
    <s v="Minor"/>
    <x v="4"/>
    <s v="IT"/>
    <x v="286"/>
    <s v=""/>
    <s v=""/>
    <x v="4"/>
    <x v="2"/>
    <x v="4"/>
    <n v="11143.92"/>
    <s v=""/>
    <s v=""/>
    <s v=""/>
    <n v="10"/>
    <s v=""/>
  </r>
  <r>
    <s v="INC814277"/>
    <x v="6"/>
    <s v="Payment Failure"/>
    <x v="2"/>
    <s v="Critical"/>
    <x v="1"/>
    <s v="Claims"/>
    <x v="306"/>
    <s v=""/>
    <s v=""/>
    <x v="4"/>
    <x v="4"/>
    <x v="7"/>
    <n v="8311.24"/>
    <s v=""/>
    <s v=""/>
    <s v=""/>
    <n v="3"/>
    <s v=""/>
  </r>
  <r>
    <s v="INC233538"/>
    <x v="2"/>
    <s v="Integration Failure"/>
    <x v="2"/>
    <s v="Moderate"/>
    <x v="0"/>
    <s v="IT"/>
    <x v="280"/>
    <s v=""/>
    <s v=""/>
    <x v="1"/>
    <x v="4"/>
    <x v="3"/>
    <n v="4354.03"/>
    <s v=""/>
    <s v=""/>
    <s v=""/>
    <n v="3"/>
    <s v=""/>
  </r>
  <r>
    <s v="INC200262"/>
    <x v="0"/>
    <s v="Integration Failure"/>
    <x v="1"/>
    <s v="Major"/>
    <x v="1"/>
    <s v="Compliance"/>
    <x v="256"/>
    <s v=""/>
    <s v=""/>
    <x v="1"/>
    <x v="2"/>
    <x v="1"/>
    <n v="7570.14"/>
    <s v=""/>
    <s v=""/>
    <s v=""/>
    <n v="1"/>
    <s v=""/>
  </r>
  <r>
    <s v="INC266119"/>
    <x v="5"/>
    <s v="Performance Issue"/>
    <x v="3"/>
    <s v="Moderate"/>
    <x v="3"/>
    <s v="Finance"/>
    <x v="327"/>
    <s v=""/>
    <s v=""/>
    <x v="0"/>
    <x v="2"/>
    <x v="4"/>
    <n v="4439.4399999999996"/>
    <s v=""/>
    <s v=""/>
    <s v=""/>
    <n v="10"/>
    <s v=""/>
  </r>
  <r>
    <s v="INC473047"/>
    <x v="3"/>
    <s v="Payment Failure"/>
    <x v="2"/>
    <s v="Minor"/>
    <x v="3"/>
    <s v="Compliance"/>
    <x v="207"/>
    <s v=""/>
    <s v=""/>
    <x v="1"/>
    <x v="1"/>
    <x v="1"/>
    <n v="14138.72"/>
    <s v=""/>
    <s v=""/>
    <s v=""/>
    <n v="3"/>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82EFE1-6C96-48A8-9812-CB3DDB590818}" name="PivotTable10" cacheId="1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145:C154" firstHeaderRow="1" firstDataRow="1" firstDataCol="1" rowPageCount="1" colPageCount="1"/>
  <pivotFields count="22">
    <pivotField showAll="0"/>
    <pivotField showAll="0"/>
    <pivotField showAll="0"/>
    <pivotField showAll="0"/>
    <pivotField showAll="0"/>
    <pivotField showAll="0"/>
    <pivotField showAll="0"/>
    <pivotField axis="axisRow" numFmtId="14" showAll="0">
      <items count="547">
        <item x="124"/>
        <item m="1" x="365"/>
        <item x="90"/>
        <item x="41"/>
        <item x="15"/>
        <item m="1" x="374"/>
        <item x="295"/>
        <item x="84"/>
        <item x="133"/>
        <item x="31"/>
        <item m="1" x="486"/>
        <item m="1" x="538"/>
        <item m="1" x="378"/>
        <item x="297"/>
        <item m="1" x="424"/>
        <item m="1" x="385"/>
        <item x="106"/>
        <item m="1" x="453"/>
        <item x="169"/>
        <item m="1" x="377"/>
        <item m="1" x="490"/>
        <item m="1" x="351"/>
        <item x="245"/>
        <item x="212"/>
        <item x="314"/>
        <item m="1" x="470"/>
        <item x="122"/>
        <item m="1" x="432"/>
        <item m="1" x="541"/>
        <item m="1" x="534"/>
        <item x="24"/>
        <item x="153"/>
        <item x="7"/>
        <item x="221"/>
        <item m="1" x="391"/>
        <item m="1" x="371"/>
        <item m="1" x="383"/>
        <item m="1" x="436"/>
        <item x="226"/>
        <item x="97"/>
        <item m="1" x="349"/>
        <item x="165"/>
        <item x="288"/>
        <item m="1" x="511"/>
        <item m="1" x="332"/>
        <item x="154"/>
        <item x="278"/>
        <item x="270"/>
        <item m="1" x="390"/>
        <item m="1" x="519"/>
        <item x="225"/>
        <item x="236"/>
        <item x="183"/>
        <item x="66"/>
        <item x="115"/>
        <item m="1" x="336"/>
        <item x="204"/>
        <item m="1" x="425"/>
        <item x="89"/>
        <item x="223"/>
        <item m="1" x="405"/>
        <item x="20"/>
        <item m="1" x="492"/>
        <item x="149"/>
        <item m="1" x="509"/>
        <item m="1" x="469"/>
        <item x="39"/>
        <item x="205"/>
        <item m="1" x="491"/>
        <item m="1" x="387"/>
        <item x="192"/>
        <item x="83"/>
        <item m="1" x="477"/>
        <item x="304"/>
        <item m="1" x="522"/>
        <item m="1" x="442"/>
        <item x="256"/>
        <item x="37"/>
        <item x="80"/>
        <item m="1" x="545"/>
        <item x="25"/>
        <item x="176"/>
        <item x="188"/>
        <item m="1" x="443"/>
        <item x="51"/>
        <item x="44"/>
        <item x="27"/>
        <item x="180"/>
        <item m="1" x="459"/>
        <item x="23"/>
        <item x="156"/>
        <item x="186"/>
        <item m="1" x="420"/>
        <item m="1" x="439"/>
        <item m="1" x="482"/>
        <item x="291"/>
        <item x="81"/>
        <item x="182"/>
        <item x="216"/>
        <item x="136"/>
        <item m="1" x="496"/>
        <item x="244"/>
        <item m="1" x="422"/>
        <item x="201"/>
        <item m="1" x="347"/>
        <item m="1" x="353"/>
        <item x="38"/>
        <item m="1" x="339"/>
        <item x="68"/>
        <item x="200"/>
        <item m="1" x="481"/>
        <item m="1" x="346"/>
        <item m="1" x="416"/>
        <item x="247"/>
        <item m="1" x="411"/>
        <item x="2"/>
        <item x="237"/>
        <item x="151"/>
        <item x="107"/>
        <item m="1" x="505"/>
        <item m="1" x="329"/>
        <item x="87"/>
        <item m="1" x="451"/>
        <item x="123"/>
        <item m="1" x="512"/>
        <item m="1" x="373"/>
        <item x="43"/>
        <item m="1" x="475"/>
        <item m="1" x="360"/>
        <item m="1" x="448"/>
        <item m="1" x="348"/>
        <item m="1" x="504"/>
        <item m="1" x="402"/>
        <item m="1" x="331"/>
        <item x="30"/>
        <item x="312"/>
        <item m="1" x="518"/>
        <item x="102"/>
        <item m="1" x="386"/>
        <item x="311"/>
        <item m="1" x="513"/>
        <item m="1" x="408"/>
        <item m="1" x="478"/>
        <item x="265"/>
        <item x="103"/>
        <item x="139"/>
        <item x="171"/>
        <item x="251"/>
        <item m="1" x="396"/>
        <item m="1" x="395"/>
        <item m="1" x="335"/>
        <item x="315"/>
        <item m="1" x="340"/>
        <item x="233"/>
        <item x="285"/>
        <item m="1" x="437"/>
        <item m="1" x="381"/>
        <item x="293"/>
        <item m="1" x="354"/>
        <item m="1" x="467"/>
        <item m="1" x="444"/>
        <item m="1" x="540"/>
        <item m="1" x="452"/>
        <item m="1" x="419"/>
        <item m="1" x="506"/>
        <item m="1" x="392"/>
        <item x="82"/>
        <item m="1" x="372"/>
        <item x="62"/>
        <item x="286"/>
        <item x="48"/>
        <item x="298"/>
        <item m="1" x="528"/>
        <item m="1" x="449"/>
        <item x="167"/>
        <item x="166"/>
        <item m="1" x="389"/>
        <item m="1" x="343"/>
        <item x="309"/>
        <item m="1" x="516"/>
        <item m="1" x="427"/>
        <item x="318"/>
        <item x="250"/>
        <item x="116"/>
        <item x="17"/>
        <item x="138"/>
        <item m="1" x="404"/>
        <item m="1" x="544"/>
        <item x="157"/>
        <item m="1" x="440"/>
        <item x="78"/>
        <item x="79"/>
        <item m="1" x="421"/>
        <item m="1" x="461"/>
        <item m="1" x="471"/>
        <item x="262"/>
        <item x="22"/>
        <item x="224"/>
        <item m="1" x="468"/>
        <item x="185"/>
        <item x="292"/>
        <item m="1" x="399"/>
        <item x="143"/>
        <item x="75"/>
        <item x="219"/>
        <item m="1" x="502"/>
        <item x="252"/>
        <item x="179"/>
        <item m="1" x="345"/>
        <item x="29"/>
        <item x="267"/>
        <item x="184"/>
        <item m="1" x="498"/>
        <item x="105"/>
        <item m="1" x="543"/>
        <item x="11"/>
        <item x="65"/>
        <item x="150"/>
        <item x="112"/>
        <item x="323"/>
        <item x="190"/>
        <item x="12"/>
        <item m="1" x="356"/>
        <item x="246"/>
        <item x="240"/>
        <item x="280"/>
        <item x="175"/>
        <item m="1" x="460"/>
        <item x="300"/>
        <item x="222"/>
        <item x="209"/>
        <item x="170"/>
        <item x="263"/>
        <item m="1" x="375"/>
        <item x="234"/>
        <item x="73"/>
        <item m="1" x="503"/>
        <item m="1" x="476"/>
        <item m="1" x="533"/>
        <item m="1" x="535"/>
        <item m="1" x="484"/>
        <item x="239"/>
        <item x="259"/>
        <item m="1" x="458"/>
        <item x="129"/>
        <item x="59"/>
        <item x="253"/>
        <item m="1" x="362"/>
        <item m="1" x="352"/>
        <item x="86"/>
        <item m="1" x="400"/>
        <item x="235"/>
        <item x="163"/>
        <item x="210"/>
        <item m="1" x="330"/>
        <item x="305"/>
        <item m="1" x="393"/>
        <item m="1" x="398"/>
        <item x="276"/>
        <item x="1"/>
        <item x="279"/>
        <item m="1" x="397"/>
        <item x="117"/>
        <item m="1" x="454"/>
        <item x="242"/>
        <item m="1" x="510"/>
        <item x="269"/>
        <item m="1" x="515"/>
        <item x="243"/>
        <item x="69"/>
        <item x="187"/>
        <item x="303"/>
        <item x="121"/>
        <item m="1" x="530"/>
        <item x="144"/>
        <item m="1" x="441"/>
        <item x="255"/>
        <item m="1" x="428"/>
        <item x="28"/>
        <item m="1" x="379"/>
        <item x="5"/>
        <item m="1" x="366"/>
        <item x="319"/>
        <item x="296"/>
        <item m="1" x="406"/>
        <item x="194"/>
        <item x="273"/>
        <item m="1" x="489"/>
        <item m="1" x="410"/>
        <item m="1" x="537"/>
        <item x="173"/>
        <item m="1" x="401"/>
        <item m="1" x="382"/>
        <item m="1" x="501"/>
        <item m="1" x="523"/>
        <item x="232"/>
        <item x="164"/>
        <item x="71"/>
        <item m="1" x="494"/>
        <item x="294"/>
        <item x="196"/>
        <item x="264"/>
        <item m="1" x="417"/>
        <item x="70"/>
        <item m="1" x="487"/>
        <item x="277"/>
        <item x="281"/>
        <item x="217"/>
        <item x="191"/>
        <item x="325"/>
        <item x="145"/>
        <item m="1" x="536"/>
        <item x="58"/>
        <item m="1" x="341"/>
        <item m="1" x="368"/>
        <item m="1" x="388"/>
        <item m="1" x="370"/>
        <item x="88"/>
        <item x="3"/>
        <item x="76"/>
        <item x="158"/>
        <item m="1" x="508"/>
        <item m="1" x="493"/>
        <item x="10"/>
        <item x="206"/>
        <item x="261"/>
        <item x="135"/>
        <item m="1" x="369"/>
        <item m="1" x="433"/>
        <item x="108"/>
        <item m="1" x="464"/>
        <item x="317"/>
        <item m="1" x="435"/>
        <item m="1" x="380"/>
        <item x="168"/>
        <item x="6"/>
        <item x="202"/>
        <item x="161"/>
        <item m="1" x="472"/>
        <item x="72"/>
        <item x="85"/>
        <item m="1" x="434"/>
        <item m="1" x="338"/>
        <item x="40"/>
        <item x="140"/>
        <item x="146"/>
        <item m="1" x="529"/>
        <item x="199"/>
        <item m="1" x="438"/>
        <item x="32"/>
        <item x="55"/>
        <item m="1" x="418"/>
        <item x="274"/>
        <item x="213"/>
        <item x="4"/>
        <item x="320"/>
        <item x="54"/>
        <item m="1" x="466"/>
        <item x="271"/>
        <item m="1" x="423"/>
        <item x="104"/>
        <item m="1" x="344"/>
        <item x="181"/>
        <item m="1" x="412"/>
        <item x="147"/>
        <item x="98"/>
        <item m="1" x="488"/>
        <item x="198"/>
        <item x="93"/>
        <item x="272"/>
        <item m="1" x="499"/>
        <item m="1" x="446"/>
        <item x="132"/>
        <item x="310"/>
        <item x="126"/>
        <item m="1" x="409"/>
        <item x="301"/>
        <item m="1" x="525"/>
        <item x="13"/>
        <item m="1" x="430"/>
        <item x="214"/>
        <item x="18"/>
        <item m="1" x="431"/>
        <item x="8"/>
        <item m="1" x="521"/>
        <item x="207"/>
        <item x="91"/>
        <item x="46"/>
        <item m="1" x="394"/>
        <item x="74"/>
        <item x="268"/>
        <item x="322"/>
        <item m="1" x="367"/>
        <item x="306"/>
        <item x="218"/>
        <item x="257"/>
        <item x="290"/>
        <item x="109"/>
        <item m="1" x="384"/>
        <item m="1" x="333"/>
        <item m="1" x="485"/>
        <item x="101"/>
        <item x="53"/>
        <item m="1" x="457"/>
        <item x="308"/>
        <item m="1" x="358"/>
        <item m="1" x="359"/>
        <item x="283"/>
        <item x="56"/>
        <item x="172"/>
        <item x="228"/>
        <item x="229"/>
        <item m="1" x="474"/>
        <item x="111"/>
        <item x="0"/>
        <item x="258"/>
        <item x="174"/>
        <item x="131"/>
        <item m="1" x="455"/>
        <item x="60"/>
        <item m="1" x="524"/>
        <item m="1" x="350"/>
        <item x="94"/>
        <item x="307"/>
        <item x="148"/>
        <item x="316"/>
        <item m="1" x="514"/>
        <item x="134"/>
        <item x="282"/>
        <item m="1" x="342"/>
        <item x="36"/>
        <item x="241"/>
        <item x="96"/>
        <item m="1" x="495"/>
        <item m="1" x="357"/>
        <item m="1" x="507"/>
        <item m="1" x="426"/>
        <item x="35"/>
        <item x="99"/>
        <item m="1" x="542"/>
        <item x="67"/>
        <item x="113"/>
        <item m="1" x="500"/>
        <item x="92"/>
        <item m="1" x="376"/>
        <item m="1" x="355"/>
        <item x="160"/>
        <item x="302"/>
        <item x="125"/>
        <item m="1" x="413"/>
        <item x="189"/>
        <item x="45"/>
        <item x="178"/>
        <item x="137"/>
        <item x="203"/>
        <item x="141"/>
        <item m="1" x="334"/>
        <item x="321"/>
        <item x="159"/>
        <item m="1" x="479"/>
        <item m="1" x="337"/>
        <item x="42"/>
        <item x="47"/>
        <item x="227"/>
        <item x="16"/>
        <item x="230"/>
        <item x="155"/>
        <item x="120"/>
        <item m="1" x="483"/>
        <item x="118"/>
        <item x="220"/>
        <item x="19"/>
        <item m="1" x="450"/>
        <item x="128"/>
        <item x="50"/>
        <item m="1" x="526"/>
        <item x="211"/>
        <item x="208"/>
        <item x="127"/>
        <item m="1" x="527"/>
        <item x="260"/>
        <item x="324"/>
        <item x="299"/>
        <item x="248"/>
        <item x="289"/>
        <item x="64"/>
        <item m="1" x="407"/>
        <item m="1" x="465"/>
        <item m="1" x="415"/>
        <item x="195"/>
        <item x="275"/>
        <item m="1" x="539"/>
        <item m="1" x="364"/>
        <item x="110"/>
        <item m="1" x="520"/>
        <item x="215"/>
        <item x="49"/>
        <item x="130"/>
        <item x="57"/>
        <item x="287"/>
        <item x="77"/>
        <item x="14"/>
        <item x="249"/>
        <item x="197"/>
        <item m="1" x="517"/>
        <item x="162"/>
        <item x="313"/>
        <item m="1" x="462"/>
        <item x="119"/>
        <item x="61"/>
        <item x="326"/>
        <item m="1" x="463"/>
        <item x="142"/>
        <item x="254"/>
        <item x="231"/>
        <item x="100"/>
        <item m="1" x="445"/>
        <item m="1" x="497"/>
        <item m="1" x="447"/>
        <item m="1" x="473"/>
        <item x="193"/>
        <item m="1" x="531"/>
        <item m="1" x="328"/>
        <item m="1" x="480"/>
        <item x="177"/>
        <item x="21"/>
        <item x="114"/>
        <item x="238"/>
        <item x="33"/>
        <item m="1" x="414"/>
        <item x="266"/>
        <item m="1" x="363"/>
        <item x="9"/>
        <item m="1" x="456"/>
        <item m="1" x="532"/>
        <item x="26"/>
        <item m="1" x="403"/>
        <item x="152"/>
        <item x="284"/>
        <item x="95"/>
        <item x="52"/>
        <item x="63"/>
        <item x="327"/>
        <item x="34"/>
        <item m="1" x="361"/>
        <item m="1" x="429"/>
        <item t="default"/>
      </items>
    </pivotField>
    <pivotField showAll="0"/>
    <pivotField showAll="0"/>
    <pivotField axis="axisPage" multipleItemSelectionAllowed="1" showAll="0">
      <items count="6">
        <item x="3"/>
        <item h="1" x="0"/>
        <item h="1" x="1"/>
        <item h="1" x="4"/>
        <item x="2"/>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4">
        <item sd="0" x="1"/>
        <item x="2"/>
        <item x="0"/>
        <item x="3"/>
      </items>
    </pivotField>
    <pivotField dataField="1" dragToRow="0" dragToCol="0" dragToPage="0" showAll="0" defaultSubtotal="0"/>
  </pivotFields>
  <rowFields count="3">
    <field x="20"/>
    <field x="19"/>
    <field x="7"/>
  </rowFields>
  <rowItems count="9">
    <i>
      <x/>
    </i>
    <i>
      <x v="1"/>
    </i>
    <i r="1">
      <x v="1"/>
    </i>
    <i r="1">
      <x v="2"/>
    </i>
    <i r="1">
      <x v="3"/>
    </i>
    <i r="1">
      <x v="4"/>
    </i>
    <i r="1">
      <x v="5"/>
    </i>
    <i r="1">
      <x v="6"/>
    </i>
    <i t="grand">
      <x/>
    </i>
  </rowItems>
  <colItems count="1">
    <i/>
  </colItems>
  <pageFields count="1">
    <pageField fld="10" hier="-1"/>
  </pageFields>
  <dataFields count="1">
    <dataField name="Budget Variance (+ Over / − Under)" fld="21" baseField="19" baseItem="1" numFmtId="165"/>
  </dataFields>
  <chartFormats count="2">
    <chartFormat chart="2" format="3"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03A021-A10C-48B2-A06A-81C8FB463AC1}" name="PivotTable6" cacheId="1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120:D141" firstHeaderRow="0" firstDataRow="1" firstDataCol="1" rowPageCount="1" colPageCount="1"/>
  <pivotFields count="22">
    <pivotField showAll="0"/>
    <pivotField showAll="0"/>
    <pivotField showAll="0"/>
    <pivotField showAll="0"/>
    <pivotField showAll="0"/>
    <pivotField showAll="0"/>
    <pivotField showAll="0"/>
    <pivotField axis="axisRow" numFmtId="14" showAll="0">
      <items count="547">
        <item x="124"/>
        <item m="1" x="365"/>
        <item x="90"/>
        <item x="41"/>
        <item x="15"/>
        <item m="1" x="374"/>
        <item x="295"/>
        <item x="84"/>
        <item x="133"/>
        <item x="31"/>
        <item m="1" x="486"/>
        <item m="1" x="538"/>
        <item m="1" x="378"/>
        <item x="297"/>
        <item m="1" x="424"/>
        <item m="1" x="385"/>
        <item x="106"/>
        <item m="1" x="453"/>
        <item x="169"/>
        <item m="1" x="377"/>
        <item m="1" x="490"/>
        <item m="1" x="351"/>
        <item x="245"/>
        <item x="212"/>
        <item x="314"/>
        <item m="1" x="470"/>
        <item x="122"/>
        <item m="1" x="432"/>
        <item m="1" x="541"/>
        <item m="1" x="534"/>
        <item x="24"/>
        <item x="153"/>
        <item x="7"/>
        <item x="221"/>
        <item m="1" x="391"/>
        <item m="1" x="371"/>
        <item m="1" x="383"/>
        <item m="1" x="436"/>
        <item x="226"/>
        <item x="97"/>
        <item m="1" x="349"/>
        <item x="165"/>
        <item x="288"/>
        <item m="1" x="511"/>
        <item m="1" x="332"/>
        <item x="154"/>
        <item x="278"/>
        <item x="270"/>
        <item m="1" x="390"/>
        <item m="1" x="519"/>
        <item x="225"/>
        <item x="236"/>
        <item x="183"/>
        <item x="66"/>
        <item x="115"/>
        <item m="1" x="336"/>
        <item x="204"/>
        <item m="1" x="425"/>
        <item x="89"/>
        <item x="223"/>
        <item m="1" x="405"/>
        <item x="20"/>
        <item m="1" x="492"/>
        <item x="149"/>
        <item m="1" x="509"/>
        <item m="1" x="469"/>
        <item x="39"/>
        <item x="205"/>
        <item m="1" x="491"/>
        <item m="1" x="387"/>
        <item x="192"/>
        <item x="83"/>
        <item m="1" x="477"/>
        <item x="304"/>
        <item m="1" x="522"/>
        <item m="1" x="442"/>
        <item x="256"/>
        <item x="37"/>
        <item x="80"/>
        <item m="1" x="545"/>
        <item x="25"/>
        <item x="176"/>
        <item x="188"/>
        <item m="1" x="443"/>
        <item x="51"/>
        <item x="44"/>
        <item x="27"/>
        <item x="180"/>
        <item m="1" x="459"/>
        <item x="23"/>
        <item x="156"/>
        <item x="186"/>
        <item m="1" x="420"/>
        <item m="1" x="439"/>
        <item m="1" x="482"/>
        <item x="291"/>
        <item x="81"/>
        <item x="182"/>
        <item x="216"/>
        <item x="136"/>
        <item m="1" x="496"/>
        <item x="244"/>
        <item m="1" x="422"/>
        <item x="201"/>
        <item m="1" x="347"/>
        <item m="1" x="353"/>
        <item x="38"/>
        <item m="1" x="339"/>
        <item x="68"/>
        <item x="200"/>
        <item m="1" x="481"/>
        <item m="1" x="346"/>
        <item m="1" x="416"/>
        <item x="247"/>
        <item m="1" x="411"/>
        <item x="2"/>
        <item x="237"/>
        <item x="151"/>
        <item x="107"/>
        <item m="1" x="505"/>
        <item m="1" x="329"/>
        <item x="87"/>
        <item m="1" x="451"/>
        <item x="123"/>
        <item m="1" x="512"/>
        <item m="1" x="373"/>
        <item x="43"/>
        <item m="1" x="475"/>
        <item m="1" x="360"/>
        <item m="1" x="448"/>
        <item m="1" x="348"/>
        <item m="1" x="504"/>
        <item m="1" x="402"/>
        <item m="1" x="331"/>
        <item x="30"/>
        <item x="312"/>
        <item m="1" x="518"/>
        <item x="102"/>
        <item m="1" x="386"/>
        <item x="311"/>
        <item m="1" x="513"/>
        <item m="1" x="408"/>
        <item m="1" x="478"/>
        <item x="265"/>
        <item x="103"/>
        <item x="139"/>
        <item x="171"/>
        <item x="251"/>
        <item m="1" x="396"/>
        <item m="1" x="395"/>
        <item m="1" x="335"/>
        <item x="315"/>
        <item m="1" x="340"/>
        <item x="233"/>
        <item x="285"/>
        <item m="1" x="437"/>
        <item m="1" x="381"/>
        <item x="293"/>
        <item m="1" x="354"/>
        <item m="1" x="467"/>
        <item m="1" x="444"/>
        <item m="1" x="540"/>
        <item m="1" x="452"/>
        <item m="1" x="419"/>
        <item m="1" x="506"/>
        <item m="1" x="392"/>
        <item x="82"/>
        <item m="1" x="372"/>
        <item x="62"/>
        <item x="286"/>
        <item x="48"/>
        <item x="298"/>
        <item m="1" x="528"/>
        <item m="1" x="449"/>
        <item x="167"/>
        <item x="166"/>
        <item m="1" x="389"/>
        <item m="1" x="343"/>
        <item x="309"/>
        <item m="1" x="516"/>
        <item m="1" x="427"/>
        <item x="318"/>
        <item x="250"/>
        <item x="116"/>
        <item x="17"/>
        <item x="138"/>
        <item m="1" x="404"/>
        <item m="1" x="544"/>
        <item x="157"/>
        <item m="1" x="440"/>
        <item x="78"/>
        <item x="79"/>
        <item m="1" x="421"/>
        <item m="1" x="461"/>
        <item m="1" x="471"/>
        <item x="262"/>
        <item x="22"/>
        <item x="224"/>
        <item m="1" x="468"/>
        <item x="185"/>
        <item x="292"/>
        <item m="1" x="399"/>
        <item x="143"/>
        <item x="75"/>
        <item x="219"/>
        <item m="1" x="502"/>
        <item x="252"/>
        <item x="179"/>
        <item m="1" x="345"/>
        <item x="29"/>
        <item x="267"/>
        <item x="184"/>
        <item m="1" x="498"/>
        <item x="105"/>
        <item m="1" x="543"/>
        <item x="11"/>
        <item x="65"/>
        <item x="150"/>
        <item x="112"/>
        <item x="323"/>
        <item x="190"/>
        <item x="12"/>
        <item m="1" x="356"/>
        <item x="246"/>
        <item x="240"/>
        <item x="280"/>
        <item x="175"/>
        <item m="1" x="460"/>
        <item x="300"/>
        <item x="222"/>
        <item x="209"/>
        <item x="170"/>
        <item x="263"/>
        <item m="1" x="375"/>
        <item x="234"/>
        <item x="73"/>
        <item m="1" x="503"/>
        <item m="1" x="476"/>
        <item m="1" x="533"/>
        <item m="1" x="535"/>
        <item m="1" x="484"/>
        <item x="239"/>
        <item x="259"/>
        <item m="1" x="458"/>
        <item x="129"/>
        <item x="59"/>
        <item x="253"/>
        <item m="1" x="362"/>
        <item m="1" x="352"/>
        <item x="86"/>
        <item m="1" x="400"/>
        <item x="235"/>
        <item x="163"/>
        <item x="210"/>
        <item m="1" x="330"/>
        <item x="305"/>
        <item m="1" x="393"/>
        <item m="1" x="398"/>
        <item x="276"/>
        <item x="1"/>
        <item x="279"/>
        <item m="1" x="397"/>
        <item x="117"/>
        <item m="1" x="454"/>
        <item x="242"/>
        <item m="1" x="510"/>
        <item x="269"/>
        <item m="1" x="515"/>
        <item x="243"/>
        <item x="69"/>
        <item x="187"/>
        <item x="303"/>
        <item x="121"/>
        <item m="1" x="530"/>
        <item x="144"/>
        <item m="1" x="441"/>
        <item x="255"/>
        <item m="1" x="428"/>
        <item x="28"/>
        <item m="1" x="379"/>
        <item x="5"/>
        <item m="1" x="366"/>
        <item x="319"/>
        <item x="296"/>
        <item m="1" x="406"/>
        <item x="194"/>
        <item x="273"/>
        <item m="1" x="489"/>
        <item m="1" x="410"/>
        <item m="1" x="537"/>
        <item x="173"/>
        <item m="1" x="401"/>
        <item m="1" x="382"/>
        <item m="1" x="501"/>
        <item m="1" x="523"/>
        <item x="232"/>
        <item x="164"/>
        <item x="71"/>
        <item m="1" x="494"/>
        <item x="294"/>
        <item x="196"/>
        <item x="264"/>
        <item m="1" x="417"/>
        <item x="70"/>
        <item m="1" x="487"/>
        <item x="277"/>
        <item x="281"/>
        <item x="217"/>
        <item x="191"/>
        <item x="325"/>
        <item x="145"/>
        <item m="1" x="536"/>
        <item x="58"/>
        <item m="1" x="341"/>
        <item m="1" x="368"/>
        <item m="1" x="388"/>
        <item m="1" x="370"/>
        <item x="88"/>
        <item x="3"/>
        <item x="76"/>
        <item x="158"/>
        <item m="1" x="508"/>
        <item m="1" x="493"/>
        <item x="10"/>
        <item x="206"/>
        <item x="261"/>
        <item x="135"/>
        <item m="1" x="369"/>
        <item m="1" x="433"/>
        <item x="108"/>
        <item m="1" x="464"/>
        <item x="317"/>
        <item m="1" x="435"/>
        <item m="1" x="380"/>
        <item x="168"/>
        <item x="6"/>
        <item x="202"/>
        <item x="161"/>
        <item m="1" x="472"/>
        <item x="72"/>
        <item x="85"/>
        <item m="1" x="434"/>
        <item m="1" x="338"/>
        <item x="40"/>
        <item x="140"/>
        <item x="146"/>
        <item m="1" x="529"/>
        <item x="199"/>
        <item m="1" x="438"/>
        <item x="32"/>
        <item x="55"/>
        <item m="1" x="418"/>
        <item x="274"/>
        <item x="213"/>
        <item x="4"/>
        <item x="320"/>
        <item x="54"/>
        <item m="1" x="466"/>
        <item x="271"/>
        <item m="1" x="423"/>
        <item x="104"/>
        <item m="1" x="344"/>
        <item x="181"/>
        <item m="1" x="412"/>
        <item x="147"/>
        <item x="98"/>
        <item m="1" x="488"/>
        <item x="198"/>
        <item x="93"/>
        <item x="272"/>
        <item m="1" x="499"/>
        <item m="1" x="446"/>
        <item x="132"/>
        <item x="310"/>
        <item x="126"/>
        <item m="1" x="409"/>
        <item x="301"/>
        <item m="1" x="525"/>
        <item x="13"/>
        <item m="1" x="430"/>
        <item x="214"/>
        <item x="18"/>
        <item m="1" x="431"/>
        <item x="8"/>
        <item m="1" x="521"/>
        <item x="207"/>
        <item x="91"/>
        <item x="46"/>
        <item m="1" x="394"/>
        <item x="74"/>
        <item x="268"/>
        <item x="322"/>
        <item m="1" x="367"/>
        <item x="306"/>
        <item x="218"/>
        <item x="257"/>
        <item x="290"/>
        <item x="109"/>
        <item m="1" x="384"/>
        <item m="1" x="333"/>
        <item m="1" x="485"/>
        <item x="101"/>
        <item x="53"/>
        <item m="1" x="457"/>
        <item x="308"/>
        <item m="1" x="358"/>
        <item m="1" x="359"/>
        <item x="283"/>
        <item x="56"/>
        <item x="172"/>
        <item x="228"/>
        <item x="229"/>
        <item m="1" x="474"/>
        <item x="111"/>
        <item x="0"/>
        <item x="258"/>
        <item x="174"/>
        <item x="131"/>
        <item m="1" x="455"/>
        <item x="60"/>
        <item m="1" x="524"/>
        <item m="1" x="350"/>
        <item x="94"/>
        <item x="307"/>
        <item x="148"/>
        <item x="316"/>
        <item m="1" x="514"/>
        <item x="134"/>
        <item x="282"/>
        <item m="1" x="342"/>
        <item x="36"/>
        <item x="241"/>
        <item x="96"/>
        <item m="1" x="495"/>
        <item m="1" x="357"/>
        <item m="1" x="507"/>
        <item m="1" x="426"/>
        <item x="35"/>
        <item x="99"/>
        <item m="1" x="542"/>
        <item x="67"/>
        <item x="113"/>
        <item m="1" x="500"/>
        <item x="92"/>
        <item m="1" x="376"/>
        <item m="1" x="355"/>
        <item x="160"/>
        <item x="302"/>
        <item x="125"/>
        <item m="1" x="413"/>
        <item x="189"/>
        <item x="45"/>
        <item x="178"/>
        <item x="137"/>
        <item x="203"/>
        <item x="141"/>
        <item m="1" x="334"/>
        <item x="321"/>
        <item x="159"/>
        <item m="1" x="479"/>
        <item m="1" x="337"/>
        <item x="42"/>
        <item x="47"/>
        <item x="227"/>
        <item x="16"/>
        <item x="230"/>
        <item x="155"/>
        <item x="120"/>
        <item m="1" x="483"/>
        <item x="118"/>
        <item x="220"/>
        <item x="19"/>
        <item m="1" x="450"/>
        <item x="128"/>
        <item x="50"/>
        <item m="1" x="526"/>
        <item x="211"/>
        <item x="208"/>
        <item x="127"/>
        <item m="1" x="527"/>
        <item x="260"/>
        <item x="324"/>
        <item x="299"/>
        <item x="248"/>
        <item x="289"/>
        <item x="64"/>
        <item m="1" x="407"/>
        <item m="1" x="465"/>
        <item m="1" x="415"/>
        <item x="195"/>
        <item x="275"/>
        <item m="1" x="539"/>
        <item m="1" x="364"/>
        <item x="110"/>
        <item m="1" x="520"/>
        <item x="215"/>
        <item x="49"/>
        <item x="130"/>
        <item x="57"/>
        <item x="287"/>
        <item x="77"/>
        <item x="14"/>
        <item x="249"/>
        <item x="197"/>
        <item m="1" x="517"/>
        <item x="162"/>
        <item x="313"/>
        <item m="1" x="462"/>
        <item x="119"/>
        <item x="61"/>
        <item x="326"/>
        <item m="1" x="463"/>
        <item x="142"/>
        <item x="254"/>
        <item x="231"/>
        <item x="100"/>
        <item m="1" x="445"/>
        <item m="1" x="497"/>
        <item m="1" x="447"/>
        <item m="1" x="473"/>
        <item x="193"/>
        <item m="1" x="531"/>
        <item m="1" x="328"/>
        <item m="1" x="480"/>
        <item x="177"/>
        <item x="21"/>
        <item x="114"/>
        <item x="238"/>
        <item x="33"/>
        <item m="1" x="414"/>
        <item x="266"/>
        <item m="1" x="363"/>
        <item x="9"/>
        <item m="1" x="456"/>
        <item m="1" x="532"/>
        <item x="26"/>
        <item m="1" x="403"/>
        <item x="152"/>
        <item x="284"/>
        <item x="95"/>
        <item x="52"/>
        <item x="63"/>
        <item x="327"/>
        <item x="34"/>
        <item m="1" x="361"/>
        <item m="1" x="429"/>
        <item t="default"/>
      </items>
    </pivotField>
    <pivotField showAll="0"/>
    <pivotField showAll="0"/>
    <pivotField axis="axisPage" multipleItemSelectionAllowed="1" showAll="0">
      <items count="6">
        <item x="3"/>
        <item h="1" x="0"/>
        <item h="1" x="1"/>
        <item h="1" x="4"/>
        <item x="2"/>
        <item t="default"/>
      </items>
    </pivotField>
    <pivotField showAll="0"/>
    <pivotField showAll="0"/>
    <pivotField dataField="1" showAll="0"/>
    <pivotField dataField="1"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4">
        <item x="1"/>
        <item x="2"/>
        <item x="0"/>
        <item x="3"/>
      </items>
    </pivotField>
    <pivotField dragToRow="0" dragToCol="0" dragToPage="0" showAll="0" defaultSubtotal="0"/>
  </pivotFields>
  <rowFields count="3">
    <field x="20"/>
    <field x="19"/>
    <field x="7"/>
  </rowFields>
  <rowItems count="21">
    <i>
      <x/>
    </i>
    <i r="1">
      <x v="1"/>
    </i>
    <i r="1">
      <x v="2"/>
    </i>
    <i r="1">
      <x v="3"/>
    </i>
    <i r="1">
      <x v="4"/>
    </i>
    <i r="1">
      <x v="5"/>
    </i>
    <i r="1">
      <x v="6"/>
    </i>
    <i r="1">
      <x v="7"/>
    </i>
    <i r="1">
      <x v="8"/>
    </i>
    <i r="1">
      <x v="9"/>
    </i>
    <i r="1">
      <x v="10"/>
    </i>
    <i r="1">
      <x v="11"/>
    </i>
    <i r="1">
      <x v="12"/>
    </i>
    <i>
      <x v="1"/>
    </i>
    <i r="1">
      <x v="1"/>
    </i>
    <i r="1">
      <x v="2"/>
    </i>
    <i r="1">
      <x v="3"/>
    </i>
    <i r="1">
      <x v="4"/>
    </i>
    <i r="1">
      <x v="5"/>
    </i>
    <i r="1">
      <x v="6"/>
    </i>
    <i t="grand">
      <x/>
    </i>
  </rowItems>
  <colFields count="1">
    <field x="-2"/>
  </colFields>
  <colItems count="2">
    <i>
      <x/>
    </i>
    <i i="1">
      <x v="1"/>
    </i>
  </colItems>
  <pageFields count="1">
    <pageField fld="10" hier="-1"/>
  </pageFields>
  <dataFields count="2">
    <dataField name="Sum of Estimated Impact ($)" fld="13" baseField="0" baseItem="0" numFmtId="165"/>
    <dataField name="Sum of Actual Impact ($)" fld="14" baseField="20" baseItem="1" numFmtId="165"/>
  </dataFields>
  <chartFormats count="2">
    <chartFormat chart="2" format="0" series="1">
      <pivotArea type="data" outline="0" fieldPosition="0">
        <references count="1">
          <reference field="4294967294" count="1" selected="0">
            <x v="1"/>
          </reference>
        </references>
      </pivotArea>
    </chartFormat>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CC6ECA-42BA-4BC2-AA3F-C4A96ACE2859}" name="PivotTable2" cacheId="1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00:C108" firstHeaderRow="1" firstDataRow="1" firstDataCol="1"/>
  <pivotFields count="22">
    <pivotField showAll="0"/>
    <pivotField axis="axisRow" showAll="0">
      <items count="8">
        <item x="5"/>
        <item x="6"/>
        <item x="4"/>
        <item x="3"/>
        <item x="1"/>
        <item x="0"/>
        <item x="2"/>
        <item t="default"/>
      </items>
    </pivotField>
    <pivotField showAll="0"/>
    <pivotField showAll="0"/>
    <pivotField showAll="0"/>
    <pivotField showAll="0"/>
    <pivotField showAll="0"/>
    <pivotField numFmtId="14" showAll="0">
      <items count="547">
        <item x="124"/>
        <item m="1" x="365"/>
        <item x="90"/>
        <item x="41"/>
        <item x="15"/>
        <item m="1" x="374"/>
        <item x="295"/>
        <item x="84"/>
        <item x="133"/>
        <item x="31"/>
        <item m="1" x="486"/>
        <item m="1" x="538"/>
        <item m="1" x="378"/>
        <item x="297"/>
        <item m="1" x="424"/>
        <item m="1" x="385"/>
        <item x="106"/>
        <item m="1" x="453"/>
        <item x="169"/>
        <item m="1" x="377"/>
        <item m="1" x="490"/>
        <item m="1" x="351"/>
        <item x="245"/>
        <item x="212"/>
        <item x="314"/>
        <item m="1" x="470"/>
        <item x="122"/>
        <item m="1" x="432"/>
        <item m="1" x="541"/>
        <item m="1" x="534"/>
        <item x="24"/>
        <item x="153"/>
        <item x="7"/>
        <item x="221"/>
        <item m="1" x="391"/>
        <item m="1" x="371"/>
        <item m="1" x="383"/>
        <item m="1" x="436"/>
        <item x="226"/>
        <item x="97"/>
        <item m="1" x="349"/>
        <item x="165"/>
        <item x="288"/>
        <item m="1" x="511"/>
        <item m="1" x="332"/>
        <item x="154"/>
        <item x="278"/>
        <item x="270"/>
        <item m="1" x="390"/>
        <item m="1" x="519"/>
        <item x="225"/>
        <item x="236"/>
        <item x="183"/>
        <item x="66"/>
        <item x="115"/>
        <item m="1" x="336"/>
        <item x="204"/>
        <item m="1" x="425"/>
        <item x="89"/>
        <item x="223"/>
        <item m="1" x="405"/>
        <item x="20"/>
        <item m="1" x="492"/>
        <item x="149"/>
        <item m="1" x="509"/>
        <item m="1" x="469"/>
        <item x="39"/>
        <item x="205"/>
        <item m="1" x="491"/>
        <item m="1" x="387"/>
        <item x="192"/>
        <item x="83"/>
        <item m="1" x="477"/>
        <item x="304"/>
        <item m="1" x="522"/>
        <item m="1" x="442"/>
        <item x="256"/>
        <item x="37"/>
        <item x="80"/>
        <item m="1" x="545"/>
        <item x="25"/>
        <item x="176"/>
        <item x="188"/>
        <item m="1" x="443"/>
        <item x="51"/>
        <item x="44"/>
        <item x="27"/>
        <item x="180"/>
        <item m="1" x="459"/>
        <item x="23"/>
        <item x="156"/>
        <item x="186"/>
        <item m="1" x="420"/>
        <item m="1" x="439"/>
        <item m="1" x="482"/>
        <item x="291"/>
        <item x="81"/>
        <item x="182"/>
        <item x="216"/>
        <item x="136"/>
        <item m="1" x="496"/>
        <item x="244"/>
        <item m="1" x="422"/>
        <item x="201"/>
        <item m="1" x="347"/>
        <item m="1" x="353"/>
        <item x="38"/>
        <item m="1" x="339"/>
        <item x="68"/>
        <item x="200"/>
        <item m="1" x="481"/>
        <item m="1" x="346"/>
        <item m="1" x="416"/>
        <item x="247"/>
        <item m="1" x="411"/>
        <item x="2"/>
        <item x="237"/>
        <item x="151"/>
        <item x="107"/>
        <item m="1" x="505"/>
        <item m="1" x="329"/>
        <item x="87"/>
        <item m="1" x="451"/>
        <item x="123"/>
        <item m="1" x="512"/>
        <item m="1" x="373"/>
        <item x="43"/>
        <item m="1" x="475"/>
        <item m="1" x="360"/>
        <item m="1" x="448"/>
        <item m="1" x="348"/>
        <item m="1" x="504"/>
        <item m="1" x="402"/>
        <item m="1" x="331"/>
        <item x="30"/>
        <item x="312"/>
        <item m="1" x="518"/>
        <item x="102"/>
        <item m="1" x="386"/>
        <item x="311"/>
        <item m="1" x="513"/>
        <item m="1" x="408"/>
        <item m="1" x="478"/>
        <item x="265"/>
        <item x="103"/>
        <item x="139"/>
        <item x="171"/>
        <item x="251"/>
        <item m="1" x="396"/>
        <item m="1" x="395"/>
        <item m="1" x="335"/>
        <item x="315"/>
        <item m="1" x="340"/>
        <item x="233"/>
        <item x="285"/>
        <item m="1" x="437"/>
        <item m="1" x="381"/>
        <item x="293"/>
        <item m="1" x="354"/>
        <item m="1" x="467"/>
        <item m="1" x="444"/>
        <item m="1" x="540"/>
        <item m="1" x="452"/>
        <item m="1" x="419"/>
        <item m="1" x="506"/>
        <item m="1" x="392"/>
        <item x="82"/>
        <item m="1" x="372"/>
        <item x="62"/>
        <item x="286"/>
        <item x="48"/>
        <item x="298"/>
        <item m="1" x="528"/>
        <item m="1" x="449"/>
        <item x="167"/>
        <item x="166"/>
        <item m="1" x="389"/>
        <item m="1" x="343"/>
        <item x="309"/>
        <item m="1" x="516"/>
        <item m="1" x="427"/>
        <item x="318"/>
        <item x="250"/>
        <item x="116"/>
        <item x="17"/>
        <item x="138"/>
        <item m="1" x="404"/>
        <item m="1" x="544"/>
        <item x="157"/>
        <item m="1" x="440"/>
        <item x="78"/>
        <item x="79"/>
        <item m="1" x="421"/>
        <item m="1" x="461"/>
        <item m="1" x="471"/>
        <item x="262"/>
        <item x="22"/>
        <item x="224"/>
        <item m="1" x="468"/>
        <item x="185"/>
        <item x="292"/>
        <item m="1" x="399"/>
        <item x="143"/>
        <item x="75"/>
        <item x="219"/>
        <item m="1" x="502"/>
        <item x="252"/>
        <item x="179"/>
        <item m="1" x="345"/>
        <item x="29"/>
        <item x="267"/>
        <item x="184"/>
        <item m="1" x="498"/>
        <item x="105"/>
        <item m="1" x="543"/>
        <item x="11"/>
        <item x="65"/>
        <item x="150"/>
        <item x="112"/>
        <item x="323"/>
        <item x="190"/>
        <item x="12"/>
        <item m="1" x="356"/>
        <item x="246"/>
        <item x="240"/>
        <item x="280"/>
        <item x="175"/>
        <item m="1" x="460"/>
        <item x="300"/>
        <item x="222"/>
        <item x="209"/>
        <item x="170"/>
        <item x="263"/>
        <item m="1" x="375"/>
        <item x="234"/>
        <item x="73"/>
        <item m="1" x="503"/>
        <item m="1" x="476"/>
        <item m="1" x="533"/>
        <item m="1" x="535"/>
        <item m="1" x="484"/>
        <item x="239"/>
        <item x="259"/>
        <item m="1" x="458"/>
        <item x="129"/>
        <item x="59"/>
        <item x="253"/>
        <item m="1" x="362"/>
        <item m="1" x="352"/>
        <item x="86"/>
        <item m="1" x="400"/>
        <item x="235"/>
        <item x="163"/>
        <item x="210"/>
        <item m="1" x="330"/>
        <item x="305"/>
        <item m="1" x="393"/>
        <item m="1" x="398"/>
        <item x="276"/>
        <item x="1"/>
        <item x="279"/>
        <item m="1" x="397"/>
        <item x="117"/>
        <item m="1" x="454"/>
        <item x="242"/>
        <item m="1" x="510"/>
        <item x="269"/>
        <item m="1" x="515"/>
        <item x="243"/>
        <item x="69"/>
        <item x="187"/>
        <item x="303"/>
        <item x="121"/>
        <item m="1" x="530"/>
        <item x="144"/>
        <item m="1" x="441"/>
        <item x="255"/>
        <item m="1" x="428"/>
        <item x="28"/>
        <item m="1" x="379"/>
        <item x="5"/>
        <item m="1" x="366"/>
        <item x="319"/>
        <item x="296"/>
        <item m="1" x="406"/>
        <item x="194"/>
        <item x="273"/>
        <item m="1" x="489"/>
        <item m="1" x="410"/>
        <item m="1" x="537"/>
        <item x="173"/>
        <item m="1" x="401"/>
        <item m="1" x="382"/>
        <item m="1" x="501"/>
        <item m="1" x="523"/>
        <item x="232"/>
        <item x="164"/>
        <item x="71"/>
        <item m="1" x="494"/>
        <item x="294"/>
        <item x="196"/>
        <item x="264"/>
        <item m="1" x="417"/>
        <item x="70"/>
        <item m="1" x="487"/>
        <item x="277"/>
        <item x="281"/>
        <item x="217"/>
        <item x="191"/>
        <item x="325"/>
        <item x="145"/>
        <item m="1" x="536"/>
        <item x="58"/>
        <item m="1" x="341"/>
        <item m="1" x="368"/>
        <item m="1" x="388"/>
        <item m="1" x="370"/>
        <item x="88"/>
        <item x="3"/>
        <item x="76"/>
        <item x="158"/>
        <item m="1" x="508"/>
        <item m="1" x="493"/>
        <item x="10"/>
        <item x="206"/>
        <item x="261"/>
        <item x="135"/>
        <item m="1" x="369"/>
        <item m="1" x="433"/>
        <item x="108"/>
        <item m="1" x="464"/>
        <item x="317"/>
        <item m="1" x="435"/>
        <item m="1" x="380"/>
        <item x="168"/>
        <item x="6"/>
        <item x="202"/>
        <item x="161"/>
        <item m="1" x="472"/>
        <item x="72"/>
        <item x="85"/>
        <item m="1" x="434"/>
        <item m="1" x="338"/>
        <item x="40"/>
        <item x="140"/>
        <item x="146"/>
        <item m="1" x="529"/>
        <item x="199"/>
        <item m="1" x="438"/>
        <item x="32"/>
        <item x="55"/>
        <item m="1" x="418"/>
        <item x="274"/>
        <item x="213"/>
        <item x="4"/>
        <item x="320"/>
        <item x="54"/>
        <item m="1" x="466"/>
        <item x="271"/>
        <item m="1" x="423"/>
        <item x="104"/>
        <item m="1" x="344"/>
        <item x="181"/>
        <item m="1" x="412"/>
        <item x="147"/>
        <item x="98"/>
        <item m="1" x="488"/>
        <item x="198"/>
        <item x="93"/>
        <item x="272"/>
        <item m="1" x="499"/>
        <item m="1" x="446"/>
        <item x="132"/>
        <item x="310"/>
        <item x="126"/>
        <item m="1" x="409"/>
        <item x="301"/>
        <item m="1" x="525"/>
        <item x="13"/>
        <item m="1" x="430"/>
        <item x="214"/>
        <item x="18"/>
        <item m="1" x="431"/>
        <item x="8"/>
        <item m="1" x="521"/>
        <item x="207"/>
        <item x="91"/>
        <item x="46"/>
        <item m="1" x="394"/>
        <item x="74"/>
        <item x="268"/>
        <item x="322"/>
        <item m="1" x="367"/>
        <item x="306"/>
        <item x="218"/>
        <item x="257"/>
        <item x="290"/>
        <item x="109"/>
        <item m="1" x="384"/>
        <item m="1" x="333"/>
        <item m="1" x="485"/>
        <item x="101"/>
        <item x="53"/>
        <item m="1" x="457"/>
        <item x="308"/>
        <item m="1" x="358"/>
        <item m="1" x="359"/>
        <item x="283"/>
        <item x="56"/>
        <item x="172"/>
        <item x="228"/>
        <item x="229"/>
        <item m="1" x="474"/>
        <item x="111"/>
        <item x="0"/>
        <item x="258"/>
        <item x="174"/>
        <item x="131"/>
        <item m="1" x="455"/>
        <item x="60"/>
        <item m="1" x="524"/>
        <item m="1" x="350"/>
        <item x="94"/>
        <item x="307"/>
        <item x="148"/>
        <item x="316"/>
        <item m="1" x="514"/>
        <item x="134"/>
        <item x="282"/>
        <item m="1" x="342"/>
        <item x="36"/>
        <item x="241"/>
        <item x="96"/>
        <item m="1" x="495"/>
        <item m="1" x="357"/>
        <item m="1" x="507"/>
        <item m="1" x="426"/>
        <item x="35"/>
        <item x="99"/>
        <item m="1" x="542"/>
        <item x="67"/>
        <item x="113"/>
        <item m="1" x="500"/>
        <item x="92"/>
        <item m="1" x="376"/>
        <item m="1" x="355"/>
        <item x="160"/>
        <item x="302"/>
        <item x="125"/>
        <item m="1" x="413"/>
        <item x="189"/>
        <item x="45"/>
        <item x="178"/>
        <item x="137"/>
        <item x="203"/>
        <item x="141"/>
        <item m="1" x="334"/>
        <item x="321"/>
        <item x="159"/>
        <item m="1" x="479"/>
        <item m="1" x="337"/>
        <item x="42"/>
        <item x="47"/>
        <item x="227"/>
        <item x="16"/>
        <item x="230"/>
        <item x="155"/>
        <item x="120"/>
        <item m="1" x="483"/>
        <item x="118"/>
        <item x="220"/>
        <item x="19"/>
        <item m="1" x="450"/>
        <item x="128"/>
        <item x="50"/>
        <item m="1" x="526"/>
        <item x="211"/>
        <item x="208"/>
        <item x="127"/>
        <item m="1" x="527"/>
        <item x="260"/>
        <item x="324"/>
        <item x="299"/>
        <item x="248"/>
        <item x="289"/>
        <item x="64"/>
        <item m="1" x="407"/>
        <item m="1" x="465"/>
        <item m="1" x="415"/>
        <item x="195"/>
        <item x="275"/>
        <item m="1" x="539"/>
        <item m="1" x="364"/>
        <item x="110"/>
        <item m="1" x="520"/>
        <item x="215"/>
        <item x="49"/>
        <item x="130"/>
        <item x="57"/>
        <item x="287"/>
        <item x="77"/>
        <item x="14"/>
        <item x="249"/>
        <item x="197"/>
        <item m="1" x="517"/>
        <item x="162"/>
        <item x="313"/>
        <item m="1" x="462"/>
        <item x="119"/>
        <item x="61"/>
        <item x="326"/>
        <item m="1" x="463"/>
        <item x="142"/>
        <item x="254"/>
        <item x="231"/>
        <item x="100"/>
        <item m="1" x="445"/>
        <item m="1" x="497"/>
        <item m="1" x="447"/>
        <item m="1" x="473"/>
        <item x="193"/>
        <item m="1" x="531"/>
        <item m="1" x="328"/>
        <item m="1" x="480"/>
        <item x="177"/>
        <item x="21"/>
        <item x="114"/>
        <item x="238"/>
        <item x="33"/>
        <item m="1" x="414"/>
        <item x="266"/>
        <item m="1" x="363"/>
        <item x="9"/>
        <item m="1" x="456"/>
        <item m="1" x="532"/>
        <item x="26"/>
        <item m="1" x="403"/>
        <item x="152"/>
        <item x="284"/>
        <item x="95"/>
        <item x="52"/>
        <item x="63"/>
        <item x="327"/>
        <item x="34"/>
        <item m="1" x="361"/>
        <item m="1" x="429"/>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defaultSubtotal="0"/>
    <pivotField showAll="0" defaultSubtotal="0">
      <items count="4">
        <item x="1"/>
        <item x="2"/>
        <item x="0"/>
        <item x="3"/>
      </items>
    </pivotField>
    <pivotField dragToRow="0" dragToCol="0" dragToPage="0" showAll="0" defaultSubtotal="0"/>
  </pivotFields>
  <rowFields count="1">
    <field x="1"/>
  </rowFields>
  <rowItems count="8">
    <i>
      <x/>
    </i>
    <i>
      <x v="1"/>
    </i>
    <i>
      <x v="2"/>
    </i>
    <i>
      <x v="3"/>
    </i>
    <i>
      <x v="4"/>
    </i>
    <i>
      <x v="5"/>
    </i>
    <i>
      <x v="6"/>
    </i>
    <i t="grand">
      <x/>
    </i>
  </rowItems>
  <colItems count="1">
    <i/>
  </colItems>
  <dataFields count="1">
    <dataField name="Sum of Actual Impact ($)" fld="14" baseField="1" baseItem="0" numFmtId="165"/>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3C5008-1A9E-494C-ADF2-8FB992399245}" name="PivotTable5" cacheId="1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80:C89" firstHeaderRow="1" firstDataRow="1" firstDataCol="1"/>
  <pivotFields count="22">
    <pivotField showAll="0"/>
    <pivotField showAll="0">
      <items count="8">
        <item x="5"/>
        <item x="6"/>
        <item x="4"/>
        <item x="3"/>
        <item x="1"/>
        <item x="0"/>
        <item x="2"/>
        <item t="default"/>
      </items>
    </pivotField>
    <pivotField showAll="0"/>
    <pivotField showAll="0">
      <items count="5">
        <item x="1"/>
        <item x="2"/>
        <item x="3"/>
        <item x="0"/>
        <item t="default"/>
      </items>
    </pivotField>
    <pivotField showAll="0"/>
    <pivotField showAll="0">
      <items count="6">
        <item x="4"/>
        <item x="1"/>
        <item x="0"/>
        <item x="3"/>
        <item x="2"/>
        <item t="default"/>
      </items>
    </pivotField>
    <pivotField showAll="0"/>
    <pivotField numFmtId="14" showAll="0">
      <items count="547">
        <item x="90"/>
        <item x="15"/>
        <item m="1" x="374"/>
        <item x="295"/>
        <item x="84"/>
        <item x="133"/>
        <item x="31"/>
        <item m="1" x="486"/>
        <item m="1" x="538"/>
        <item m="1" x="378"/>
        <item x="297"/>
        <item m="1" x="424"/>
        <item m="1" x="385"/>
        <item x="106"/>
        <item m="1" x="453"/>
        <item m="1" x="377"/>
        <item m="1" x="490"/>
        <item m="1" x="351"/>
        <item x="245"/>
        <item x="314"/>
        <item m="1" x="470"/>
        <item m="1" x="432"/>
        <item m="1" x="541"/>
        <item m="1" x="534"/>
        <item x="24"/>
        <item x="221"/>
        <item m="1" x="391"/>
        <item m="1" x="383"/>
        <item m="1" x="436"/>
        <item x="226"/>
        <item x="97"/>
        <item m="1" x="349"/>
        <item x="288"/>
        <item m="1" x="511"/>
        <item m="1" x="332"/>
        <item x="270"/>
        <item m="1" x="390"/>
        <item m="1" x="519"/>
        <item x="225"/>
        <item x="236"/>
        <item x="66"/>
        <item m="1" x="336"/>
        <item x="204"/>
        <item m="1" x="425"/>
        <item x="89"/>
        <item m="1" x="405"/>
        <item x="149"/>
        <item m="1" x="469"/>
        <item x="39"/>
        <item x="205"/>
        <item m="1" x="491"/>
        <item m="1" x="387"/>
        <item x="83"/>
        <item m="1" x="522"/>
        <item m="1" x="442"/>
        <item x="80"/>
        <item m="1" x="545"/>
        <item m="1" x="443"/>
        <item x="51"/>
        <item x="44"/>
        <item x="23"/>
        <item x="156"/>
        <item x="186"/>
        <item m="1" x="439"/>
        <item x="291"/>
        <item x="81"/>
        <item x="182"/>
        <item x="216"/>
        <item x="136"/>
        <item m="1" x="496"/>
        <item x="244"/>
        <item m="1" x="422"/>
        <item x="201"/>
        <item x="38"/>
        <item m="1" x="339"/>
        <item x="68"/>
        <item x="200"/>
        <item m="1" x="481"/>
        <item m="1" x="346"/>
        <item m="1" x="416"/>
        <item x="247"/>
        <item m="1" x="411"/>
        <item x="2"/>
        <item x="107"/>
        <item m="1" x="505"/>
        <item m="1" x="329"/>
        <item x="87"/>
        <item x="123"/>
        <item x="43"/>
        <item m="1" x="360"/>
        <item m="1" x="348"/>
        <item m="1" x="504"/>
        <item m="1" x="402"/>
        <item x="30"/>
        <item x="312"/>
        <item m="1" x="518"/>
        <item m="1" x="386"/>
        <item x="311"/>
        <item m="1" x="513"/>
        <item m="1" x="408"/>
        <item m="1" x="478"/>
        <item x="265"/>
        <item x="103"/>
        <item x="171"/>
        <item m="1" x="396"/>
        <item m="1" x="395"/>
        <item m="1" x="335"/>
        <item x="315"/>
        <item m="1" x="340"/>
        <item x="233"/>
        <item x="285"/>
        <item m="1" x="437"/>
        <item m="1" x="381"/>
        <item m="1" x="354"/>
        <item m="1" x="467"/>
        <item m="1" x="540"/>
        <item m="1" x="452"/>
        <item m="1" x="392"/>
        <item x="82"/>
        <item m="1" x="372"/>
        <item x="62"/>
        <item x="286"/>
        <item x="48"/>
        <item x="298"/>
        <item m="1" x="528"/>
        <item m="1" x="449"/>
        <item x="166"/>
        <item m="1" x="389"/>
        <item x="309"/>
        <item m="1" x="427"/>
        <item x="318"/>
        <item x="116"/>
        <item x="17"/>
        <item x="138"/>
        <item m="1" x="404"/>
        <item m="1" x="544"/>
        <item x="157"/>
        <item m="1" x="440"/>
        <item x="78"/>
        <item x="79"/>
        <item m="1" x="421"/>
        <item m="1" x="461"/>
        <item m="1" x="471"/>
        <item x="262"/>
        <item x="22"/>
        <item m="1" x="468"/>
        <item x="292"/>
        <item x="143"/>
        <item x="219"/>
        <item m="1" x="502"/>
        <item x="252"/>
        <item x="179"/>
        <item m="1" x="345"/>
        <item x="29"/>
        <item m="1" x="498"/>
        <item x="105"/>
        <item m="1" x="543"/>
        <item x="11"/>
        <item x="65"/>
        <item x="150"/>
        <item x="190"/>
        <item m="1" x="356"/>
        <item x="240"/>
        <item x="280"/>
        <item x="175"/>
        <item x="300"/>
        <item x="170"/>
        <item x="263"/>
        <item m="1" x="375"/>
        <item x="234"/>
        <item m="1" x="503"/>
        <item m="1" x="533"/>
        <item m="1" x="535"/>
        <item x="239"/>
        <item m="1" x="458"/>
        <item x="59"/>
        <item x="253"/>
        <item m="1" x="362"/>
        <item m="1" x="352"/>
        <item x="86"/>
        <item x="163"/>
        <item x="210"/>
        <item m="1" x="330"/>
        <item x="305"/>
        <item m="1" x="398"/>
        <item x="276"/>
        <item x="1"/>
        <item x="279"/>
        <item x="117"/>
        <item x="269"/>
        <item m="1" x="515"/>
        <item x="69"/>
        <item x="187"/>
        <item x="303"/>
        <item m="1" x="530"/>
        <item x="144"/>
        <item m="1" x="441"/>
        <item x="255"/>
        <item m="1" x="428"/>
        <item x="28"/>
        <item x="5"/>
        <item m="1" x="366"/>
        <item x="296"/>
        <item m="1" x="406"/>
        <item x="194"/>
        <item x="273"/>
        <item m="1" x="537"/>
        <item x="173"/>
        <item m="1" x="401"/>
        <item m="1" x="382"/>
        <item m="1" x="523"/>
        <item x="232"/>
        <item x="164"/>
        <item x="71"/>
        <item m="1" x="494"/>
        <item x="196"/>
        <item x="264"/>
        <item m="1" x="417"/>
        <item x="70"/>
        <item m="1" x="487"/>
        <item x="277"/>
        <item x="281"/>
        <item x="217"/>
        <item x="191"/>
        <item m="1" x="536"/>
        <item x="58"/>
        <item m="1" x="368"/>
        <item m="1" x="388"/>
        <item x="88"/>
        <item x="3"/>
        <item x="76"/>
        <item x="158"/>
        <item m="1" x="508"/>
        <item x="10"/>
        <item x="261"/>
        <item x="135"/>
        <item m="1" x="369"/>
        <item m="1" x="433"/>
        <item x="108"/>
        <item m="1" x="464"/>
        <item x="317"/>
        <item m="1" x="435"/>
        <item x="168"/>
        <item x="6"/>
        <item x="202"/>
        <item x="161"/>
        <item m="1" x="472"/>
        <item x="72"/>
        <item x="85"/>
        <item m="1" x="434"/>
        <item x="40"/>
        <item x="140"/>
        <item x="146"/>
        <item x="199"/>
        <item m="1" x="438"/>
        <item x="32"/>
        <item x="55"/>
        <item m="1" x="418"/>
        <item x="274"/>
        <item x="213"/>
        <item x="320"/>
        <item x="54"/>
        <item x="271"/>
        <item x="104"/>
        <item m="1" x="412"/>
        <item x="147"/>
        <item x="98"/>
        <item m="1" x="488"/>
        <item x="93"/>
        <item x="272"/>
        <item m="1" x="499"/>
        <item x="132"/>
        <item x="126"/>
        <item x="301"/>
        <item x="13"/>
        <item m="1" x="430"/>
        <item x="214"/>
        <item x="18"/>
        <item m="1" x="431"/>
        <item x="8"/>
        <item x="207"/>
        <item x="91"/>
        <item x="46"/>
        <item m="1" x="394"/>
        <item x="74"/>
        <item x="268"/>
        <item x="322"/>
        <item x="306"/>
        <item x="218"/>
        <item x="290"/>
        <item m="1" x="384"/>
        <item m="1" x="333"/>
        <item m="1" x="485"/>
        <item x="101"/>
        <item x="53"/>
        <item x="308"/>
        <item m="1" x="358"/>
        <item m="1" x="359"/>
        <item x="56"/>
        <item x="172"/>
        <item m="1" x="474"/>
        <item x="111"/>
        <item x="0"/>
        <item x="258"/>
        <item x="174"/>
        <item x="131"/>
        <item m="1" x="455"/>
        <item x="60"/>
        <item m="1" x="524"/>
        <item m="1" x="350"/>
        <item x="94"/>
        <item x="307"/>
        <item x="148"/>
        <item m="1" x="514"/>
        <item x="282"/>
        <item x="36"/>
        <item m="1" x="507"/>
        <item m="1" x="426"/>
        <item x="99"/>
        <item m="1" x="542"/>
        <item x="113"/>
        <item x="92"/>
        <item m="1" x="376"/>
        <item m="1" x="355"/>
        <item x="160"/>
        <item x="125"/>
        <item x="189"/>
        <item x="178"/>
        <item x="293"/>
        <item m="1" x="448"/>
        <item x="159"/>
        <item m="1" x="446"/>
        <item x="137"/>
        <item x="176"/>
        <item x="102"/>
        <item x="256"/>
        <item m="1" x="454"/>
        <item x="212"/>
        <item m="1" x="342"/>
        <item x="4"/>
        <item x="180"/>
        <item x="257"/>
        <item m="1" x="510"/>
        <item x="222"/>
        <item x="12"/>
        <item x="134"/>
        <item m="1" x="413"/>
        <item x="75"/>
        <item x="27"/>
        <item m="1" x="343"/>
        <item x="37"/>
        <item m="1" x="495"/>
        <item m="1" x="334"/>
        <item x="323"/>
        <item m="1" x="466"/>
        <item x="251"/>
        <item x="25"/>
        <item x="141"/>
        <item x="224"/>
        <item x="319"/>
        <item x="259"/>
        <item m="1" x="347"/>
        <item m="1" x="331"/>
        <item x="115"/>
        <item x="139"/>
        <item x="45"/>
        <item m="1" x="357"/>
        <item x="229"/>
        <item m="1" x="353"/>
        <item m="1" x="475"/>
        <item m="1" x="419"/>
        <item x="184"/>
        <item x="325"/>
        <item m="1" x="516"/>
        <item m="1" x="525"/>
        <item x="294"/>
        <item x="35"/>
        <item m="1" x="506"/>
        <item m="1" x="420"/>
        <item m="1" x="379"/>
        <item x="20"/>
        <item x="153"/>
        <item x="209"/>
        <item m="1" x="338"/>
        <item m="1" x="512"/>
        <item m="1" x="397"/>
        <item m="1" x="344"/>
        <item m="1" x="341"/>
        <item x="228"/>
        <item m="1" x="484"/>
        <item m="1" x="451"/>
        <item m="1" x="371"/>
        <item x="67"/>
        <item x="145"/>
        <item m="1" x="492"/>
        <item x="129"/>
        <item m="1" x="460"/>
        <item x="246"/>
        <item m="1" x="409"/>
        <item x="124"/>
        <item x="243"/>
        <item m="1" x="373"/>
        <item x="188"/>
        <item m="1" x="457"/>
        <item m="1" x="521"/>
        <item m="1" x="370"/>
        <item x="167"/>
        <item x="151"/>
        <item x="181"/>
        <item m="1" x="423"/>
        <item x="165"/>
        <item m="1" x="509"/>
        <item m="1" x="400"/>
        <item x="121"/>
        <item x="122"/>
        <item x="316"/>
        <item x="169"/>
        <item x="192"/>
        <item x="278"/>
        <item x="109"/>
        <item x="310"/>
        <item x="73"/>
        <item m="1" x="393"/>
        <item m="1" x="476"/>
        <item m="1" x="477"/>
        <item x="96"/>
        <item x="302"/>
        <item x="267"/>
        <item x="203"/>
        <item x="241"/>
        <item m="1" x="529"/>
        <item x="183"/>
        <item m="1" x="493"/>
        <item m="1" x="489"/>
        <item x="154"/>
        <item x="41"/>
        <item m="1" x="501"/>
        <item m="1" x="367"/>
        <item x="112"/>
        <item x="237"/>
        <item x="235"/>
        <item x="304"/>
        <item m="1" x="444"/>
        <item m="1" x="482"/>
        <item m="1" x="459"/>
        <item x="250"/>
        <item m="1" x="365"/>
        <item x="7"/>
        <item x="185"/>
        <item m="1" x="380"/>
        <item x="223"/>
        <item m="1" x="500"/>
        <item x="206"/>
        <item x="242"/>
        <item m="1" x="399"/>
        <item m="1" x="410"/>
        <item x="198"/>
        <item x="283"/>
        <item x="321"/>
        <item m="1" x="479"/>
        <item m="1" x="337"/>
        <item x="42"/>
        <item x="47"/>
        <item x="227"/>
        <item x="16"/>
        <item x="230"/>
        <item x="155"/>
        <item x="120"/>
        <item m="1" x="483"/>
        <item x="118"/>
        <item x="220"/>
        <item x="19"/>
        <item m="1" x="450"/>
        <item x="128"/>
        <item x="50"/>
        <item m="1" x="526"/>
        <item x="211"/>
        <item x="208"/>
        <item x="127"/>
        <item m="1" x="527"/>
        <item x="260"/>
        <item x="324"/>
        <item x="299"/>
        <item x="248"/>
        <item x="289"/>
        <item x="64"/>
        <item m="1" x="407"/>
        <item m="1" x="465"/>
        <item m="1" x="415"/>
        <item x="195"/>
        <item x="275"/>
        <item m="1" x="539"/>
        <item m="1" x="364"/>
        <item x="110"/>
        <item m="1" x="520"/>
        <item x="215"/>
        <item x="49"/>
        <item x="130"/>
        <item x="57"/>
        <item x="287"/>
        <item x="77"/>
        <item x="14"/>
        <item x="249"/>
        <item x="197"/>
        <item m="1" x="517"/>
        <item x="162"/>
        <item x="313"/>
        <item m="1" x="462"/>
        <item x="119"/>
        <item x="61"/>
        <item x="326"/>
        <item m="1" x="463"/>
        <item x="142"/>
        <item x="254"/>
        <item x="231"/>
        <item x="100"/>
        <item m="1" x="445"/>
        <item m="1" x="497"/>
        <item m="1" x="447"/>
        <item m="1" x="473"/>
        <item x="193"/>
        <item m="1" x="531"/>
        <item m="1" x="328"/>
        <item m="1" x="480"/>
        <item x="177"/>
        <item x="21"/>
        <item x="114"/>
        <item x="238"/>
        <item x="33"/>
        <item m="1" x="414"/>
        <item x="266"/>
        <item m="1" x="363"/>
        <item x="9"/>
        <item m="1" x="456"/>
        <item m="1" x="532"/>
        <item x="26"/>
        <item m="1" x="403"/>
        <item x="152"/>
        <item x="284"/>
        <item x="95"/>
        <item x="52"/>
        <item x="63"/>
        <item x="327"/>
        <item x="34"/>
        <item m="1" x="361"/>
        <item m="1" x="429"/>
        <item t="default"/>
      </items>
    </pivotField>
    <pivotField showAll="0"/>
    <pivotField showAll="0"/>
    <pivotField showAll="0">
      <items count="6">
        <item x="3"/>
        <item x="0"/>
        <item x="1"/>
        <item x="4"/>
        <item x="2"/>
        <item t="default"/>
      </items>
    </pivotField>
    <pivotField showAll="0">
      <items count="7">
        <item x="3"/>
        <item x="1"/>
        <item x="0"/>
        <item x="5"/>
        <item x="4"/>
        <item x="2"/>
        <item t="default"/>
      </items>
    </pivotField>
    <pivotField axis="axisRow" dataField="1" showAll="0">
      <items count="10">
        <item m="1" x="8"/>
        <item x="4"/>
        <item x="3"/>
        <item x="7"/>
        <item x="6"/>
        <item x="0"/>
        <item x="5"/>
        <item x="1"/>
        <item x="2"/>
        <item t="default"/>
      </items>
    </pivotField>
    <pivotField showAll="0"/>
    <pivotField showAll="0"/>
    <pivotField showAll="0"/>
    <pivotField showAll="0"/>
    <pivotField showAll="0"/>
    <pivotField showAll="0"/>
    <pivotField showAll="0" defaultSubtotal="0"/>
    <pivotField showAll="0" defaultSubtotal="0">
      <items count="4">
        <item x="1"/>
        <item x="2"/>
        <item x="0"/>
        <item x="3"/>
      </items>
    </pivotField>
    <pivotField dragToRow="0" dragToCol="0" dragToPage="0" showAll="0" defaultSubtotal="0"/>
  </pivotFields>
  <rowFields count="1">
    <field x="12"/>
  </rowFields>
  <rowItems count="9">
    <i>
      <x v="1"/>
    </i>
    <i>
      <x v="2"/>
    </i>
    <i>
      <x v="3"/>
    </i>
    <i>
      <x v="4"/>
    </i>
    <i>
      <x v="5"/>
    </i>
    <i>
      <x v="6"/>
    </i>
    <i>
      <x v="7"/>
    </i>
    <i>
      <x v="8"/>
    </i>
    <i t="grand">
      <x/>
    </i>
  </rowItems>
  <colItems count="1">
    <i/>
  </colItems>
  <dataFields count="1">
    <dataField name="Count of Root Cause Category" fld="12"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F6AF14-B1C5-4BC3-9EA2-06A03D7321D4}" name="PivotTable3" cacheId="1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28:C36" firstHeaderRow="1" firstDataRow="1" firstDataCol="1"/>
  <pivotFields count="22">
    <pivotField showAll="0"/>
    <pivotField axis="axisRow" dataField="1" showAll="0">
      <items count="8">
        <item x="5"/>
        <item x="6"/>
        <item x="4"/>
        <item x="3"/>
        <item x="1"/>
        <item x="0"/>
        <item x="2"/>
        <item t="default"/>
      </items>
    </pivotField>
    <pivotField showAll="0"/>
    <pivotField showAll="0">
      <items count="5">
        <item x="1"/>
        <item x="2"/>
        <item x="3"/>
        <item x="0"/>
        <item t="default"/>
      </items>
    </pivotField>
    <pivotField showAll="0"/>
    <pivotField showAll="0">
      <items count="6">
        <item x="4"/>
        <item x="1"/>
        <item x="0"/>
        <item x="3"/>
        <item x="2"/>
        <item t="default"/>
      </items>
    </pivotField>
    <pivotField showAll="0"/>
    <pivotField numFmtId="14" showAll="0">
      <items count="547">
        <item x="90"/>
        <item x="15"/>
        <item m="1" x="374"/>
        <item x="295"/>
        <item x="84"/>
        <item x="133"/>
        <item x="31"/>
        <item m="1" x="486"/>
        <item m="1" x="538"/>
        <item m="1" x="378"/>
        <item x="297"/>
        <item m="1" x="424"/>
        <item m="1" x="385"/>
        <item x="106"/>
        <item m="1" x="453"/>
        <item m="1" x="377"/>
        <item m="1" x="490"/>
        <item m="1" x="351"/>
        <item x="245"/>
        <item x="314"/>
        <item m="1" x="470"/>
        <item m="1" x="432"/>
        <item m="1" x="541"/>
        <item m="1" x="534"/>
        <item x="24"/>
        <item x="221"/>
        <item m="1" x="391"/>
        <item m="1" x="383"/>
        <item m="1" x="436"/>
        <item x="226"/>
        <item x="97"/>
        <item m="1" x="349"/>
        <item x="288"/>
        <item m="1" x="511"/>
        <item m="1" x="332"/>
        <item x="270"/>
        <item m="1" x="390"/>
        <item m="1" x="519"/>
        <item x="225"/>
        <item x="236"/>
        <item x="66"/>
        <item m="1" x="336"/>
        <item x="204"/>
        <item m="1" x="425"/>
        <item x="89"/>
        <item m="1" x="405"/>
        <item x="149"/>
        <item m="1" x="469"/>
        <item x="39"/>
        <item x="205"/>
        <item m="1" x="491"/>
        <item m="1" x="387"/>
        <item x="83"/>
        <item m="1" x="522"/>
        <item m="1" x="442"/>
        <item x="80"/>
        <item m="1" x="545"/>
        <item m="1" x="443"/>
        <item x="51"/>
        <item x="44"/>
        <item x="23"/>
        <item x="156"/>
        <item x="186"/>
        <item m="1" x="439"/>
        <item x="291"/>
        <item x="81"/>
        <item x="182"/>
        <item x="216"/>
        <item x="136"/>
        <item m="1" x="496"/>
        <item x="244"/>
        <item m="1" x="422"/>
        <item x="201"/>
        <item x="38"/>
        <item m="1" x="339"/>
        <item x="68"/>
        <item x="200"/>
        <item m="1" x="481"/>
        <item m="1" x="346"/>
        <item m="1" x="416"/>
        <item x="247"/>
        <item m="1" x="411"/>
        <item x="2"/>
        <item x="107"/>
        <item m="1" x="505"/>
        <item m="1" x="329"/>
        <item x="87"/>
        <item x="123"/>
        <item x="43"/>
        <item m="1" x="360"/>
        <item m="1" x="348"/>
        <item m="1" x="504"/>
        <item m="1" x="402"/>
        <item x="30"/>
        <item x="312"/>
        <item m="1" x="518"/>
        <item m="1" x="386"/>
        <item x="311"/>
        <item m="1" x="513"/>
        <item m="1" x="408"/>
        <item m="1" x="478"/>
        <item x="265"/>
        <item x="103"/>
        <item x="171"/>
        <item m="1" x="396"/>
        <item m="1" x="395"/>
        <item m="1" x="335"/>
        <item x="315"/>
        <item m="1" x="340"/>
        <item x="233"/>
        <item x="285"/>
        <item m="1" x="437"/>
        <item m="1" x="381"/>
        <item m="1" x="354"/>
        <item m="1" x="467"/>
        <item m="1" x="540"/>
        <item m="1" x="452"/>
        <item m="1" x="392"/>
        <item x="82"/>
        <item m="1" x="372"/>
        <item x="62"/>
        <item x="286"/>
        <item x="48"/>
        <item x="298"/>
        <item m="1" x="528"/>
        <item m="1" x="449"/>
        <item x="166"/>
        <item m="1" x="389"/>
        <item x="309"/>
        <item m="1" x="427"/>
        <item x="318"/>
        <item x="116"/>
        <item x="17"/>
        <item x="138"/>
        <item m="1" x="404"/>
        <item m="1" x="544"/>
        <item x="157"/>
        <item m="1" x="440"/>
        <item x="78"/>
        <item x="79"/>
        <item m="1" x="421"/>
        <item m="1" x="461"/>
        <item m="1" x="471"/>
        <item x="262"/>
        <item x="22"/>
        <item m="1" x="468"/>
        <item x="292"/>
        <item x="143"/>
        <item x="219"/>
        <item m="1" x="502"/>
        <item x="252"/>
        <item x="179"/>
        <item m="1" x="345"/>
        <item x="29"/>
        <item m="1" x="498"/>
        <item x="105"/>
        <item m="1" x="543"/>
        <item x="11"/>
        <item x="65"/>
        <item x="150"/>
        <item x="190"/>
        <item m="1" x="356"/>
        <item x="240"/>
        <item x="280"/>
        <item x="175"/>
        <item x="300"/>
        <item x="170"/>
        <item x="263"/>
        <item m="1" x="375"/>
        <item x="234"/>
        <item m="1" x="503"/>
        <item m="1" x="533"/>
        <item m="1" x="535"/>
        <item x="239"/>
        <item m="1" x="458"/>
        <item x="59"/>
        <item x="253"/>
        <item m="1" x="362"/>
        <item m="1" x="352"/>
        <item x="86"/>
        <item x="163"/>
        <item x="210"/>
        <item m="1" x="330"/>
        <item x="305"/>
        <item m="1" x="398"/>
        <item x="276"/>
        <item x="1"/>
        <item x="279"/>
        <item x="117"/>
        <item x="269"/>
        <item m="1" x="515"/>
        <item x="69"/>
        <item x="187"/>
        <item x="303"/>
        <item m="1" x="530"/>
        <item x="144"/>
        <item m="1" x="441"/>
        <item x="255"/>
        <item m="1" x="428"/>
        <item x="28"/>
        <item x="5"/>
        <item m="1" x="366"/>
        <item x="296"/>
        <item m="1" x="406"/>
        <item x="194"/>
        <item x="273"/>
        <item m="1" x="537"/>
        <item x="173"/>
        <item m="1" x="401"/>
        <item m="1" x="382"/>
        <item m="1" x="523"/>
        <item x="232"/>
        <item x="164"/>
        <item x="71"/>
        <item m="1" x="494"/>
        <item x="196"/>
        <item x="264"/>
        <item m="1" x="417"/>
        <item x="70"/>
        <item m="1" x="487"/>
        <item x="277"/>
        <item x="281"/>
        <item x="217"/>
        <item x="191"/>
        <item m="1" x="536"/>
        <item x="58"/>
        <item m="1" x="368"/>
        <item m="1" x="388"/>
        <item x="88"/>
        <item x="3"/>
        <item x="76"/>
        <item x="158"/>
        <item m="1" x="508"/>
        <item x="10"/>
        <item x="261"/>
        <item x="135"/>
        <item m="1" x="369"/>
        <item m="1" x="433"/>
        <item x="108"/>
        <item m="1" x="464"/>
        <item x="317"/>
        <item m="1" x="435"/>
        <item x="168"/>
        <item x="6"/>
        <item x="202"/>
        <item x="161"/>
        <item m="1" x="472"/>
        <item x="72"/>
        <item x="85"/>
        <item m="1" x="434"/>
        <item x="40"/>
        <item x="140"/>
        <item x="146"/>
        <item x="199"/>
        <item m="1" x="438"/>
        <item x="32"/>
        <item x="55"/>
        <item m="1" x="418"/>
        <item x="274"/>
        <item x="213"/>
        <item x="320"/>
        <item x="54"/>
        <item x="271"/>
        <item x="104"/>
        <item m="1" x="412"/>
        <item x="147"/>
        <item x="98"/>
        <item m="1" x="488"/>
        <item x="93"/>
        <item x="272"/>
        <item m="1" x="499"/>
        <item x="132"/>
        <item x="126"/>
        <item x="301"/>
        <item x="13"/>
        <item m="1" x="430"/>
        <item x="214"/>
        <item x="18"/>
        <item m="1" x="431"/>
        <item x="8"/>
        <item x="207"/>
        <item x="91"/>
        <item x="46"/>
        <item m="1" x="394"/>
        <item x="74"/>
        <item x="268"/>
        <item x="322"/>
        <item x="306"/>
        <item x="218"/>
        <item x="290"/>
        <item m="1" x="384"/>
        <item m="1" x="333"/>
        <item m="1" x="485"/>
        <item x="101"/>
        <item x="53"/>
        <item x="308"/>
        <item m="1" x="358"/>
        <item m="1" x="359"/>
        <item x="56"/>
        <item x="172"/>
        <item m="1" x="474"/>
        <item x="111"/>
        <item x="0"/>
        <item x="258"/>
        <item x="174"/>
        <item x="131"/>
        <item m="1" x="455"/>
        <item x="60"/>
        <item m="1" x="524"/>
        <item m="1" x="350"/>
        <item x="94"/>
        <item x="307"/>
        <item x="148"/>
        <item m="1" x="514"/>
        <item x="282"/>
        <item x="36"/>
        <item m="1" x="507"/>
        <item m="1" x="426"/>
        <item x="99"/>
        <item m="1" x="542"/>
        <item x="113"/>
        <item x="92"/>
        <item m="1" x="376"/>
        <item m="1" x="355"/>
        <item x="160"/>
        <item x="125"/>
        <item x="189"/>
        <item x="178"/>
        <item x="293"/>
        <item m="1" x="448"/>
        <item x="159"/>
        <item m="1" x="446"/>
        <item x="137"/>
        <item x="176"/>
        <item x="102"/>
        <item x="256"/>
        <item m="1" x="454"/>
        <item x="212"/>
        <item m="1" x="342"/>
        <item x="4"/>
        <item x="180"/>
        <item x="257"/>
        <item m="1" x="510"/>
        <item x="222"/>
        <item x="12"/>
        <item x="134"/>
        <item m="1" x="413"/>
        <item x="75"/>
        <item x="27"/>
        <item m="1" x="343"/>
        <item x="37"/>
        <item m="1" x="495"/>
        <item m="1" x="334"/>
        <item x="323"/>
        <item m="1" x="466"/>
        <item x="251"/>
        <item x="25"/>
        <item x="141"/>
        <item x="224"/>
        <item x="319"/>
        <item x="259"/>
        <item m="1" x="347"/>
        <item m="1" x="331"/>
        <item x="115"/>
        <item x="139"/>
        <item x="45"/>
        <item m="1" x="357"/>
        <item x="229"/>
        <item m="1" x="353"/>
        <item m="1" x="475"/>
        <item m="1" x="419"/>
        <item x="184"/>
        <item x="325"/>
        <item m="1" x="516"/>
        <item m="1" x="525"/>
        <item x="294"/>
        <item x="35"/>
        <item m="1" x="506"/>
        <item m="1" x="420"/>
        <item m="1" x="379"/>
        <item x="20"/>
        <item x="153"/>
        <item x="209"/>
        <item m="1" x="338"/>
        <item m="1" x="512"/>
        <item m="1" x="397"/>
        <item m="1" x="344"/>
        <item m="1" x="341"/>
        <item x="228"/>
        <item m="1" x="484"/>
        <item m="1" x="451"/>
        <item m="1" x="371"/>
        <item x="67"/>
        <item x="145"/>
        <item m="1" x="492"/>
        <item x="129"/>
        <item m="1" x="460"/>
        <item x="246"/>
        <item m="1" x="409"/>
        <item x="124"/>
        <item x="243"/>
        <item m="1" x="373"/>
        <item x="188"/>
        <item m="1" x="457"/>
        <item m="1" x="521"/>
        <item m="1" x="370"/>
        <item x="167"/>
        <item x="151"/>
        <item x="181"/>
        <item m="1" x="423"/>
        <item x="165"/>
        <item m="1" x="509"/>
        <item m="1" x="400"/>
        <item x="121"/>
        <item x="122"/>
        <item x="316"/>
        <item x="169"/>
        <item x="192"/>
        <item x="278"/>
        <item x="109"/>
        <item x="310"/>
        <item x="73"/>
        <item m="1" x="393"/>
        <item m="1" x="476"/>
        <item m="1" x="477"/>
        <item x="96"/>
        <item x="302"/>
        <item x="267"/>
        <item x="203"/>
        <item x="241"/>
        <item m="1" x="529"/>
        <item x="183"/>
        <item m="1" x="493"/>
        <item m="1" x="489"/>
        <item x="154"/>
        <item x="41"/>
        <item m="1" x="501"/>
        <item m="1" x="367"/>
        <item x="112"/>
        <item x="237"/>
        <item x="235"/>
        <item x="304"/>
        <item m="1" x="444"/>
        <item m="1" x="482"/>
        <item m="1" x="459"/>
        <item x="250"/>
        <item m="1" x="365"/>
        <item x="7"/>
        <item x="185"/>
        <item m="1" x="380"/>
        <item x="223"/>
        <item m="1" x="500"/>
        <item x="206"/>
        <item x="242"/>
        <item m="1" x="399"/>
        <item m="1" x="410"/>
        <item x="198"/>
        <item x="283"/>
        <item x="321"/>
        <item m="1" x="479"/>
        <item m="1" x="337"/>
        <item x="42"/>
        <item x="47"/>
        <item x="227"/>
        <item x="16"/>
        <item x="230"/>
        <item x="155"/>
        <item x="120"/>
        <item m="1" x="483"/>
        <item x="118"/>
        <item x="220"/>
        <item x="19"/>
        <item m="1" x="450"/>
        <item x="128"/>
        <item x="50"/>
        <item m="1" x="526"/>
        <item x="211"/>
        <item x="208"/>
        <item x="127"/>
        <item m="1" x="527"/>
        <item x="260"/>
        <item x="324"/>
        <item x="299"/>
        <item x="248"/>
        <item x="289"/>
        <item x="64"/>
        <item m="1" x="407"/>
        <item m="1" x="465"/>
        <item m="1" x="415"/>
        <item x="195"/>
        <item x="275"/>
        <item m="1" x="539"/>
        <item m="1" x="364"/>
        <item x="110"/>
        <item m="1" x="520"/>
        <item x="215"/>
        <item x="49"/>
        <item x="130"/>
        <item x="57"/>
        <item x="287"/>
        <item x="77"/>
        <item x="14"/>
        <item x="249"/>
        <item x="197"/>
        <item m="1" x="517"/>
        <item x="162"/>
        <item x="313"/>
        <item m="1" x="462"/>
        <item x="119"/>
        <item x="61"/>
        <item x="326"/>
        <item m="1" x="463"/>
        <item x="142"/>
        <item x="254"/>
        <item x="231"/>
        <item x="100"/>
        <item m="1" x="445"/>
        <item m="1" x="497"/>
        <item m="1" x="447"/>
        <item m="1" x="473"/>
        <item x="193"/>
        <item m="1" x="531"/>
        <item m="1" x="328"/>
        <item m="1" x="480"/>
        <item x="177"/>
        <item x="21"/>
        <item x="114"/>
        <item x="238"/>
        <item x="33"/>
        <item m="1" x="414"/>
        <item x="266"/>
        <item m="1" x="363"/>
        <item x="9"/>
        <item m="1" x="456"/>
        <item m="1" x="532"/>
        <item x="26"/>
        <item m="1" x="403"/>
        <item x="152"/>
        <item x="284"/>
        <item x="95"/>
        <item x="52"/>
        <item x="63"/>
        <item x="327"/>
        <item x="34"/>
        <item m="1" x="361"/>
        <item m="1" x="429"/>
        <item t="default"/>
      </items>
    </pivotField>
    <pivotField showAll="0"/>
    <pivotField showAll="0"/>
    <pivotField showAll="0">
      <items count="6">
        <item x="3"/>
        <item x="0"/>
        <item x="1"/>
        <item x="4"/>
        <item x="2"/>
        <item t="default"/>
      </items>
    </pivotField>
    <pivotField showAll="0">
      <items count="7">
        <item x="3"/>
        <item x="1"/>
        <item x="0"/>
        <item x="5"/>
        <item x="4"/>
        <item x="2"/>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1"/>
        <item x="2"/>
        <item x="0"/>
        <item x="3"/>
        <item t="default"/>
      </items>
    </pivotField>
    <pivotField dragToRow="0" dragToCol="0" dragToPage="0" showAll="0" defaultSubtotal="0"/>
  </pivotFields>
  <rowFields count="1">
    <field x="1"/>
  </rowFields>
  <rowItems count="8">
    <i>
      <x/>
    </i>
    <i>
      <x v="1"/>
    </i>
    <i>
      <x v="2"/>
    </i>
    <i>
      <x v="3"/>
    </i>
    <i>
      <x v="4"/>
    </i>
    <i>
      <x v="5"/>
    </i>
    <i>
      <x v="6"/>
    </i>
    <i t="grand">
      <x/>
    </i>
  </rowItems>
  <colItems count="1">
    <i/>
  </colItems>
  <dataFields count="1">
    <dataField name="Count of System"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69E078-93E1-4891-A3DF-E34A474AFBE6}" name="PivotTable1" cacheId="1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6:C11" firstHeaderRow="1" firstDataRow="1" firstDataCol="1"/>
  <pivotFields count="22">
    <pivotField showAll="0"/>
    <pivotField showAll="0">
      <items count="8">
        <item x="5"/>
        <item x="6"/>
        <item x="4"/>
        <item x="3"/>
        <item x="1"/>
        <item x="0"/>
        <item x="2"/>
        <item t="default"/>
      </items>
    </pivotField>
    <pivotField showAll="0"/>
    <pivotField axis="axisRow" dataField="1" showAll="0">
      <items count="5">
        <item x="3"/>
        <item x="0"/>
        <item x="2"/>
        <item x="1"/>
        <item t="default"/>
      </items>
    </pivotField>
    <pivotField showAll="0"/>
    <pivotField showAll="0">
      <items count="6">
        <item x="4"/>
        <item x="1"/>
        <item x="0"/>
        <item x="3"/>
        <item x="2"/>
        <item t="default"/>
      </items>
    </pivotField>
    <pivotField showAll="0"/>
    <pivotField numFmtId="14" showAll="0">
      <items count="547">
        <item x="90"/>
        <item x="15"/>
        <item m="1" x="374"/>
        <item x="295"/>
        <item x="84"/>
        <item x="133"/>
        <item x="31"/>
        <item m="1" x="486"/>
        <item m="1" x="538"/>
        <item m="1" x="378"/>
        <item x="297"/>
        <item m="1" x="424"/>
        <item m="1" x="385"/>
        <item x="106"/>
        <item m="1" x="453"/>
        <item m="1" x="377"/>
        <item m="1" x="490"/>
        <item m="1" x="351"/>
        <item x="245"/>
        <item x="314"/>
        <item m="1" x="470"/>
        <item m="1" x="432"/>
        <item m="1" x="541"/>
        <item m="1" x="534"/>
        <item x="24"/>
        <item x="221"/>
        <item m="1" x="391"/>
        <item m="1" x="383"/>
        <item m="1" x="436"/>
        <item x="226"/>
        <item x="97"/>
        <item m="1" x="349"/>
        <item x="288"/>
        <item m="1" x="511"/>
        <item m="1" x="332"/>
        <item x="270"/>
        <item m="1" x="390"/>
        <item m="1" x="519"/>
        <item x="225"/>
        <item x="236"/>
        <item x="66"/>
        <item m="1" x="336"/>
        <item x="204"/>
        <item m="1" x="425"/>
        <item x="89"/>
        <item m="1" x="405"/>
        <item x="149"/>
        <item m="1" x="469"/>
        <item x="39"/>
        <item x="205"/>
        <item m="1" x="491"/>
        <item m="1" x="387"/>
        <item x="83"/>
        <item m="1" x="522"/>
        <item m="1" x="442"/>
        <item x="80"/>
        <item m="1" x="545"/>
        <item m="1" x="443"/>
        <item x="51"/>
        <item x="44"/>
        <item x="23"/>
        <item x="156"/>
        <item x="186"/>
        <item m="1" x="439"/>
        <item x="291"/>
        <item x="81"/>
        <item x="182"/>
        <item x="216"/>
        <item x="136"/>
        <item m="1" x="496"/>
        <item x="244"/>
        <item m="1" x="422"/>
        <item x="201"/>
        <item x="38"/>
        <item m="1" x="339"/>
        <item x="68"/>
        <item x="200"/>
        <item m="1" x="481"/>
        <item m="1" x="346"/>
        <item m="1" x="416"/>
        <item x="247"/>
        <item m="1" x="411"/>
        <item x="2"/>
        <item x="107"/>
        <item m="1" x="505"/>
        <item m="1" x="329"/>
        <item x="87"/>
        <item x="123"/>
        <item x="43"/>
        <item m="1" x="360"/>
        <item m="1" x="348"/>
        <item m="1" x="504"/>
        <item m="1" x="402"/>
        <item x="30"/>
        <item x="312"/>
        <item m="1" x="518"/>
        <item m="1" x="386"/>
        <item x="311"/>
        <item m="1" x="513"/>
        <item m="1" x="408"/>
        <item m="1" x="478"/>
        <item x="265"/>
        <item x="103"/>
        <item x="171"/>
        <item m="1" x="396"/>
        <item m="1" x="395"/>
        <item m="1" x="335"/>
        <item x="315"/>
        <item m="1" x="340"/>
        <item x="233"/>
        <item x="285"/>
        <item m="1" x="437"/>
        <item m="1" x="381"/>
        <item m="1" x="354"/>
        <item m="1" x="467"/>
        <item m="1" x="540"/>
        <item m="1" x="452"/>
        <item m="1" x="392"/>
        <item x="82"/>
        <item m="1" x="372"/>
        <item x="62"/>
        <item x="286"/>
        <item x="48"/>
        <item x="298"/>
        <item m="1" x="528"/>
        <item m="1" x="449"/>
        <item x="166"/>
        <item m="1" x="389"/>
        <item x="309"/>
        <item m="1" x="427"/>
        <item x="318"/>
        <item x="116"/>
        <item x="17"/>
        <item x="138"/>
        <item m="1" x="404"/>
        <item m="1" x="544"/>
        <item x="157"/>
        <item m="1" x="440"/>
        <item x="78"/>
        <item x="79"/>
        <item m="1" x="421"/>
        <item m="1" x="461"/>
        <item m="1" x="471"/>
        <item x="262"/>
        <item x="22"/>
        <item m="1" x="468"/>
        <item x="292"/>
        <item x="143"/>
        <item x="219"/>
        <item m="1" x="502"/>
        <item x="252"/>
        <item x="179"/>
        <item m="1" x="345"/>
        <item x="29"/>
        <item m="1" x="498"/>
        <item x="105"/>
        <item m="1" x="543"/>
        <item x="11"/>
        <item x="65"/>
        <item x="150"/>
        <item x="190"/>
        <item m="1" x="356"/>
        <item x="240"/>
        <item x="280"/>
        <item x="175"/>
        <item x="300"/>
        <item x="170"/>
        <item x="263"/>
        <item m="1" x="375"/>
        <item x="234"/>
        <item m="1" x="503"/>
        <item m="1" x="533"/>
        <item m="1" x="535"/>
        <item x="239"/>
        <item m="1" x="458"/>
        <item x="59"/>
        <item x="253"/>
        <item m="1" x="362"/>
        <item m="1" x="352"/>
        <item x="86"/>
        <item x="163"/>
        <item x="210"/>
        <item m="1" x="330"/>
        <item x="305"/>
        <item m="1" x="398"/>
        <item x="276"/>
        <item x="1"/>
        <item x="279"/>
        <item x="117"/>
        <item x="269"/>
        <item m="1" x="515"/>
        <item x="69"/>
        <item x="187"/>
        <item x="303"/>
        <item m="1" x="530"/>
        <item x="144"/>
        <item m="1" x="441"/>
        <item x="255"/>
        <item m="1" x="428"/>
        <item x="28"/>
        <item x="5"/>
        <item m="1" x="366"/>
        <item x="296"/>
        <item m="1" x="406"/>
        <item x="194"/>
        <item x="273"/>
        <item m="1" x="537"/>
        <item x="173"/>
        <item m="1" x="401"/>
        <item m="1" x="382"/>
        <item m="1" x="523"/>
        <item x="232"/>
        <item x="164"/>
        <item x="71"/>
        <item m="1" x="494"/>
        <item x="196"/>
        <item x="264"/>
        <item m="1" x="417"/>
        <item x="70"/>
        <item m="1" x="487"/>
        <item x="277"/>
        <item x="281"/>
        <item x="217"/>
        <item x="191"/>
        <item m="1" x="536"/>
        <item x="58"/>
        <item m="1" x="368"/>
        <item m="1" x="388"/>
        <item x="88"/>
        <item x="3"/>
        <item x="76"/>
        <item x="158"/>
        <item m="1" x="508"/>
        <item x="10"/>
        <item x="261"/>
        <item x="135"/>
        <item m="1" x="369"/>
        <item m="1" x="433"/>
        <item x="108"/>
        <item m="1" x="464"/>
        <item x="317"/>
        <item m="1" x="435"/>
        <item x="168"/>
        <item x="6"/>
        <item x="202"/>
        <item x="161"/>
        <item m="1" x="472"/>
        <item x="72"/>
        <item x="85"/>
        <item m="1" x="434"/>
        <item x="40"/>
        <item x="140"/>
        <item x="146"/>
        <item x="199"/>
        <item m="1" x="438"/>
        <item x="32"/>
        <item x="55"/>
        <item m="1" x="418"/>
        <item x="274"/>
        <item x="213"/>
        <item x="320"/>
        <item x="54"/>
        <item x="271"/>
        <item x="104"/>
        <item m="1" x="412"/>
        <item x="147"/>
        <item x="98"/>
        <item m="1" x="488"/>
        <item x="93"/>
        <item x="272"/>
        <item m="1" x="499"/>
        <item x="132"/>
        <item x="126"/>
        <item x="301"/>
        <item x="13"/>
        <item m="1" x="430"/>
        <item x="214"/>
        <item x="18"/>
        <item m="1" x="431"/>
        <item x="8"/>
        <item x="207"/>
        <item x="91"/>
        <item x="46"/>
        <item m="1" x="394"/>
        <item x="74"/>
        <item x="268"/>
        <item x="322"/>
        <item x="306"/>
        <item x="218"/>
        <item x="290"/>
        <item m="1" x="384"/>
        <item m="1" x="333"/>
        <item m="1" x="485"/>
        <item x="101"/>
        <item x="53"/>
        <item x="308"/>
        <item m="1" x="358"/>
        <item m="1" x="359"/>
        <item x="56"/>
        <item x="172"/>
        <item m="1" x="474"/>
        <item x="111"/>
        <item x="0"/>
        <item x="258"/>
        <item x="174"/>
        <item x="131"/>
        <item m="1" x="455"/>
        <item x="60"/>
        <item m="1" x="524"/>
        <item m="1" x="350"/>
        <item x="94"/>
        <item x="307"/>
        <item x="148"/>
        <item m="1" x="514"/>
        <item x="282"/>
        <item x="36"/>
        <item m="1" x="507"/>
        <item m="1" x="426"/>
        <item x="99"/>
        <item m="1" x="542"/>
        <item x="113"/>
        <item x="92"/>
        <item m="1" x="376"/>
        <item m="1" x="355"/>
        <item x="160"/>
        <item x="125"/>
        <item x="189"/>
        <item x="178"/>
        <item x="293"/>
        <item m="1" x="448"/>
        <item x="159"/>
        <item m="1" x="446"/>
        <item x="137"/>
        <item x="176"/>
        <item x="102"/>
        <item x="256"/>
        <item m="1" x="454"/>
        <item x="212"/>
        <item m="1" x="342"/>
        <item x="4"/>
        <item x="180"/>
        <item x="257"/>
        <item m="1" x="510"/>
        <item x="222"/>
        <item x="12"/>
        <item x="134"/>
        <item m="1" x="413"/>
        <item x="75"/>
        <item x="27"/>
        <item m="1" x="343"/>
        <item x="37"/>
        <item m="1" x="495"/>
        <item m="1" x="334"/>
        <item x="323"/>
        <item m="1" x="466"/>
        <item x="251"/>
        <item x="25"/>
        <item x="141"/>
        <item x="224"/>
        <item x="319"/>
        <item x="259"/>
        <item m="1" x="347"/>
        <item m="1" x="331"/>
        <item x="115"/>
        <item x="139"/>
        <item x="45"/>
        <item m="1" x="357"/>
        <item x="229"/>
        <item m="1" x="353"/>
        <item m="1" x="475"/>
        <item m="1" x="419"/>
        <item x="184"/>
        <item x="325"/>
        <item m="1" x="516"/>
        <item m="1" x="525"/>
        <item x="294"/>
        <item x="35"/>
        <item m="1" x="506"/>
        <item m="1" x="420"/>
        <item m="1" x="379"/>
        <item x="20"/>
        <item x="153"/>
        <item x="209"/>
        <item m="1" x="338"/>
        <item m="1" x="512"/>
        <item m="1" x="397"/>
        <item m="1" x="344"/>
        <item m="1" x="341"/>
        <item x="228"/>
        <item m="1" x="484"/>
        <item m="1" x="451"/>
        <item m="1" x="371"/>
        <item x="67"/>
        <item x="145"/>
        <item m="1" x="492"/>
        <item x="129"/>
        <item m="1" x="460"/>
        <item x="246"/>
        <item m="1" x="409"/>
        <item x="124"/>
        <item x="243"/>
        <item m="1" x="373"/>
        <item x="188"/>
        <item m="1" x="457"/>
        <item m="1" x="521"/>
        <item m="1" x="370"/>
        <item x="167"/>
        <item x="151"/>
        <item x="181"/>
        <item m="1" x="423"/>
        <item x="165"/>
        <item m="1" x="509"/>
        <item m="1" x="400"/>
        <item x="121"/>
        <item x="122"/>
        <item x="316"/>
        <item x="169"/>
        <item x="192"/>
        <item x="278"/>
        <item x="109"/>
        <item x="310"/>
        <item x="73"/>
        <item m="1" x="393"/>
        <item m="1" x="476"/>
        <item m="1" x="477"/>
        <item x="96"/>
        <item x="302"/>
        <item x="267"/>
        <item x="203"/>
        <item x="241"/>
        <item m="1" x="529"/>
        <item x="183"/>
        <item m="1" x="493"/>
        <item m="1" x="489"/>
        <item x="154"/>
        <item x="41"/>
        <item m="1" x="501"/>
        <item m="1" x="367"/>
        <item x="112"/>
        <item x="237"/>
        <item x="235"/>
        <item x="304"/>
        <item m="1" x="444"/>
        <item m="1" x="482"/>
        <item m="1" x="459"/>
        <item x="250"/>
        <item m="1" x="365"/>
        <item x="7"/>
        <item x="185"/>
        <item m="1" x="380"/>
        <item x="223"/>
        <item m="1" x="500"/>
        <item x="206"/>
        <item x="242"/>
        <item m="1" x="399"/>
        <item m="1" x="410"/>
        <item x="198"/>
        <item x="283"/>
        <item x="321"/>
        <item m="1" x="479"/>
        <item m="1" x="337"/>
        <item x="42"/>
        <item x="47"/>
        <item x="227"/>
        <item x="16"/>
        <item x="230"/>
        <item x="155"/>
        <item x="120"/>
        <item m="1" x="483"/>
        <item x="118"/>
        <item x="220"/>
        <item x="19"/>
        <item m="1" x="450"/>
        <item x="128"/>
        <item x="50"/>
        <item m="1" x="526"/>
        <item x="211"/>
        <item x="208"/>
        <item x="127"/>
        <item m="1" x="527"/>
        <item x="260"/>
        <item x="324"/>
        <item x="299"/>
        <item x="248"/>
        <item x="289"/>
        <item x="64"/>
        <item m="1" x="407"/>
        <item m="1" x="465"/>
        <item m="1" x="415"/>
        <item x="195"/>
        <item x="275"/>
        <item m="1" x="539"/>
        <item m="1" x="364"/>
        <item x="110"/>
        <item m="1" x="520"/>
        <item x="215"/>
        <item x="49"/>
        <item x="130"/>
        <item x="57"/>
        <item x="287"/>
        <item x="77"/>
        <item x="14"/>
        <item x="249"/>
        <item x="197"/>
        <item m="1" x="517"/>
        <item x="162"/>
        <item x="313"/>
        <item m="1" x="462"/>
        <item x="119"/>
        <item x="61"/>
        <item x="326"/>
        <item m="1" x="463"/>
        <item x="142"/>
        <item x="254"/>
        <item x="231"/>
        <item x="100"/>
        <item m="1" x="445"/>
        <item m="1" x="497"/>
        <item m="1" x="447"/>
        <item m="1" x="473"/>
        <item x="193"/>
        <item m="1" x="531"/>
        <item m="1" x="328"/>
        <item m="1" x="480"/>
        <item x="177"/>
        <item x="21"/>
        <item x="114"/>
        <item x="238"/>
        <item x="33"/>
        <item m="1" x="414"/>
        <item x="266"/>
        <item m="1" x="363"/>
        <item x="9"/>
        <item m="1" x="456"/>
        <item m="1" x="532"/>
        <item x="26"/>
        <item m="1" x="403"/>
        <item x="152"/>
        <item x="284"/>
        <item x="95"/>
        <item x="52"/>
        <item x="63"/>
        <item x="327"/>
        <item x="34"/>
        <item m="1" x="361"/>
        <item m="1" x="429"/>
        <item t="default"/>
      </items>
    </pivotField>
    <pivotField showAll="0"/>
    <pivotField showAll="0"/>
    <pivotField showAll="0">
      <items count="6">
        <item x="3"/>
        <item x="0"/>
        <item x="1"/>
        <item x="4"/>
        <item x="2"/>
        <item t="default"/>
      </items>
    </pivotField>
    <pivotField showAll="0">
      <items count="7">
        <item x="3"/>
        <item x="1"/>
        <item x="0"/>
        <item x="5"/>
        <item x="4"/>
        <item x="2"/>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1"/>
        <item x="2"/>
        <item x="0"/>
        <item x="3"/>
        <item t="default"/>
      </items>
    </pivotField>
    <pivotField dragToRow="0" dragToCol="0" dragToPage="0" showAll="0" defaultSubtotal="0"/>
  </pivotFields>
  <rowFields count="1">
    <field x="3"/>
  </rowFields>
  <rowItems count="5">
    <i>
      <x/>
    </i>
    <i>
      <x v="1"/>
    </i>
    <i>
      <x v="2"/>
    </i>
    <i>
      <x v="3"/>
    </i>
    <i t="grand">
      <x/>
    </i>
  </rowItems>
  <colItems count="1">
    <i/>
  </colItems>
  <dataFields count="1">
    <dataField name="Count of Priority" fld="3" subtotal="count" baseField="0" baseItem="0"/>
  </dataFields>
  <chartFormats count="5">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 count="1" selected="0">
            <x v="3"/>
          </reference>
        </references>
      </pivotArea>
    </chartFormat>
    <chartFormat chart="3" format="2">
      <pivotArea type="data" outline="0" fieldPosition="0">
        <references count="2">
          <reference field="4294967294" count="1" selected="0">
            <x v="0"/>
          </reference>
          <reference field="3" count="1" selected="0">
            <x v="2"/>
          </reference>
        </references>
      </pivotArea>
    </chartFormat>
    <chartFormat chart="3" format="3">
      <pivotArea type="data" outline="0" fieldPosition="0">
        <references count="2">
          <reference field="4294967294" count="1" selected="0">
            <x v="0"/>
          </reference>
          <reference field="3" count="1" selected="0">
            <x v="1"/>
          </reference>
        </references>
      </pivotArea>
    </chartFormat>
    <chartFormat chart="3" format="4">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0F100C-B59E-4594-BCA5-8B7C7C24C399}" name="PivotTable4" cacheId="1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54:C75" firstHeaderRow="1" firstDataRow="1" firstDataCol="1"/>
  <pivotFields count="22">
    <pivotField dataField="1" showAll="0"/>
    <pivotField showAll="0">
      <items count="8">
        <item x="5"/>
        <item x="6"/>
        <item x="4"/>
        <item x="3"/>
        <item x="1"/>
        <item x="0"/>
        <item x="2"/>
        <item t="default"/>
      </items>
    </pivotField>
    <pivotField showAll="0"/>
    <pivotField showAll="0">
      <items count="5">
        <item x="1"/>
        <item x="2"/>
        <item x="3"/>
        <item x="0"/>
        <item t="default"/>
      </items>
    </pivotField>
    <pivotField showAll="0"/>
    <pivotField showAll="0">
      <items count="6">
        <item x="4"/>
        <item x="1"/>
        <item x="0"/>
        <item x="3"/>
        <item x="2"/>
        <item t="default"/>
      </items>
    </pivotField>
    <pivotField showAll="0"/>
    <pivotField numFmtId="14" showAll="0">
      <items count="547">
        <item x="90"/>
        <item x="15"/>
        <item m="1" x="374"/>
        <item x="295"/>
        <item x="84"/>
        <item x="133"/>
        <item x="31"/>
        <item m="1" x="486"/>
        <item m="1" x="538"/>
        <item m="1" x="378"/>
        <item x="297"/>
        <item m="1" x="424"/>
        <item m="1" x="385"/>
        <item x="106"/>
        <item m="1" x="453"/>
        <item m="1" x="377"/>
        <item m="1" x="490"/>
        <item m="1" x="351"/>
        <item x="245"/>
        <item x="314"/>
        <item m="1" x="470"/>
        <item m="1" x="432"/>
        <item m="1" x="541"/>
        <item m="1" x="534"/>
        <item x="24"/>
        <item x="221"/>
        <item m="1" x="391"/>
        <item m="1" x="383"/>
        <item m="1" x="436"/>
        <item x="226"/>
        <item x="97"/>
        <item m="1" x="349"/>
        <item x="288"/>
        <item m="1" x="511"/>
        <item m="1" x="332"/>
        <item x="270"/>
        <item m="1" x="390"/>
        <item m="1" x="519"/>
        <item x="225"/>
        <item x="236"/>
        <item x="66"/>
        <item m="1" x="336"/>
        <item x="204"/>
        <item m="1" x="425"/>
        <item x="89"/>
        <item m="1" x="405"/>
        <item x="149"/>
        <item m="1" x="469"/>
        <item x="39"/>
        <item x="205"/>
        <item m="1" x="491"/>
        <item m="1" x="387"/>
        <item x="83"/>
        <item m="1" x="522"/>
        <item m="1" x="442"/>
        <item x="80"/>
        <item m="1" x="545"/>
        <item m="1" x="443"/>
        <item x="51"/>
        <item x="44"/>
        <item x="23"/>
        <item x="156"/>
        <item x="186"/>
        <item m="1" x="439"/>
        <item x="291"/>
        <item x="81"/>
        <item x="182"/>
        <item x="216"/>
        <item x="136"/>
        <item m="1" x="496"/>
        <item x="244"/>
        <item m="1" x="422"/>
        <item x="201"/>
        <item x="38"/>
        <item m="1" x="339"/>
        <item x="68"/>
        <item x="200"/>
        <item m="1" x="481"/>
        <item m="1" x="346"/>
        <item m="1" x="416"/>
        <item x="247"/>
        <item m="1" x="411"/>
        <item x="2"/>
        <item x="107"/>
        <item m="1" x="505"/>
        <item m="1" x="329"/>
        <item x="87"/>
        <item x="123"/>
        <item x="43"/>
        <item m="1" x="360"/>
        <item m="1" x="348"/>
        <item m="1" x="504"/>
        <item m="1" x="402"/>
        <item x="30"/>
        <item x="312"/>
        <item m="1" x="518"/>
        <item m="1" x="386"/>
        <item x="311"/>
        <item m="1" x="513"/>
        <item m="1" x="408"/>
        <item m="1" x="478"/>
        <item x="265"/>
        <item x="103"/>
        <item x="171"/>
        <item m="1" x="396"/>
        <item m="1" x="395"/>
        <item m="1" x="335"/>
        <item x="315"/>
        <item m="1" x="340"/>
        <item x="233"/>
        <item x="285"/>
        <item m="1" x="437"/>
        <item m="1" x="381"/>
        <item m="1" x="354"/>
        <item m="1" x="467"/>
        <item m="1" x="540"/>
        <item m="1" x="452"/>
        <item m="1" x="392"/>
        <item x="82"/>
        <item m="1" x="372"/>
        <item x="62"/>
        <item x="286"/>
        <item x="48"/>
        <item x="298"/>
        <item m="1" x="528"/>
        <item m="1" x="449"/>
        <item x="166"/>
        <item m="1" x="389"/>
        <item x="309"/>
        <item m="1" x="427"/>
        <item x="318"/>
        <item x="116"/>
        <item x="17"/>
        <item x="138"/>
        <item m="1" x="404"/>
        <item m="1" x="544"/>
        <item x="157"/>
        <item m="1" x="440"/>
        <item x="78"/>
        <item x="79"/>
        <item m="1" x="421"/>
        <item m="1" x="461"/>
        <item m="1" x="471"/>
        <item x="262"/>
        <item x="22"/>
        <item m="1" x="468"/>
        <item x="292"/>
        <item x="143"/>
        <item x="219"/>
        <item m="1" x="502"/>
        <item x="252"/>
        <item x="179"/>
        <item m="1" x="345"/>
        <item x="29"/>
        <item m="1" x="498"/>
        <item x="105"/>
        <item m="1" x="543"/>
        <item x="11"/>
        <item x="65"/>
        <item x="150"/>
        <item x="190"/>
        <item m="1" x="356"/>
        <item x="240"/>
        <item x="280"/>
        <item x="175"/>
        <item x="300"/>
        <item x="170"/>
        <item x="263"/>
        <item m="1" x="375"/>
        <item x="234"/>
        <item m="1" x="503"/>
        <item m="1" x="533"/>
        <item m="1" x="535"/>
        <item x="239"/>
        <item m="1" x="458"/>
        <item x="59"/>
        <item x="253"/>
        <item m="1" x="362"/>
        <item m="1" x="352"/>
        <item x="86"/>
        <item x="163"/>
        <item x="210"/>
        <item m="1" x="330"/>
        <item x="305"/>
        <item m="1" x="398"/>
        <item x="276"/>
        <item x="1"/>
        <item x="279"/>
        <item x="117"/>
        <item x="269"/>
        <item m="1" x="515"/>
        <item x="69"/>
        <item x="187"/>
        <item x="303"/>
        <item m="1" x="530"/>
        <item x="144"/>
        <item m="1" x="441"/>
        <item x="255"/>
        <item m="1" x="428"/>
        <item x="28"/>
        <item x="5"/>
        <item m="1" x="366"/>
        <item x="296"/>
        <item m="1" x="406"/>
        <item x="194"/>
        <item x="273"/>
        <item m="1" x="537"/>
        <item x="173"/>
        <item m="1" x="401"/>
        <item m="1" x="382"/>
        <item m="1" x="523"/>
        <item x="232"/>
        <item x="164"/>
        <item x="71"/>
        <item m="1" x="494"/>
        <item x="196"/>
        <item x="264"/>
        <item m="1" x="417"/>
        <item x="70"/>
        <item m="1" x="487"/>
        <item x="277"/>
        <item x="281"/>
        <item x="217"/>
        <item x="191"/>
        <item m="1" x="536"/>
        <item x="58"/>
        <item m="1" x="368"/>
        <item m="1" x="388"/>
        <item x="88"/>
        <item x="3"/>
        <item x="76"/>
        <item x="158"/>
        <item m="1" x="508"/>
        <item x="10"/>
        <item x="261"/>
        <item x="135"/>
        <item m="1" x="369"/>
        <item m="1" x="433"/>
        <item x="108"/>
        <item m="1" x="464"/>
        <item x="317"/>
        <item m="1" x="435"/>
        <item x="168"/>
        <item x="6"/>
        <item x="202"/>
        <item x="161"/>
        <item m="1" x="472"/>
        <item x="72"/>
        <item x="85"/>
        <item m="1" x="434"/>
        <item x="40"/>
        <item x="140"/>
        <item x="146"/>
        <item x="199"/>
        <item m="1" x="438"/>
        <item x="32"/>
        <item x="55"/>
        <item m="1" x="418"/>
        <item x="274"/>
        <item x="213"/>
        <item x="320"/>
        <item x="54"/>
        <item x="271"/>
        <item x="104"/>
        <item m="1" x="412"/>
        <item x="147"/>
        <item x="98"/>
        <item m="1" x="488"/>
        <item x="93"/>
        <item x="272"/>
        <item m="1" x="499"/>
        <item x="132"/>
        <item x="126"/>
        <item x="301"/>
        <item x="13"/>
        <item m="1" x="430"/>
        <item x="214"/>
        <item x="18"/>
        <item m="1" x="431"/>
        <item x="8"/>
        <item x="207"/>
        <item x="91"/>
        <item x="46"/>
        <item m="1" x="394"/>
        <item x="74"/>
        <item x="268"/>
        <item x="322"/>
        <item x="306"/>
        <item x="218"/>
        <item x="290"/>
        <item m="1" x="384"/>
        <item m="1" x="333"/>
        <item m="1" x="485"/>
        <item x="101"/>
        <item x="53"/>
        <item x="308"/>
        <item m="1" x="358"/>
        <item m="1" x="359"/>
        <item x="56"/>
        <item x="172"/>
        <item m="1" x="474"/>
        <item x="111"/>
        <item x="0"/>
        <item x="258"/>
        <item x="174"/>
        <item x="131"/>
        <item m="1" x="455"/>
        <item x="60"/>
        <item m="1" x="524"/>
        <item m="1" x="350"/>
        <item x="94"/>
        <item x="307"/>
        <item x="148"/>
        <item m="1" x="514"/>
        <item x="282"/>
        <item x="36"/>
        <item m="1" x="507"/>
        <item m="1" x="426"/>
        <item x="99"/>
        <item m="1" x="542"/>
        <item x="113"/>
        <item x="92"/>
        <item m="1" x="376"/>
        <item m="1" x="355"/>
        <item x="160"/>
        <item x="125"/>
        <item x="189"/>
        <item x="178"/>
        <item x="293"/>
        <item m="1" x="448"/>
        <item x="159"/>
        <item m="1" x="446"/>
        <item x="137"/>
        <item x="176"/>
        <item x="102"/>
        <item x="256"/>
        <item m="1" x="454"/>
        <item x="212"/>
        <item m="1" x="342"/>
        <item x="4"/>
        <item x="180"/>
        <item x="257"/>
        <item m="1" x="510"/>
        <item x="222"/>
        <item x="12"/>
        <item x="134"/>
        <item m="1" x="413"/>
        <item x="75"/>
        <item x="27"/>
        <item m="1" x="343"/>
        <item x="37"/>
        <item m="1" x="495"/>
        <item m="1" x="334"/>
        <item x="323"/>
        <item m="1" x="466"/>
        <item x="251"/>
        <item x="25"/>
        <item x="141"/>
        <item x="224"/>
        <item x="319"/>
        <item x="259"/>
        <item m="1" x="347"/>
        <item m="1" x="331"/>
        <item x="115"/>
        <item x="139"/>
        <item x="45"/>
        <item m="1" x="357"/>
        <item x="229"/>
        <item m="1" x="353"/>
        <item m="1" x="475"/>
        <item m="1" x="419"/>
        <item x="184"/>
        <item x="325"/>
        <item m="1" x="516"/>
        <item m="1" x="525"/>
        <item x="294"/>
        <item x="35"/>
        <item m="1" x="506"/>
        <item m="1" x="420"/>
        <item m="1" x="379"/>
        <item x="20"/>
        <item x="153"/>
        <item x="209"/>
        <item m="1" x="338"/>
        <item m="1" x="512"/>
        <item m="1" x="397"/>
        <item m="1" x="344"/>
        <item m="1" x="341"/>
        <item x="228"/>
        <item m="1" x="484"/>
        <item m="1" x="451"/>
        <item m="1" x="371"/>
        <item x="67"/>
        <item x="145"/>
        <item m="1" x="492"/>
        <item x="129"/>
        <item m="1" x="460"/>
        <item x="246"/>
        <item m="1" x="409"/>
        <item x="124"/>
        <item x="243"/>
        <item m="1" x="373"/>
        <item x="188"/>
        <item m="1" x="457"/>
        <item m="1" x="521"/>
        <item m="1" x="370"/>
        <item x="167"/>
        <item x="151"/>
        <item x="181"/>
        <item m="1" x="423"/>
        <item x="165"/>
        <item m="1" x="509"/>
        <item m="1" x="400"/>
        <item x="121"/>
        <item x="122"/>
        <item x="316"/>
        <item x="169"/>
        <item x="192"/>
        <item x="278"/>
        <item x="109"/>
        <item x="310"/>
        <item x="73"/>
        <item m="1" x="393"/>
        <item m="1" x="476"/>
        <item m="1" x="477"/>
        <item x="96"/>
        <item x="302"/>
        <item x="267"/>
        <item x="203"/>
        <item x="241"/>
        <item m="1" x="529"/>
        <item x="183"/>
        <item m="1" x="493"/>
        <item m="1" x="489"/>
        <item x="154"/>
        <item x="41"/>
        <item m="1" x="501"/>
        <item m="1" x="367"/>
        <item x="112"/>
        <item x="237"/>
        <item x="235"/>
        <item x="304"/>
        <item m="1" x="444"/>
        <item m="1" x="482"/>
        <item m="1" x="459"/>
        <item x="250"/>
        <item m="1" x="365"/>
        <item x="7"/>
        <item x="185"/>
        <item m="1" x="380"/>
        <item x="223"/>
        <item m="1" x="500"/>
        <item x="206"/>
        <item x="242"/>
        <item m="1" x="399"/>
        <item m="1" x="410"/>
        <item x="198"/>
        <item x="283"/>
        <item x="321"/>
        <item m="1" x="479"/>
        <item m="1" x="337"/>
        <item x="42"/>
        <item x="47"/>
        <item x="227"/>
        <item x="16"/>
        <item x="230"/>
        <item x="155"/>
        <item x="120"/>
        <item m="1" x="483"/>
        <item x="118"/>
        <item x="220"/>
        <item x="19"/>
        <item m="1" x="450"/>
        <item x="128"/>
        <item x="50"/>
        <item m="1" x="526"/>
        <item x="211"/>
        <item x="208"/>
        <item x="127"/>
        <item m="1" x="527"/>
        <item x="260"/>
        <item x="324"/>
        <item x="299"/>
        <item x="248"/>
        <item x="289"/>
        <item x="64"/>
        <item m="1" x="407"/>
        <item m="1" x="465"/>
        <item m="1" x="415"/>
        <item x="195"/>
        <item x="275"/>
        <item m="1" x="539"/>
        <item m="1" x="364"/>
        <item x="110"/>
        <item m="1" x="520"/>
        <item x="215"/>
        <item x="49"/>
        <item x="130"/>
        <item x="57"/>
        <item x="287"/>
        <item x="77"/>
        <item x="14"/>
        <item x="249"/>
        <item x="197"/>
        <item m="1" x="517"/>
        <item x="162"/>
        <item x="313"/>
        <item m="1" x="462"/>
        <item x="119"/>
        <item x="61"/>
        <item x="326"/>
        <item m="1" x="463"/>
        <item x="142"/>
        <item x="254"/>
        <item x="231"/>
        <item x="100"/>
        <item m="1" x="445"/>
        <item m="1" x="497"/>
        <item m="1" x="447"/>
        <item m="1" x="473"/>
        <item x="193"/>
        <item m="1" x="531"/>
        <item m="1" x="328"/>
        <item m="1" x="480"/>
        <item x="177"/>
        <item x="21"/>
        <item x="114"/>
        <item x="238"/>
        <item x="33"/>
        <item m="1" x="414"/>
        <item x="266"/>
        <item m="1" x="363"/>
        <item x="9"/>
        <item m="1" x="456"/>
        <item m="1" x="532"/>
        <item x="26"/>
        <item m="1" x="403"/>
        <item x="152"/>
        <item x="284"/>
        <item x="95"/>
        <item x="52"/>
        <item x="63"/>
        <item x="327"/>
        <item x="34"/>
        <item m="1" x="361"/>
        <item m="1" x="429"/>
        <item t="default"/>
      </items>
    </pivotField>
    <pivotField showAll="0"/>
    <pivotField showAll="0"/>
    <pivotField showAll="0">
      <items count="6">
        <item x="3"/>
        <item x="0"/>
        <item x="1"/>
        <item x="4"/>
        <item x="2"/>
        <item t="default"/>
      </items>
    </pivotField>
    <pivotField showAll="0">
      <items count="7">
        <item x="3"/>
        <item x="1"/>
        <item x="0"/>
        <item x="5"/>
        <item x="4"/>
        <item x="2"/>
        <item t="default"/>
      </items>
    </pivotField>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1"/>
        <item x="2"/>
        <item x="0"/>
        <item x="3"/>
        <item t="default"/>
      </items>
    </pivotField>
    <pivotField dragToRow="0" dragToCol="0" dragToPage="0" showAll="0" defaultSubtotal="0"/>
  </pivotFields>
  <rowFields count="2">
    <field x="20"/>
    <field x="19"/>
  </rowFields>
  <rowItems count="21">
    <i>
      <x/>
    </i>
    <i r="1">
      <x v="1"/>
    </i>
    <i r="1">
      <x v="2"/>
    </i>
    <i r="1">
      <x v="3"/>
    </i>
    <i r="1">
      <x v="4"/>
    </i>
    <i r="1">
      <x v="5"/>
    </i>
    <i r="1">
      <x v="6"/>
    </i>
    <i r="1">
      <x v="7"/>
    </i>
    <i r="1">
      <x v="8"/>
    </i>
    <i r="1">
      <x v="9"/>
    </i>
    <i r="1">
      <x v="10"/>
    </i>
    <i r="1">
      <x v="11"/>
    </i>
    <i r="1">
      <x v="12"/>
    </i>
    <i>
      <x v="1"/>
    </i>
    <i r="1">
      <x v="1"/>
    </i>
    <i r="1">
      <x v="2"/>
    </i>
    <i r="1">
      <x v="3"/>
    </i>
    <i r="1">
      <x v="4"/>
    </i>
    <i r="1">
      <x v="5"/>
    </i>
    <i r="1">
      <x v="6"/>
    </i>
    <i t="grand">
      <x/>
    </i>
  </rowItems>
  <colItems count="1">
    <i/>
  </colItems>
  <dataFields count="1">
    <dataField name="Count of Ticket ID" fld="0" subtotal="count" baseField="0" baseItem="0"/>
  </dataFields>
  <chartFormats count="1">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ystem" xr10:uid="{4537A902-3A12-414C-9C5C-2870A3D8A75B}" sourceName="System">
  <pivotTables>
    <pivotTable tabId="3" name="PivotTable1"/>
    <pivotTable tabId="3" name="PivotTable3"/>
    <pivotTable tabId="3" name="PivotTable4"/>
    <pivotTable tabId="3" name="PivotTable5"/>
  </pivotTables>
  <data>
    <tabular pivotCacheId="442795575">
      <items count="7">
        <i x="5" s="1"/>
        <i x="6" s="1"/>
        <i x="4" s="1"/>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1529D31B-DD84-4C9B-81DB-CCD44FE7517D}" sourceName="Priority">
  <pivotTables>
    <pivotTable tabId="3" name="PivotTable1"/>
    <pivotTable tabId="3" name="PivotTable3"/>
    <pivotTable tabId="3" name="PivotTable4"/>
    <pivotTable tabId="3" name="PivotTable5"/>
  </pivotTables>
  <data>
    <tabular pivotCacheId="442795575">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B4E9B92-8168-485C-A967-F23186866A21}" sourceName="Region">
  <pivotTables>
    <pivotTable tabId="3" name="PivotTable1"/>
    <pivotTable tabId="3" name="PivotTable3"/>
    <pivotTable tabId="3" name="PivotTable4"/>
    <pivotTable tabId="3" name="PivotTable5"/>
  </pivotTables>
  <data>
    <tabular pivotCacheId="442795575">
      <items count="5">
        <i x="4" s="1"/>
        <i x="1" s="1"/>
        <i x="0"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F4D452A9-88D5-48ED-AD67-E4BF80147A4F}" sourceName="Status">
  <pivotTables>
    <pivotTable tabId="3" name="PivotTable1"/>
    <pivotTable tabId="3" name="PivotTable3"/>
    <pivotTable tabId="3" name="PivotTable4"/>
    <pivotTable tabId="3" name="PivotTable5"/>
  </pivotTables>
  <data>
    <tabular pivotCacheId="442795575">
      <items count="5">
        <i x="3" s="1"/>
        <i x="0" s="1"/>
        <i x="1" s="1"/>
        <i x="4"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ed_Analyst" xr10:uid="{AF2B778B-C412-48F3-8125-23902696747D}" sourceName="Assigned Analyst">
  <pivotTables>
    <pivotTable tabId="3" name="PivotTable1"/>
    <pivotTable tabId="3" name="PivotTable3"/>
    <pivotTable tabId="3" name="PivotTable4"/>
    <pivotTable tabId="3" name="PivotTable5"/>
  </pivotTables>
  <data>
    <tabular pivotCacheId="442795575">
      <items count="6">
        <i x="3" s="1"/>
        <i x="1" s="1"/>
        <i x="0" s="1"/>
        <i x="5"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ystem" xr10:uid="{56C7B46F-6469-49A4-A7C1-57B02D170395}" cache="Slicer_System" caption="System" rowHeight="257175"/>
  <slicer name="Priority" xr10:uid="{C205DF98-C544-4CA6-836D-D484D723ED79}" cache="Slicer_Priority" caption="Priority" rowHeight="257175"/>
  <slicer name="Region" xr10:uid="{B721B448-8981-4A4C-8433-3BF61CE3ECF6}" cache="Slicer_Region" caption="Region" rowHeight="257175"/>
  <slicer name="Status" xr10:uid="{3BAB0D78-392D-498A-AA9C-4ED7FD87124F}" cache="Slicer_Status" caption="Status" rowHeight="257175"/>
  <slicer name="Assigned Analyst" xr10:uid="{39A86930-7F25-4138-AB73-0C1CAC26F86D}" cache="Slicer_Assigned_Analyst" caption="Assigned Analyst"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04838C-A24E-439C-B359-65F8378CF4B1}" name="IncidentTable" displayName="IncidentTable" ref="A1:S500" totalsRowShown="0">
  <autoFilter ref="A1:S500" xr:uid="{F904838C-A24E-439C-B359-65F8378CF4B1}"/>
  <tableColumns count="19">
    <tableColumn id="1" xr3:uid="{94FEAB5E-B4C0-41A3-8CF3-5CF8E8B035E7}" name="Ticket ID">
      <calculatedColumnFormula>"INC"&amp;TEXT(RANDBETWEEN(100000,999999),"000000")</calculatedColumnFormula>
    </tableColumn>
    <tableColumn id="2" xr3:uid="{F2099AC9-6A6C-46BA-8C42-8FED440DA48D}" name="System" dataDxfId="15">
      <calculatedColumnFormula array="1">INDEX(SystemList,RANDBETWEEN(1,ROWS(SystemList)))</calculatedColumnFormula>
    </tableColumn>
    <tableColumn id="3" xr3:uid="{0614001F-38DA-47AA-B02E-52A69298196F}" name="Issue Type" dataDxfId="14">
      <calculatedColumnFormula array="1">INDEX(IssueTypeList,RANDBETWEEN(1,ROWS(IssueTypeList)))</calculatedColumnFormula>
    </tableColumn>
    <tableColumn id="4" xr3:uid="{3BC4C2A6-CAF3-409D-BBC4-B4086E71C937}" name="Priority" dataDxfId="13">
      <calculatedColumnFormula array="1">INDEX(PriorityList,RANDBETWEEN(1,ROWS(PriorityList)))</calculatedColumnFormula>
    </tableColumn>
    <tableColumn id="5" xr3:uid="{D1102708-29E8-4EB4-8E24-6A099E7C9E66}" name="Severity" dataDxfId="12">
      <calculatedColumnFormula array="1">INDEX(SeverityList,RANDBETWEEN(1,ROWS(SeverityList)))</calculatedColumnFormula>
    </tableColumn>
    <tableColumn id="6" xr3:uid="{DC25910F-8B30-4FA7-8336-EDC555599134}" name="Region" dataDxfId="11">
      <calculatedColumnFormula array="1">INDEX(RegionList,RANDBETWEEN(1,ROWS(RegionList)))</calculatedColumnFormula>
    </tableColumn>
    <tableColumn id="7" xr3:uid="{9A1A819D-7AAB-412B-A845-D49883AC8559}" name="Department" dataDxfId="10">
      <calculatedColumnFormula array="1">INDEX(DepartmentList,RANDBETWEEN(1,ROWS(DepartmentList)))</calculatedColumnFormula>
    </tableColumn>
    <tableColumn id="8" xr3:uid="{791DDA91-8885-4FD3-A008-70C414FD086D}" name="Created Date">
      <calculatedColumnFormula>DATE(2023,1,1)+RANDBETWEEN(0,545)</calculatedColumnFormula>
    </tableColumn>
    <tableColumn id="9" xr3:uid="{C6E74B44-390F-49DD-8F3C-EC538C54C223}" name="Resolved Date" dataDxfId="9">
      <calculatedColumnFormula>IF(IncidentTable[[#This Row],[Resolution Time (Days)]]="","",IncidentTable[[#This Row],[Created Date]]+IncidentTable[[#This Row],[Resolution Time (Days)]])</calculatedColumnFormula>
    </tableColumn>
    <tableColumn id="10" xr3:uid="{FAF48BD4-33C6-4883-AC9F-54395FDD3E71}" name="Resolution Time (Days)" dataDxfId="8">
      <calculatedColumnFormula>IF(OR(IncidentTable[[#This Row],[Status]]="Resolved",IncidentTable[[#This Row],[Status]]="Closed"),RANDBETWEEN(1,120),"")</calculatedColumnFormula>
    </tableColumn>
    <tableColumn id="11" xr3:uid="{8EA0BDEC-1F2B-4EC7-AE81-7D9C74D6B88E}" name="Status" dataDxfId="7">
      <calculatedColumnFormula>CHOOSE(RANDBETWEEN(1,5),"Open","In Progress","Pending","Resolved","Closed")</calculatedColumnFormula>
    </tableColumn>
    <tableColumn id="12" xr3:uid="{81CC9D46-25B6-4039-8DD1-1C6A7033CEE1}" name="Assigned Analyst" dataDxfId="6">
      <calculatedColumnFormula array="1">INDEX(AnalystList,RANDBETWEEN(1,ROWS(AnalystList)))</calculatedColumnFormula>
    </tableColumn>
    <tableColumn id="13" xr3:uid="{5256DF7C-7346-475C-9098-17E440787E2B}" name="Root Cause Category" dataDxfId="5">
      <calculatedColumnFormula array="1">INDEX(RootCauseList,RANDBETWEEN(1,ROWS(RootCauseList)))</calculatedColumnFormula>
    </tableColumn>
    <tableColumn id="14" xr3:uid="{A953B746-68A9-4682-97BF-40FB3110AA2D}" name="Estimated Impact ($)">
      <calculatedColumnFormula>ROUND(RANDBETWEEN(500,50000)*(RAND()^3),2)</calculatedColumnFormula>
    </tableColumn>
    <tableColumn id="15" xr3:uid="{262A541C-6878-49C3-A72B-492318343CCC}" name="Actual Impact ($)" dataDxfId="0">
      <calculatedColumnFormula>IF(OR(IncidentTable[[#This Row],[Status]]="Resolved",IncidentTable[[#This Row],[Status]]="Closed"),
ROUND(IncidentTable[[#This Row],[Estimated Impact ($)]]*(1+RANDBETWEEN(-15,25)/100)+RAND(),2),
"")</calculatedColumnFormula>
    </tableColumn>
    <tableColumn id="16" xr3:uid="{B7AD8B37-1C68-4F6C-9EC7-8CECB60A796A}" name="Variance ($)" dataDxfId="1">
      <calculatedColumnFormula>IF(IncidentTable[[#This Row],[Actual Impact ($)]]="","",ROUND(IncidentTable[[#This Row],[Actual Impact ($)]]-IncidentTable[[#This Row],[Estimated Impact ($)]],2))</calculatedColumnFormula>
    </tableColumn>
    <tableColumn id="17" xr3:uid="{10CC3AB9-A629-472E-A52F-7D7649D165F4}" name="Variance (%)" dataDxfId="4">
      <calculatedColumnFormula>IF(IncidentTable[[#This Row],[Actual Impact ($)]]="","",(IncidentTable[[#This Row],[Actual Impact ($)]]-IncidentTable[[#This Row],[Estimated Impact ($)]]) / IncidentTable[[#This Row],[Estimated Impact ($)]])</calculatedColumnFormula>
    </tableColumn>
    <tableColumn id="18" xr3:uid="{3865E52F-AC57-45AD-8F31-7095F65AF863}" name="SLA Target (Days)" dataDxfId="3">
      <calculatedColumnFormula>IF(IncidentTable[[#This Row],[Priority]]="Critical",1,
IF(IncidentTable[[#This Row],[Priority]]="High",3,
IF(IncidentTable[[#This Row],[Priority]]="Medium",5,
IF(IncidentTable[[#This Row],[Priority]]="Low",10,""))))</calculatedColumnFormula>
    </tableColumn>
    <tableColumn id="19" xr3:uid="{7D3F0055-A30D-458D-BA71-BA16273067DE}" name="SLA Met" dataDxfId="2">
      <calculatedColumnFormula>IF(IncidentTable[[#This Row],[Resolution Time (Days)]]="","",
IF(IncidentTable[[#This Row],[Resolution Time (Days)]]&lt;=IncidentTable[[#This Row],[SLA Target (Days)]],"Yes","No"))</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DA7638-AC37-4CD0-9832-F0F97F1DE651}" name="SystemLookup" displayName="SystemLookup" ref="A1:A8" totalsRowShown="0">
  <autoFilter ref="A1:A8" xr:uid="{53DA7638-AC37-4CD0-9832-F0F97F1DE651}"/>
  <tableColumns count="1">
    <tableColumn id="1" xr3:uid="{5523CF74-C65C-41B2-9188-2E0DE23F808B}" name="System"/>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8B39174-50BE-42F8-9DF2-10028E55E48A}" name="IssueLookup" displayName="IssueLookup" ref="B1:B9" totalsRowShown="0">
  <autoFilter ref="B1:B9" xr:uid="{98B39174-50BE-42F8-9DF2-10028E55E48A}"/>
  <tableColumns count="1">
    <tableColumn id="1" xr3:uid="{F5CFD14B-2377-45B0-B882-BB9E31977EA6}" name="Issu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8D588F-E7AF-4C31-B1F2-7B32DE4660D8}" name="PriorityLookup" displayName="PriorityLookup" ref="C1:C5" totalsRowShown="0">
  <autoFilter ref="C1:C5" xr:uid="{138D588F-E7AF-4C31-B1F2-7B32DE4660D8}"/>
  <tableColumns count="1">
    <tableColumn id="1" xr3:uid="{8C2A84BB-0D93-4422-9917-72CF96564509}" name="Priority"/>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C810603-CA72-41DD-B0EB-026D7D5740DA}" name="SeverityLookup" displayName="SeverityLookup" ref="D1:D5" totalsRowShown="0">
  <autoFilter ref="D1:D5" xr:uid="{6C810603-CA72-41DD-B0EB-026D7D5740DA}"/>
  <tableColumns count="1">
    <tableColumn id="1" xr3:uid="{97B3F477-EDB5-42E0-AC1A-FA90A3995786}" name="Severity"/>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F273A78-360E-48DB-9A1B-07D4A05F56E1}" name="RegionLookup" displayName="RegionLookup" ref="E1:E6" totalsRowShown="0">
  <autoFilter ref="E1:E6" xr:uid="{AF273A78-360E-48DB-9A1B-07D4A05F56E1}"/>
  <tableColumns count="1">
    <tableColumn id="1" xr3:uid="{41D884B7-FD8D-4AB5-80EA-10B964E19148}" name="Regio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2F0DEFC-41D7-4BFB-B7E5-352ECDC2647A}" name="DepartmentLookup" displayName="DepartmentLookup" ref="F1:F7" totalsRowShown="0">
  <autoFilter ref="F1:F7" xr:uid="{62F0DEFC-41D7-4BFB-B7E5-352ECDC2647A}"/>
  <tableColumns count="1">
    <tableColumn id="1" xr3:uid="{141AD592-F9F9-46F1-942C-E6930865BA95}" name="Department"/>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3D568FE-FC40-4F88-871A-F59B8CE22697}" name="AnalystLookup" displayName="AnalystLookup" ref="G1:G7" totalsRowShown="0">
  <autoFilter ref="G1:G7" xr:uid="{73D568FE-FC40-4F88-871A-F59B8CE22697}"/>
  <tableColumns count="1">
    <tableColumn id="1" xr3:uid="{7D9069C8-F1C5-4941-9C28-C519C11686CA}" name="Analyst"/>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86CB9E9-DB9E-4072-A141-B5AD3D3B3973}" name="RootCauseLookup" displayName="RootCauseLookup" ref="H1:H9" totalsRowShown="0">
  <autoFilter ref="H1:H9" xr:uid="{286CB9E9-DB9E-4072-A141-B5AD3D3B3973}"/>
  <tableColumns count="1">
    <tableColumn id="1" xr3:uid="{4AF8DC4F-5619-4B55-B0F9-3702627B3C07}" name="Root Caus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F2AB5-7047-4B57-8FFC-0BFD9084F799}">
  <dimension ref="A1:S500"/>
  <sheetViews>
    <sheetView topLeftCell="G236" workbookViewId="0">
      <selection activeCell="P237" sqref="P236:P500"/>
    </sheetView>
  </sheetViews>
  <sheetFormatPr defaultRowHeight="15" x14ac:dyDescent="0.25"/>
  <cols>
    <col min="1" max="1" width="11" customWidth="1"/>
    <col min="2" max="2" width="18.7109375" customWidth="1"/>
    <col min="3" max="3" width="17.7109375" customWidth="1"/>
    <col min="4" max="4" width="9.7109375" customWidth="1"/>
    <col min="5" max="5" width="10.5703125" customWidth="1"/>
    <col min="6" max="6" width="9.42578125" customWidth="1"/>
    <col min="7" max="7" width="15.85546875" customWidth="1"/>
    <col min="8" max="8" width="15.140625" customWidth="1"/>
    <col min="9" max="9" width="16.28515625" customWidth="1"/>
    <col min="10" max="10" width="24.140625" customWidth="1"/>
    <col min="11" max="11" width="9.140625" customWidth="1"/>
    <col min="12" max="12" width="18.28515625" customWidth="1"/>
    <col min="13" max="13" width="22.140625" customWidth="1"/>
    <col min="14" max="14" width="21.7109375" customWidth="1"/>
    <col min="15" max="15" width="18.140625" customWidth="1"/>
    <col min="16" max="16" width="13.7109375" customWidth="1"/>
    <col min="17" max="17" width="14.28515625" customWidth="1"/>
    <col min="18" max="18" width="18.7109375" customWidth="1"/>
    <col min="19" max="19" width="10.28515625"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t="str">
        <f ca="1">"INC"&amp;TEXT(RANDBETWEEN(100000,999999),"000000")</f>
        <v>INC505750</v>
      </c>
      <c r="B2" t="str" cm="1">
        <f t="array" aca="1" ref="B2" ca="1">INDEX(SystemList,RANDBETWEEN(1,ROWS(SystemList)))</f>
        <v>Payment Processing</v>
      </c>
      <c r="C2" t="str" cm="1">
        <f t="array" aca="1" ref="C2" ca="1">INDEX(IssueTypeList,RANDBETWEEN(1,ROWS(IssueTypeList)))</f>
        <v>User Access Issue</v>
      </c>
      <c r="D2" t="str" cm="1">
        <f t="array" aca="1" ref="D2" ca="1">INDEX(PriorityList,RANDBETWEEN(1,ROWS(PriorityList)))</f>
        <v>High</v>
      </c>
      <c r="E2" t="str" cm="1">
        <f t="array" aca="1" ref="E2" ca="1">INDEX(SeverityList,RANDBETWEEN(1,ROWS(SeverityList)))</f>
        <v>Critical</v>
      </c>
      <c r="F2" t="str" cm="1">
        <f t="array" aca="1" ref="F2" ca="1">INDEX(RegionList,RANDBETWEEN(1,ROWS(RegionList)))</f>
        <v>Midwest</v>
      </c>
      <c r="G2" t="str" cm="1">
        <f t="array" aca="1" ref="G2" ca="1">INDEX(DepartmentList,RANDBETWEEN(1,ROWS(DepartmentList)))</f>
        <v>IT</v>
      </c>
      <c r="H2" s="1">
        <f ca="1">DATE(2023,1,1)+RANDBETWEEN(0,545)</f>
        <v>45334</v>
      </c>
      <c r="I2" s="4" t="str">
        <f ca="1">IF(IncidentTable[[#This Row],[Resolution Time (Days)]]="","",IncidentTable[[#This Row],[Created Date]]+IncidentTable[[#This Row],[Resolution Time (Days)]])</f>
        <v/>
      </c>
      <c r="J2" t="str">
        <f ca="1">IF(OR(IncidentTable[[#This Row],[Status]]="Resolved",IncidentTable[[#This Row],[Status]]="Closed"),RANDBETWEEN(1,120),"")</f>
        <v/>
      </c>
      <c r="K2" t="str">
        <f t="shared" ref="K2:K65" ca="1" si="0">CHOOSE(RANDBETWEEN(1,5),"Open","In Progress","Pending","Resolved","Closed")</f>
        <v>In Progress</v>
      </c>
      <c r="L2" t="str" cm="1">
        <f t="array" aca="1" ref="L2" ca="1">INDEX(AnalystList,RANDBETWEEN(1,ROWS(AnalystList)))</f>
        <v>Alex Johnson</v>
      </c>
      <c r="M2" t="str" cm="1">
        <f t="array" aca="1" ref="M2" ca="1">INDEX(RootCauseList,RANDBETWEEN(1,ROWS(RootCauseList)))</f>
        <v>Configuration Issue</v>
      </c>
      <c r="N2">
        <f ca="1">ROUND(RANDBETWEEN(500,50000)*(RAND()^3),2)</f>
        <v>4.12</v>
      </c>
      <c r="O2" t="str">
        <f ca="1">IF(OR(IncidentTable[[#This Row],[Status]]="Resolved",IncidentTable[[#This Row],[Status]]="Closed"),
ROUND(IncidentTable[[#This Row],[Estimated Impact ($)]]*(1+RANDBETWEEN(-15,25)/100)+RAND(),2),
"")</f>
        <v/>
      </c>
      <c r="P2" t="str">
        <f ca="1">IF(IncidentTable[[#This Row],[Actual Impact ($)]]="","",ROUND(IncidentTable[[#This Row],[Actual Impact ($)]]-IncidentTable[[#This Row],[Estimated Impact ($)]],2))</f>
        <v/>
      </c>
      <c r="Q2" s="2" t="str">
        <f ca="1">IF(IncidentTable[[#This Row],[Actual Impact ($)]]="","",(IncidentTable[[#This Row],[Actual Impact ($)]]-IncidentTable[[#This Row],[Estimated Impact ($)]]) / IncidentTable[[#This Row],[Estimated Impact ($)]])</f>
        <v/>
      </c>
      <c r="R2" s="3">
        <f ca="1">IF(IncidentTable[[#This Row],[Priority]]="Critical",1,
IF(IncidentTable[[#This Row],[Priority]]="High",3,
IF(IncidentTable[[#This Row],[Priority]]="Medium",5,
IF(IncidentTable[[#This Row],[Priority]]="Low",10,""))))</f>
        <v>3</v>
      </c>
      <c r="S2" t="str">
        <f ca="1">IF(IncidentTable[[#This Row],[Resolution Time (Days)]]="","",
IF(IncidentTable[[#This Row],[Resolution Time (Days)]]&lt;=IncidentTable[[#This Row],[SLA Target (Days)]],"Yes","No"))</f>
        <v/>
      </c>
    </row>
    <row r="3" spans="1:19" x14ac:dyDescent="0.25">
      <c r="A3" t="str">
        <f t="shared" ref="A3:A66" ca="1" si="1">"INC"&amp;TEXT(RANDBETWEEN(100000,999999),"000000")</f>
        <v>INC260011</v>
      </c>
      <c r="B3" t="str" cm="1">
        <f t="array" aca="1" ref="B3" ca="1">INDEX(SystemList,RANDBETWEEN(1,ROWS(SystemList)))</f>
        <v>Customer Portal</v>
      </c>
      <c r="C3" t="str" cm="1">
        <f t="array" aca="1" ref="C3" ca="1">INDEX(IssueTypeList,RANDBETWEEN(1,ROWS(IssueTypeList)))</f>
        <v>Performance Issue</v>
      </c>
      <c r="D3" t="str" cm="1">
        <f t="array" aca="1" ref="D3" ca="1">INDEX(PriorityList,RANDBETWEEN(1,ROWS(PriorityList)))</f>
        <v>Critical</v>
      </c>
      <c r="E3" t="str" cm="1">
        <f t="array" aca="1" ref="E3" ca="1">INDEX(SeverityList,RANDBETWEEN(1,ROWS(SeverityList)))</f>
        <v>Critical</v>
      </c>
      <c r="F3" t="str" cm="1">
        <f t="array" aca="1" ref="F3" ca="1">INDEX(RegionList,RANDBETWEEN(1,ROWS(RegionList)))</f>
        <v>West</v>
      </c>
      <c r="G3" t="str" cm="1">
        <f t="array" aca="1" ref="G3" ca="1">INDEX(DepartmentList,RANDBETWEEN(1,ROWS(DepartmentList)))</f>
        <v>IT</v>
      </c>
      <c r="H3" s="1">
        <f t="shared" ref="H3:H66" ca="1" si="2">DATE(2023,1,1)+RANDBETWEEN(0,545)</f>
        <v>45332</v>
      </c>
      <c r="I3" s="4">
        <f ca="1">IF(IncidentTable[[#This Row],[Resolution Time (Days)]]="","",IncidentTable[[#This Row],[Created Date]]+IncidentTable[[#This Row],[Resolution Time (Days)]])</f>
        <v>45349</v>
      </c>
      <c r="J3">
        <f ca="1">IF(OR(IncidentTable[[#This Row],[Status]]="Resolved",IncidentTable[[#This Row],[Status]]="Closed"),RANDBETWEEN(1,120),"")</f>
        <v>17</v>
      </c>
      <c r="K3" t="str">
        <f t="shared" ca="1" si="0"/>
        <v>Closed</v>
      </c>
      <c r="L3" t="str" cm="1">
        <f t="array" aca="1" ref="L3" ca="1">INDEX(AnalystList,RANDBETWEEN(1,ROWS(AnalystList)))</f>
        <v>Riley Wilson</v>
      </c>
      <c r="M3" t="str" cm="1">
        <f t="array" aca="1" ref="M3" ca="1">INDEX(RootCauseList,RANDBETWEEN(1,ROWS(RootCauseList)))</f>
        <v>Configuration Issue</v>
      </c>
      <c r="N3">
        <f t="shared" ref="N3:N66" ca="1" si="3">ROUND(RANDBETWEEN(500,50000)*(RAND()^3),2)</f>
        <v>8896.77</v>
      </c>
      <c r="O3">
        <f ca="1">IF(OR(IncidentTable[[#This Row],[Status]]="Resolved",IncidentTable[[#This Row],[Status]]="Closed"),
ROUND(IncidentTable[[#This Row],[Estimated Impact ($)]]*(1+RANDBETWEEN(-15,25)/100)+RAND(),2),
"")</f>
        <v>9164.65</v>
      </c>
      <c r="P3">
        <f ca="1">IF(IncidentTable[[#This Row],[Actual Impact ($)]]="","",ROUND(IncidentTable[[#This Row],[Actual Impact ($)]]-IncidentTable[[#This Row],[Estimated Impact ($)]],2))</f>
        <v>267.88</v>
      </c>
      <c r="Q3" s="2">
        <f ca="1">IF(IncidentTable[[#This Row],[Actual Impact ($)]]="","",(IncidentTable[[#This Row],[Actual Impact ($)]]-IncidentTable[[#This Row],[Estimated Impact ($)]]) / IncidentTable[[#This Row],[Estimated Impact ($)]])</f>
        <v>3.0109803895121398E-2</v>
      </c>
      <c r="R3" s="3">
        <f ca="1">IF(IncidentTable[[#This Row],[Priority]]="Critical",1,
IF(IncidentTable[[#This Row],[Priority]]="High",3,
IF(IncidentTable[[#This Row],[Priority]]="Medium",5,
IF(IncidentTable[[#This Row],[Priority]]="Low",10,""))))</f>
        <v>1</v>
      </c>
      <c r="S3" t="str">
        <f ca="1">IF(IncidentTable[[#This Row],[Resolution Time (Days)]]="","",
IF(IncidentTable[[#This Row],[Resolution Time (Days)]]&lt;=IncidentTable[[#This Row],[SLA Target (Days)]],"Yes","No"))</f>
        <v>No</v>
      </c>
    </row>
    <row r="4" spans="1:19" x14ac:dyDescent="0.25">
      <c r="A4" t="str">
        <f t="shared" ca="1" si="1"/>
        <v>INC884532</v>
      </c>
      <c r="B4" t="str" cm="1">
        <f t="array" aca="1" ref="B4" ca="1">INDEX(SystemList,RANDBETWEEN(1,ROWS(SystemList)))</f>
        <v>Payment Processing</v>
      </c>
      <c r="C4" t="str" cm="1">
        <f t="array" aca="1" ref="C4" ca="1">INDEX(IssueTypeList,RANDBETWEEN(1,ROWS(IssueTypeList)))</f>
        <v>Processing Delay</v>
      </c>
      <c r="D4" t="str" cm="1">
        <f t="array" aca="1" ref="D4" ca="1">INDEX(PriorityList,RANDBETWEEN(1,ROWS(PriorityList)))</f>
        <v>Medium</v>
      </c>
      <c r="E4" t="str" cm="1">
        <f t="array" aca="1" ref="E4" ca="1">INDEX(SeverityList,RANDBETWEEN(1,ROWS(SeverityList)))</f>
        <v>Minor</v>
      </c>
      <c r="F4" t="str" cm="1">
        <f t="array" aca="1" ref="F4" ca="1">INDEX(RegionList,RANDBETWEEN(1,ROWS(RegionList)))</f>
        <v>Midwest</v>
      </c>
      <c r="G4" t="str" cm="1">
        <f t="array" aca="1" ref="G4" ca="1">INDEX(DepartmentList,RANDBETWEEN(1,ROWS(DepartmentList)))</f>
        <v>Claims</v>
      </c>
      <c r="H4" s="1">
        <f t="shared" ca="1" si="2"/>
        <v>45416</v>
      </c>
      <c r="I4" s="4" t="str">
        <f ca="1">IF(IncidentTable[[#This Row],[Resolution Time (Days)]]="","",IncidentTable[[#This Row],[Created Date]]+IncidentTable[[#This Row],[Resolution Time (Days)]])</f>
        <v/>
      </c>
      <c r="J4" t="str">
        <f ca="1">IF(OR(IncidentTable[[#This Row],[Status]]="Resolved",IncidentTable[[#This Row],[Status]]="Closed"),RANDBETWEEN(1,120),"")</f>
        <v/>
      </c>
      <c r="K4" t="str">
        <f t="shared" ca="1" si="0"/>
        <v>Open</v>
      </c>
      <c r="L4" t="str" cm="1">
        <f t="array" aca="1" ref="L4" ca="1">INDEX(AnalystList,RANDBETWEEN(1,ROWS(AnalystList)))</f>
        <v>Casey Brown</v>
      </c>
      <c r="M4" t="str" cm="1">
        <f t="array" aca="1" ref="M4" ca="1">INDEX(RootCauseList,RANDBETWEEN(1,ROWS(RootCauseList)))</f>
        <v>Network Failure</v>
      </c>
      <c r="N4">
        <f t="shared" ca="1" si="3"/>
        <v>13958.74</v>
      </c>
      <c r="O4" t="str">
        <f ca="1">IF(OR(IncidentTable[[#This Row],[Status]]="Resolved",IncidentTable[[#This Row],[Status]]="Closed"),
ROUND(IncidentTable[[#This Row],[Estimated Impact ($)]]*(1+RANDBETWEEN(-15,25)/100)+RAND(),2),
"")</f>
        <v/>
      </c>
      <c r="P4" t="str">
        <f ca="1">IF(IncidentTable[[#This Row],[Actual Impact ($)]]="","",ROUND(IncidentTable[[#This Row],[Actual Impact ($)]]-IncidentTable[[#This Row],[Estimated Impact ($)]],2))</f>
        <v/>
      </c>
      <c r="Q4" s="2" t="str">
        <f ca="1">IF(IncidentTable[[#This Row],[Actual Impact ($)]]="","",(IncidentTable[[#This Row],[Actual Impact ($)]]-IncidentTable[[#This Row],[Estimated Impact ($)]]) / IncidentTable[[#This Row],[Estimated Impact ($)]])</f>
        <v/>
      </c>
      <c r="R4" s="3">
        <f ca="1">IF(IncidentTable[[#This Row],[Priority]]="Critical",1,
IF(IncidentTable[[#This Row],[Priority]]="High",3,
IF(IncidentTable[[#This Row],[Priority]]="Medium",5,
IF(IncidentTable[[#This Row],[Priority]]="Low",10,""))))</f>
        <v>5</v>
      </c>
      <c r="S4" t="str">
        <f ca="1">IF(IncidentTable[[#This Row],[Resolution Time (Days)]]="","",
IF(IncidentTable[[#This Row],[Resolution Time (Days)]]&lt;=IncidentTable[[#This Row],[SLA Target (Days)]],"Yes","No"))</f>
        <v/>
      </c>
    </row>
    <row r="5" spans="1:19" x14ac:dyDescent="0.25">
      <c r="A5" t="str">
        <f t="shared" ca="1" si="1"/>
        <v>INC735346</v>
      </c>
      <c r="B5" t="str" cm="1">
        <f t="array" aca="1" ref="B5" ca="1">INDEX(SystemList,RANDBETWEEN(1,ROWS(SystemList)))</f>
        <v>Regulatory System</v>
      </c>
      <c r="C5" t="str" cm="1">
        <f t="array" aca="1" ref="C5" ca="1">INDEX(IssueTypeList,RANDBETWEEN(1,ROWS(IssueTypeList)))</f>
        <v>Complaint</v>
      </c>
      <c r="D5" t="str" cm="1">
        <f t="array" aca="1" ref="D5" ca="1">INDEX(PriorityList,RANDBETWEEN(1,ROWS(PriorityList)))</f>
        <v>Critical</v>
      </c>
      <c r="E5" t="str" cm="1">
        <f t="array" aca="1" ref="E5" ca="1">INDEX(SeverityList,RANDBETWEEN(1,ROWS(SeverityList)))</f>
        <v>Moderate</v>
      </c>
      <c r="F5" t="str" cm="1">
        <f t="array" aca="1" ref="F5" ca="1">INDEX(RegionList,RANDBETWEEN(1,ROWS(RegionList)))</f>
        <v>Central</v>
      </c>
      <c r="G5" t="str" cm="1">
        <f t="array" aca="1" ref="G5" ca="1">INDEX(DepartmentList,RANDBETWEEN(1,ROWS(DepartmentList)))</f>
        <v>IT</v>
      </c>
      <c r="H5" s="1">
        <f t="shared" ca="1" si="2"/>
        <v>44950</v>
      </c>
      <c r="I5" s="4">
        <f ca="1">IF(IncidentTable[[#This Row],[Resolution Time (Days)]]="","",IncidentTable[[#This Row],[Created Date]]+IncidentTable[[#This Row],[Resolution Time (Days)]])</f>
        <v>44955</v>
      </c>
      <c r="J5">
        <f ca="1">IF(OR(IncidentTable[[#This Row],[Status]]="Resolved",IncidentTable[[#This Row],[Status]]="Closed"),RANDBETWEEN(1,120),"")</f>
        <v>5</v>
      </c>
      <c r="K5" t="str">
        <f t="shared" ca="1" si="0"/>
        <v>Closed</v>
      </c>
      <c r="L5" t="str" cm="1">
        <f t="array" aca="1" ref="L5" ca="1">INDEX(AnalystList,RANDBETWEEN(1,ROWS(AnalystList)))</f>
        <v>Taylor Smith</v>
      </c>
      <c r="M5" t="str" cm="1">
        <f t="array" aca="1" ref="M5" ca="1">INDEX(RootCauseList,RANDBETWEEN(1,ROWS(RootCauseList)))</f>
        <v>Network Failure</v>
      </c>
      <c r="N5">
        <f t="shared" ca="1" si="3"/>
        <v>1851.63</v>
      </c>
      <c r="O5">
        <f ca="1">IF(OR(IncidentTable[[#This Row],[Status]]="Resolved",IncidentTable[[#This Row],[Status]]="Closed"),
ROUND(IncidentTable[[#This Row],[Estimated Impact ($)]]*(1+RANDBETWEEN(-15,25)/100)+RAND(),2),
"")</f>
        <v>2204.34</v>
      </c>
      <c r="P5">
        <f ca="1">IF(IncidentTable[[#This Row],[Actual Impact ($)]]="","",ROUND(IncidentTable[[#This Row],[Actual Impact ($)]]-IncidentTable[[#This Row],[Estimated Impact ($)]],2))</f>
        <v>352.71</v>
      </c>
      <c r="Q5" s="2">
        <f ca="1">IF(IncidentTable[[#This Row],[Actual Impact ($)]]="","",(IncidentTable[[#This Row],[Actual Impact ($)]]-IncidentTable[[#This Row],[Estimated Impact ($)]]) / IncidentTable[[#This Row],[Estimated Impact ($)]])</f>
        <v>0.19048622024918585</v>
      </c>
      <c r="R5" s="3">
        <f ca="1">IF(IncidentTable[[#This Row],[Priority]]="Critical",1,
IF(IncidentTable[[#This Row],[Priority]]="High",3,
IF(IncidentTable[[#This Row],[Priority]]="Medium",5,
IF(IncidentTable[[#This Row],[Priority]]="Low",10,""))))</f>
        <v>1</v>
      </c>
      <c r="S5" t="str">
        <f ca="1">IF(IncidentTable[[#This Row],[Resolution Time (Days)]]="","",
IF(IncidentTable[[#This Row],[Resolution Time (Days)]]&lt;=IncidentTable[[#This Row],[SLA Target (Days)]],"Yes","No"))</f>
        <v>No</v>
      </c>
    </row>
    <row r="6" spans="1:19" x14ac:dyDescent="0.25">
      <c r="A6" t="str">
        <f t="shared" ca="1" si="1"/>
        <v>INC376198</v>
      </c>
      <c r="B6" t="str" cm="1">
        <f t="array" aca="1" ref="B6" ca="1">INDEX(SystemList,RANDBETWEEN(1,ROWS(SystemList)))</f>
        <v>Policy Admin System</v>
      </c>
      <c r="C6" t="str" cm="1">
        <f t="array" aca="1" ref="C6" ca="1">INDEX(IssueTypeList,RANDBETWEEN(1,ROWS(IssueTypeList)))</f>
        <v>Complaint</v>
      </c>
      <c r="D6" t="str" cm="1">
        <f t="array" aca="1" ref="D6" ca="1">INDEX(PriorityList,RANDBETWEEN(1,ROWS(PriorityList)))</f>
        <v>Medium</v>
      </c>
      <c r="E6" t="str" cm="1">
        <f t="array" aca="1" ref="E6" ca="1">INDEX(SeverityList,RANDBETWEEN(1,ROWS(SeverityList)))</f>
        <v>Moderate</v>
      </c>
      <c r="F6" t="str" cm="1">
        <f t="array" aca="1" ref="F6" ca="1">INDEX(RegionList,RANDBETWEEN(1,ROWS(RegionList)))</f>
        <v>Central</v>
      </c>
      <c r="G6" t="str" cm="1">
        <f t="array" aca="1" ref="G6" ca="1">INDEX(DepartmentList,RANDBETWEEN(1,ROWS(DepartmentList)))</f>
        <v>Billing</v>
      </c>
      <c r="H6" s="1">
        <f t="shared" ca="1" si="2"/>
        <v>45232</v>
      </c>
      <c r="I6" s="4">
        <f ca="1">IF(IncidentTable[[#This Row],[Resolution Time (Days)]]="","",IncidentTable[[#This Row],[Created Date]]+IncidentTable[[#This Row],[Resolution Time (Days)]])</f>
        <v>45343</v>
      </c>
      <c r="J6">
        <f ca="1">IF(OR(IncidentTable[[#This Row],[Status]]="Resolved",IncidentTable[[#This Row],[Status]]="Closed"),RANDBETWEEN(1,120),"")</f>
        <v>111</v>
      </c>
      <c r="K6" t="str">
        <f t="shared" ca="1" si="0"/>
        <v>Resolved</v>
      </c>
      <c r="L6" t="str" cm="1">
        <f t="array" aca="1" ref="L6" ca="1">INDEX(AnalystList,RANDBETWEEN(1,ROWS(AnalystList)))</f>
        <v>Casey Brown</v>
      </c>
      <c r="M6" t="str" cm="1">
        <f t="array" aca="1" ref="M6" ca="1">INDEX(RootCauseList,RANDBETWEEN(1,ROWS(RootCauseList)))</f>
        <v>Process Gap</v>
      </c>
      <c r="N6">
        <f t="shared" ca="1" si="3"/>
        <v>22130.84</v>
      </c>
      <c r="O6">
        <f ca="1">IF(OR(IncidentTable[[#This Row],[Status]]="Resolved",IncidentTable[[#This Row],[Status]]="Closed"),
ROUND(IncidentTable[[#This Row],[Estimated Impact ($)]]*(1+RANDBETWEEN(-15,25)/100)+RAND(),2),
"")</f>
        <v>26778.5</v>
      </c>
      <c r="P6">
        <f ca="1">IF(IncidentTable[[#This Row],[Actual Impact ($)]]="","",ROUND(IncidentTable[[#This Row],[Actual Impact ($)]]-IncidentTable[[#This Row],[Estimated Impact ($)]],2))</f>
        <v>4647.66</v>
      </c>
      <c r="Q6" s="2">
        <f ca="1">IF(IncidentTable[[#This Row],[Actual Impact ($)]]="","",(IncidentTable[[#This Row],[Actual Impact ($)]]-IncidentTable[[#This Row],[Estimated Impact ($)]]) / IncidentTable[[#This Row],[Estimated Impact ($)]])</f>
        <v>0.21000829611528526</v>
      </c>
      <c r="R6" s="3">
        <f ca="1">IF(IncidentTable[[#This Row],[Priority]]="Critical",1,
IF(IncidentTable[[#This Row],[Priority]]="High",3,
IF(IncidentTable[[#This Row],[Priority]]="Medium",5,
IF(IncidentTable[[#This Row],[Priority]]="Low",10,""))))</f>
        <v>5</v>
      </c>
      <c r="S6" t="str">
        <f ca="1">IF(IncidentTable[[#This Row],[Resolution Time (Days)]]="","",
IF(IncidentTable[[#This Row],[Resolution Time (Days)]]&lt;=IncidentTable[[#This Row],[SLA Target (Days)]],"Yes","No"))</f>
        <v>No</v>
      </c>
    </row>
    <row r="7" spans="1:19" x14ac:dyDescent="0.25">
      <c r="A7" t="str">
        <f t="shared" ca="1" si="1"/>
        <v>INC795886</v>
      </c>
      <c r="B7" t="str" cm="1">
        <f t="array" aca="1" ref="B7" ca="1">INDEX(SystemList,RANDBETWEEN(1,ROWS(SystemList)))</f>
        <v>Billing System</v>
      </c>
      <c r="C7" t="str" cm="1">
        <f t="array" aca="1" ref="C7" ca="1">INDEX(IssueTypeList,RANDBETWEEN(1,ROWS(IssueTypeList)))</f>
        <v>Data Issue</v>
      </c>
      <c r="D7" t="str" cm="1">
        <f t="array" aca="1" ref="D7" ca="1">INDEX(PriorityList,RANDBETWEEN(1,ROWS(PriorityList)))</f>
        <v>Low</v>
      </c>
      <c r="E7" t="str" cm="1">
        <f t="array" aca="1" ref="E7" ca="1">INDEX(SeverityList,RANDBETWEEN(1,ROWS(SeverityList)))</f>
        <v>Moderate</v>
      </c>
      <c r="F7" t="str" cm="1">
        <f t="array" aca="1" ref="F7" ca="1">INDEX(RegionList,RANDBETWEEN(1,ROWS(RegionList)))</f>
        <v>East</v>
      </c>
      <c r="G7" t="str" cm="1">
        <f t="array" aca="1" ref="G7" ca="1">INDEX(DepartmentList,RANDBETWEEN(1,ROWS(DepartmentList)))</f>
        <v>Claims</v>
      </c>
      <c r="H7" s="1">
        <f t="shared" ca="1" si="2"/>
        <v>45370</v>
      </c>
      <c r="I7" s="4" t="str">
        <f ca="1">IF(IncidentTable[[#This Row],[Resolution Time (Days)]]="","",IncidentTable[[#This Row],[Created Date]]+IncidentTable[[#This Row],[Resolution Time (Days)]])</f>
        <v/>
      </c>
      <c r="J7" t="str">
        <f ca="1">IF(OR(IncidentTable[[#This Row],[Status]]="Resolved",IncidentTable[[#This Row],[Status]]="Closed"),RANDBETWEEN(1,120),"")</f>
        <v/>
      </c>
      <c r="K7" t="str">
        <f t="shared" ca="1" si="0"/>
        <v>In Progress</v>
      </c>
      <c r="L7" t="str" cm="1">
        <f t="array" aca="1" ref="L7" ca="1">INDEX(AnalystList,RANDBETWEEN(1,ROWS(AnalystList)))</f>
        <v>Taylor Smith</v>
      </c>
      <c r="M7" t="str" cm="1">
        <f t="array" aca="1" ref="M7" ca="1">INDEX(RootCauseList,RANDBETWEEN(1,ROWS(RootCauseList)))</f>
        <v>System Bug</v>
      </c>
      <c r="N7">
        <f t="shared" ca="1" si="3"/>
        <v>39365.800000000003</v>
      </c>
      <c r="O7" t="str">
        <f ca="1">IF(OR(IncidentTable[[#This Row],[Status]]="Resolved",IncidentTable[[#This Row],[Status]]="Closed"),
ROUND(IncidentTable[[#This Row],[Estimated Impact ($)]]*(1+RANDBETWEEN(-15,25)/100)+RAND(),2),
"")</f>
        <v/>
      </c>
      <c r="P7" t="str">
        <f ca="1">IF(IncidentTable[[#This Row],[Actual Impact ($)]]="","",ROUND(IncidentTable[[#This Row],[Actual Impact ($)]]-IncidentTable[[#This Row],[Estimated Impact ($)]],2))</f>
        <v/>
      </c>
      <c r="Q7" s="2" t="str">
        <f ca="1">IF(IncidentTable[[#This Row],[Actual Impact ($)]]="","",(IncidentTable[[#This Row],[Actual Impact ($)]]-IncidentTable[[#This Row],[Estimated Impact ($)]]) / IncidentTable[[#This Row],[Estimated Impact ($)]])</f>
        <v/>
      </c>
      <c r="R7" s="3">
        <f ca="1">IF(IncidentTable[[#This Row],[Priority]]="Critical",1,
IF(IncidentTable[[#This Row],[Priority]]="High",3,
IF(IncidentTable[[#This Row],[Priority]]="Medium",5,
IF(IncidentTable[[#This Row],[Priority]]="Low",10,""))))</f>
        <v>10</v>
      </c>
      <c r="S7" t="str">
        <f ca="1">IF(IncidentTable[[#This Row],[Resolution Time (Days)]]="","",
IF(IncidentTable[[#This Row],[Resolution Time (Days)]]&lt;=IncidentTable[[#This Row],[SLA Target (Days)]],"Yes","No"))</f>
        <v/>
      </c>
    </row>
    <row r="8" spans="1:19" x14ac:dyDescent="0.25">
      <c r="A8" t="str">
        <f t="shared" ca="1" si="1"/>
        <v>INC894497</v>
      </c>
      <c r="B8" t="str" cm="1">
        <f t="array" aca="1" ref="B8" ca="1">INDEX(SystemList,RANDBETWEEN(1,ROWS(SystemList)))</f>
        <v>Billing System</v>
      </c>
      <c r="C8" t="str" cm="1">
        <f t="array" aca="1" ref="C8" ca="1">INDEX(IssueTypeList,RANDBETWEEN(1,ROWS(IssueTypeList)))</f>
        <v>Data Issue</v>
      </c>
      <c r="D8" t="str" cm="1">
        <f t="array" aca="1" ref="D8" ca="1">INDEX(PriorityList,RANDBETWEEN(1,ROWS(PriorityList)))</f>
        <v>Critical</v>
      </c>
      <c r="E8" t="str" cm="1">
        <f t="array" aca="1" ref="E8" ca="1">INDEX(SeverityList,RANDBETWEEN(1,ROWS(SeverityList)))</f>
        <v>Major</v>
      </c>
      <c r="F8" t="str" cm="1">
        <f t="array" aca="1" ref="F8" ca="1">INDEX(RegionList,RANDBETWEEN(1,ROWS(RegionList)))</f>
        <v>Midwest</v>
      </c>
      <c r="G8" t="str" cm="1">
        <f t="array" aca="1" ref="G8" ca="1">INDEX(DepartmentList,RANDBETWEEN(1,ROWS(DepartmentList)))</f>
        <v>Billing</v>
      </c>
      <c r="H8" s="1">
        <f t="shared" ca="1" si="2"/>
        <v>45427</v>
      </c>
      <c r="I8" s="4">
        <f ca="1">IF(IncidentTable[[#This Row],[Resolution Time (Days)]]="","",IncidentTable[[#This Row],[Created Date]]+IncidentTable[[#This Row],[Resolution Time (Days)]])</f>
        <v>45442</v>
      </c>
      <c r="J8">
        <f ca="1">IF(OR(IncidentTable[[#This Row],[Status]]="Resolved",IncidentTable[[#This Row],[Status]]="Closed"),RANDBETWEEN(1,120),"")</f>
        <v>15</v>
      </c>
      <c r="K8" t="str">
        <f ca="1">CHOOSE(RANDBETWEEN(1,5),"Open","In Progress","Pending","Resolved","Closed")</f>
        <v>Closed</v>
      </c>
      <c r="L8" t="str" cm="1">
        <f t="array" aca="1" ref="L8" ca="1">INDEX(AnalystList,RANDBETWEEN(1,ROWS(AnalystList)))</f>
        <v>Morgan Davis</v>
      </c>
      <c r="M8" t="str" cm="1">
        <f t="array" aca="1" ref="M8" ca="1">INDEX(RootCauseList,RANDBETWEEN(1,ROWS(RootCauseList)))</f>
        <v>User Error</v>
      </c>
      <c r="N8">
        <f t="shared" ca="1" si="3"/>
        <v>6665.55</v>
      </c>
      <c r="O8">
        <f ca="1">IF(OR(IncidentTable[[#This Row],[Status]]="Resolved",IncidentTable[[#This Row],[Status]]="Closed"),
ROUND(IncidentTable[[#This Row],[Estimated Impact ($)]]*(1+RANDBETWEEN(-15,25)/100)+RAND(),2),
"")</f>
        <v>7532.5</v>
      </c>
      <c r="P8">
        <f ca="1">IF(IncidentTable[[#This Row],[Actual Impact ($)]]="","",ROUND(IncidentTable[[#This Row],[Actual Impact ($)]]-IncidentTable[[#This Row],[Estimated Impact ($)]],2))</f>
        <v>866.95</v>
      </c>
      <c r="Q8" s="2">
        <f ca="1">IF(IncidentTable[[#This Row],[Actual Impact ($)]]="","",(IncidentTable[[#This Row],[Actual Impact ($)]]-IncidentTable[[#This Row],[Estimated Impact ($)]]) / IncidentTable[[#This Row],[Estimated Impact ($)]])</f>
        <v>0.13006428576786608</v>
      </c>
      <c r="R8" s="3">
        <f ca="1">IF(IncidentTable[[#This Row],[Priority]]="Critical",1,
IF(IncidentTable[[#This Row],[Priority]]="High",3,
IF(IncidentTable[[#This Row],[Priority]]="Medium",5,
IF(IncidentTable[[#This Row],[Priority]]="Low",10,""))))</f>
        <v>1</v>
      </c>
      <c r="S8" t="str">
        <f ca="1">IF(IncidentTable[[#This Row],[Resolution Time (Days)]]="","",
IF(IncidentTable[[#This Row],[Resolution Time (Days)]]&lt;=IncidentTable[[#This Row],[SLA Target (Days)]],"Yes","No"))</f>
        <v>No</v>
      </c>
    </row>
    <row r="9" spans="1:19" x14ac:dyDescent="0.25">
      <c r="A9" t="str">
        <f t="shared" ca="1" si="1"/>
        <v>INC361298</v>
      </c>
      <c r="B9" t="str" cm="1">
        <f t="array" aca="1" ref="B9" ca="1">INDEX(SystemList,RANDBETWEEN(1,ROWS(SystemList)))</f>
        <v>Claims System</v>
      </c>
      <c r="C9" t="str" cm="1">
        <f t="array" aca="1" ref="C9" ca="1">INDEX(IssueTypeList,RANDBETWEEN(1,ROWS(IssueTypeList)))</f>
        <v>Complaint</v>
      </c>
      <c r="D9" t="str" cm="1">
        <f t="array" aca="1" ref="D9" ca="1">INDEX(PriorityList,RANDBETWEEN(1,ROWS(PriorityList)))</f>
        <v>Critical</v>
      </c>
      <c r="E9" t="str" cm="1">
        <f t="array" aca="1" ref="E9" ca="1">INDEX(SeverityList,RANDBETWEEN(1,ROWS(SeverityList)))</f>
        <v>Moderate</v>
      </c>
      <c r="F9" t="str" cm="1">
        <f t="array" aca="1" ref="F9" ca="1">INDEX(RegionList,RANDBETWEEN(1,ROWS(RegionList)))</f>
        <v>East</v>
      </c>
      <c r="G9" t="str" cm="1">
        <f t="array" aca="1" ref="G9" ca="1">INDEX(DepartmentList,RANDBETWEEN(1,ROWS(DepartmentList)))</f>
        <v>Finance</v>
      </c>
      <c r="H9" s="1">
        <f t="shared" ca="1" si="2"/>
        <v>45359</v>
      </c>
      <c r="I9" s="4" t="str">
        <f ca="1">IF(IncidentTable[[#This Row],[Resolution Time (Days)]]="","",IncidentTable[[#This Row],[Created Date]]+IncidentTable[[#This Row],[Resolution Time (Days)]])</f>
        <v/>
      </c>
      <c r="J9" t="str">
        <f ca="1">IF(OR(IncidentTable[[#This Row],[Status]]="Resolved",IncidentTable[[#This Row],[Status]]="Closed"),RANDBETWEEN(1,120),"")</f>
        <v/>
      </c>
      <c r="K9" t="str">
        <f t="shared" ca="1" si="0"/>
        <v>Open</v>
      </c>
      <c r="L9" t="str" cm="1">
        <f t="array" aca="1" ref="L9" ca="1">INDEX(AnalystList,RANDBETWEEN(1,ROWS(AnalystList)))</f>
        <v>Taylor Smith</v>
      </c>
      <c r="M9" t="str" cm="1">
        <f t="array" aca="1" ref="M9" ca="1">INDEX(RootCauseList,RANDBETWEEN(1,ROWS(RootCauseList)))</f>
        <v>Process Gap</v>
      </c>
      <c r="N9">
        <f t="shared" ca="1" si="3"/>
        <v>1149.6500000000001</v>
      </c>
      <c r="O9" t="str">
        <f ca="1">IF(OR(IncidentTable[[#This Row],[Status]]="Resolved",IncidentTable[[#This Row],[Status]]="Closed"),
ROUND(IncidentTable[[#This Row],[Estimated Impact ($)]]*(1+RANDBETWEEN(-15,25)/100)+RAND(),2),
"")</f>
        <v/>
      </c>
      <c r="P9" t="str">
        <f ca="1">IF(IncidentTable[[#This Row],[Actual Impact ($)]]="","",ROUND(IncidentTable[[#This Row],[Actual Impact ($)]]-IncidentTable[[#This Row],[Estimated Impact ($)]],2))</f>
        <v/>
      </c>
      <c r="Q9" s="2" t="str">
        <f ca="1">IF(IncidentTable[[#This Row],[Actual Impact ($)]]="","",(IncidentTable[[#This Row],[Actual Impact ($)]]-IncidentTable[[#This Row],[Estimated Impact ($)]]) / IncidentTable[[#This Row],[Estimated Impact ($)]])</f>
        <v/>
      </c>
      <c r="R9" s="3">
        <f ca="1">IF(IncidentTable[[#This Row],[Priority]]="Critical",1,
IF(IncidentTable[[#This Row],[Priority]]="High",3,
IF(IncidentTable[[#This Row],[Priority]]="Medium",5,
IF(IncidentTable[[#This Row],[Priority]]="Low",10,""))))</f>
        <v>1</v>
      </c>
      <c r="S9" t="str">
        <f ca="1">IF(IncidentTable[[#This Row],[Resolution Time (Days)]]="","",
IF(IncidentTable[[#This Row],[Resolution Time (Days)]]&lt;=IncidentTable[[#This Row],[SLA Target (Days)]],"Yes","No"))</f>
        <v/>
      </c>
    </row>
    <row r="10" spans="1:19" x14ac:dyDescent="0.25">
      <c r="A10" t="str">
        <f t="shared" ca="1" si="1"/>
        <v>INC712000</v>
      </c>
      <c r="B10" t="str" cm="1">
        <f t="array" aca="1" ref="B10" ca="1">INDEX(SystemList,RANDBETWEEN(1,ROWS(SystemList)))</f>
        <v>Payment Processing</v>
      </c>
      <c r="C10" t="str" cm="1">
        <f t="array" aca="1" ref="C10" ca="1">INDEX(IssueTypeList,RANDBETWEEN(1,ROWS(IssueTypeList)))</f>
        <v>Complaint</v>
      </c>
      <c r="D10" t="str" cm="1">
        <f t="array" aca="1" ref="D10" ca="1">INDEX(PriorityList,RANDBETWEEN(1,ROWS(PriorityList)))</f>
        <v>Low</v>
      </c>
      <c r="E10" t="str" cm="1">
        <f t="array" aca="1" ref="E10" ca="1">INDEX(SeverityList,RANDBETWEEN(1,ROWS(SeverityList)))</f>
        <v>Major</v>
      </c>
      <c r="F10" t="str" cm="1">
        <f t="array" aca="1" ref="F10" ca="1">INDEX(RegionList,RANDBETWEEN(1,ROWS(RegionList)))</f>
        <v>West</v>
      </c>
      <c r="G10" t="str" cm="1">
        <f t="array" aca="1" ref="G10" ca="1">INDEX(DepartmentList,RANDBETWEEN(1,ROWS(DepartmentList)))</f>
        <v>IT</v>
      </c>
      <c r="H10" s="1">
        <f t="shared" ca="1" si="2"/>
        <v>45085</v>
      </c>
      <c r="I10" s="4" t="str">
        <f ca="1">IF(IncidentTable[[#This Row],[Resolution Time (Days)]]="","",IncidentTable[[#This Row],[Created Date]]+IncidentTable[[#This Row],[Resolution Time (Days)]])</f>
        <v/>
      </c>
      <c r="J10" t="str">
        <f ca="1">IF(OR(IncidentTable[[#This Row],[Status]]="Resolved",IncidentTable[[#This Row],[Status]]="Closed"),RANDBETWEEN(1,120),"")</f>
        <v/>
      </c>
      <c r="K10" t="str">
        <f t="shared" ca="1" si="0"/>
        <v>Pending</v>
      </c>
      <c r="L10" t="str" cm="1">
        <f t="array" aca="1" ref="L10" ca="1">INDEX(AnalystList,RANDBETWEEN(1,ROWS(AnalystList)))</f>
        <v>Alex Johnson</v>
      </c>
      <c r="M10" t="str" cm="1">
        <f t="array" aca="1" ref="M10" ca="1">INDEX(RootCauseList,RANDBETWEEN(1,ROWS(RootCauseList)))</f>
        <v>Process Gap</v>
      </c>
      <c r="N10">
        <f t="shared" ca="1" si="3"/>
        <v>1.1499999999999999</v>
      </c>
      <c r="O10" t="str">
        <f ca="1">IF(OR(IncidentTable[[#This Row],[Status]]="Resolved",IncidentTable[[#This Row],[Status]]="Closed"),
ROUND(IncidentTable[[#This Row],[Estimated Impact ($)]]*(1+RANDBETWEEN(-15,25)/100)+RAND(),2),
"")</f>
        <v/>
      </c>
      <c r="P10" t="str">
        <f ca="1">IF(IncidentTable[[#This Row],[Actual Impact ($)]]="","",ROUND(IncidentTable[[#This Row],[Actual Impact ($)]]-IncidentTable[[#This Row],[Estimated Impact ($)]],2))</f>
        <v/>
      </c>
      <c r="Q10" s="2" t="str">
        <f ca="1">IF(IncidentTable[[#This Row],[Actual Impact ($)]]="","",(IncidentTable[[#This Row],[Actual Impact ($)]]-IncidentTable[[#This Row],[Estimated Impact ($)]]) / IncidentTable[[#This Row],[Estimated Impact ($)]])</f>
        <v/>
      </c>
      <c r="R10" s="3">
        <f ca="1">IF(IncidentTable[[#This Row],[Priority]]="Critical",1,
IF(IncidentTable[[#This Row],[Priority]]="High",3,
IF(IncidentTable[[#This Row],[Priority]]="Medium",5,
IF(IncidentTable[[#This Row],[Priority]]="Low",10,""))))</f>
        <v>10</v>
      </c>
      <c r="S10" t="str">
        <f ca="1">IF(IncidentTable[[#This Row],[Resolution Time (Days)]]="","",
IF(IncidentTable[[#This Row],[Resolution Time (Days)]]&lt;=IncidentTable[[#This Row],[SLA Target (Days)]],"Yes","No"))</f>
        <v/>
      </c>
    </row>
    <row r="11" spans="1:19" x14ac:dyDescent="0.25">
      <c r="A11" t="str">
        <f t="shared" ca="1" si="1"/>
        <v>INC358110</v>
      </c>
      <c r="B11" t="str" cm="1">
        <f t="array" aca="1" ref="B11" ca="1">INDEX(SystemList,RANDBETWEEN(1,ROWS(SystemList)))</f>
        <v>Customer Portal</v>
      </c>
      <c r="C11" t="str" cm="1">
        <f t="array" aca="1" ref="C11" ca="1">INDEX(IssueTypeList,RANDBETWEEN(1,ROWS(IssueTypeList)))</f>
        <v>Processing Delay</v>
      </c>
      <c r="D11" t="str" cm="1">
        <f t="array" aca="1" ref="D11" ca="1">INDEX(PriorityList,RANDBETWEEN(1,ROWS(PriorityList)))</f>
        <v>Medium</v>
      </c>
      <c r="E11" t="str" cm="1">
        <f t="array" aca="1" ref="E11" ca="1">INDEX(SeverityList,RANDBETWEEN(1,ROWS(SeverityList)))</f>
        <v>Critical</v>
      </c>
      <c r="F11" t="str" cm="1">
        <f t="array" aca="1" ref="F11" ca="1">INDEX(RegionList,RANDBETWEEN(1,ROWS(RegionList)))</f>
        <v>East</v>
      </c>
      <c r="G11" t="str" cm="1">
        <f t="array" aca="1" ref="G11" ca="1">INDEX(DepartmentList,RANDBETWEEN(1,ROWS(DepartmentList)))</f>
        <v>Billing</v>
      </c>
      <c r="H11" s="1">
        <f t="shared" ca="1" si="2"/>
        <v>44990</v>
      </c>
      <c r="I11" s="4">
        <f ca="1">IF(IncidentTable[[#This Row],[Resolution Time (Days)]]="","",IncidentTable[[#This Row],[Created Date]]+IncidentTable[[#This Row],[Resolution Time (Days)]])</f>
        <v>45026</v>
      </c>
      <c r="J11">
        <f ca="1">IF(OR(IncidentTable[[#This Row],[Status]]="Resolved",IncidentTable[[#This Row],[Status]]="Closed"),RANDBETWEEN(1,120),"")</f>
        <v>36</v>
      </c>
      <c r="K11" t="str">
        <f t="shared" ca="1" si="0"/>
        <v>Closed</v>
      </c>
      <c r="L11" t="str" cm="1">
        <f t="array" aca="1" ref="L11" ca="1">INDEX(AnalystList,RANDBETWEEN(1,ROWS(AnalystList)))</f>
        <v>Morgan Davis</v>
      </c>
      <c r="M11" t="str" cm="1">
        <f t="array" aca="1" ref="M11" ca="1">INDEX(RootCauseList,RANDBETWEEN(1,ROWS(RootCauseList)))</f>
        <v>Unknown</v>
      </c>
      <c r="N11">
        <f t="shared" ca="1" si="3"/>
        <v>1.1299999999999999</v>
      </c>
      <c r="O11">
        <f ca="1">IF(OR(IncidentTable[[#This Row],[Status]]="Resolved",IncidentTable[[#This Row],[Status]]="Closed"),
ROUND(IncidentTable[[#This Row],[Estimated Impact ($)]]*(1+RANDBETWEEN(-15,25)/100)+RAND(),2),
"")</f>
        <v>2.25</v>
      </c>
      <c r="P11">
        <f ca="1">IF(IncidentTable[[#This Row],[Actual Impact ($)]]="","",ROUND(IncidentTable[[#This Row],[Actual Impact ($)]]-IncidentTable[[#This Row],[Estimated Impact ($)]],2))</f>
        <v>1.1200000000000001</v>
      </c>
      <c r="Q11" s="2">
        <f ca="1">IF(IncidentTable[[#This Row],[Actual Impact ($)]]="","",(IncidentTable[[#This Row],[Actual Impact ($)]]-IncidentTable[[#This Row],[Estimated Impact ($)]]) / IncidentTable[[#This Row],[Estimated Impact ($)]])</f>
        <v>0.99115044247787631</v>
      </c>
      <c r="R11" s="3">
        <f ca="1">IF(IncidentTable[[#This Row],[Priority]]="Critical",1,
IF(IncidentTable[[#This Row],[Priority]]="High",3,
IF(IncidentTable[[#This Row],[Priority]]="Medium",5,
IF(IncidentTable[[#This Row],[Priority]]="Low",10,""))))</f>
        <v>5</v>
      </c>
      <c r="S11" t="str">
        <f ca="1">IF(IncidentTable[[#This Row],[Resolution Time (Days)]]="","",
IF(IncidentTable[[#This Row],[Resolution Time (Days)]]&lt;=IncidentTable[[#This Row],[SLA Target (Days)]],"Yes","No"))</f>
        <v>No</v>
      </c>
    </row>
    <row r="12" spans="1:19" x14ac:dyDescent="0.25">
      <c r="A12" t="str">
        <f t="shared" ca="1" si="1"/>
        <v>INC994784</v>
      </c>
      <c r="B12" t="str" cm="1">
        <f t="array" aca="1" ref="B12" ca="1">INDEX(SystemList,RANDBETWEEN(1,ROWS(SystemList)))</f>
        <v>Customer Portal</v>
      </c>
      <c r="C12" t="str" cm="1">
        <f t="array" aca="1" ref="C12" ca="1">INDEX(IssueTypeList,RANDBETWEEN(1,ROWS(IssueTypeList)))</f>
        <v>Integration Failure</v>
      </c>
      <c r="D12" t="str" cm="1">
        <f t="array" aca="1" ref="D12" ca="1">INDEX(PriorityList,RANDBETWEEN(1,ROWS(PriorityList)))</f>
        <v>High</v>
      </c>
      <c r="E12" t="str" cm="1">
        <f t="array" aca="1" ref="E12" ca="1">INDEX(SeverityList,RANDBETWEEN(1,ROWS(SeverityList)))</f>
        <v>Critical</v>
      </c>
      <c r="F12" t="str" cm="1">
        <f t="array" aca="1" ref="F12" ca="1">INDEX(RegionList,RANDBETWEEN(1,ROWS(RegionList)))</f>
        <v>East</v>
      </c>
      <c r="G12" t="str" cm="1">
        <f t="array" aca="1" ref="G12" ca="1">INDEX(DepartmentList,RANDBETWEEN(1,ROWS(DepartmentList)))</f>
        <v>Compliance</v>
      </c>
      <c r="H12" s="1">
        <f t="shared" ca="1" si="2"/>
        <v>45466</v>
      </c>
      <c r="I12" s="4">
        <f ca="1">IF(IncidentTable[[#This Row],[Resolution Time (Days)]]="","",IncidentTable[[#This Row],[Created Date]]+IncidentTable[[#This Row],[Resolution Time (Days)]])</f>
        <v>45516</v>
      </c>
      <c r="J12">
        <f ca="1">IF(OR(IncidentTable[[#This Row],[Status]]="Resolved",IncidentTable[[#This Row],[Status]]="Closed"),RANDBETWEEN(1,120),"")</f>
        <v>50</v>
      </c>
      <c r="K12" t="str">
        <f t="shared" ca="1" si="0"/>
        <v>Resolved</v>
      </c>
      <c r="L12" t="str" cm="1">
        <f t="array" aca="1" ref="L12" ca="1">INDEX(AnalystList,RANDBETWEEN(1,ROWS(AnalystList)))</f>
        <v>Morgan Davis</v>
      </c>
      <c r="M12" t="str" cm="1">
        <f t="array" aca="1" ref="M12" ca="1">INDEX(RootCauseList,RANDBETWEEN(1,ROWS(RootCauseList)))</f>
        <v>Unknown</v>
      </c>
      <c r="N12">
        <f t="shared" ca="1" si="3"/>
        <v>11530.22</v>
      </c>
      <c r="O12">
        <f ca="1">IF(OR(IncidentTable[[#This Row],[Status]]="Resolved",IncidentTable[[#This Row],[Status]]="Closed"),
ROUND(IncidentTable[[#This Row],[Estimated Impact ($)]]*(1+RANDBETWEEN(-15,25)/100)+RAND(),2),
"")</f>
        <v>9800.93</v>
      </c>
      <c r="P12">
        <f ca="1">IF(IncidentTable[[#This Row],[Actual Impact ($)]]="","",ROUND(IncidentTable[[#This Row],[Actual Impact ($)]]-IncidentTable[[#This Row],[Estimated Impact ($)]],2))</f>
        <v>-1729.29</v>
      </c>
      <c r="Q12" s="2">
        <f ca="1">IF(IncidentTable[[#This Row],[Actual Impact ($)]]="","",(IncidentTable[[#This Row],[Actual Impact ($)]]-IncidentTable[[#This Row],[Estimated Impact ($)]]) / IncidentTable[[#This Row],[Estimated Impact ($)]])</f>
        <v>-0.14997892494679191</v>
      </c>
      <c r="R12" s="3">
        <f ca="1">IF(IncidentTable[[#This Row],[Priority]]="Critical",1,
IF(IncidentTable[[#This Row],[Priority]]="High",3,
IF(IncidentTable[[#This Row],[Priority]]="Medium",5,
IF(IncidentTable[[#This Row],[Priority]]="Low",10,""))))</f>
        <v>3</v>
      </c>
      <c r="S12" t="str">
        <f ca="1">IF(IncidentTable[[#This Row],[Resolution Time (Days)]]="","",
IF(IncidentTable[[#This Row],[Resolution Time (Days)]]&lt;=IncidentTable[[#This Row],[SLA Target (Days)]],"Yes","No"))</f>
        <v>No</v>
      </c>
    </row>
    <row r="13" spans="1:19" x14ac:dyDescent="0.25">
      <c r="A13" t="str">
        <f t="shared" ca="1" si="1"/>
        <v>INC144826</v>
      </c>
      <c r="B13" t="str" cm="1">
        <f t="array" aca="1" ref="B13" ca="1">INDEX(SystemList,RANDBETWEEN(1,ROWS(SystemList)))</f>
        <v>Billing System</v>
      </c>
      <c r="C13" t="str" cm="1">
        <f t="array" aca="1" ref="C13" ca="1">INDEX(IssueTypeList,RANDBETWEEN(1,ROWS(IssueTypeList)))</f>
        <v>Complaint</v>
      </c>
      <c r="D13" t="str" cm="1">
        <f t="array" aca="1" ref="D13" ca="1">INDEX(PriorityList,RANDBETWEEN(1,ROWS(PriorityList)))</f>
        <v>Medium</v>
      </c>
      <c r="E13" t="str" cm="1">
        <f t="array" aca="1" ref="E13" ca="1">INDEX(SeverityList,RANDBETWEEN(1,ROWS(SeverityList)))</f>
        <v>Moderate</v>
      </c>
      <c r="F13" t="str" cm="1">
        <f t="array" aca="1" ref="F13" ca="1">INDEX(RegionList,RANDBETWEEN(1,ROWS(RegionList)))</f>
        <v>Midwest</v>
      </c>
      <c r="G13" t="str" cm="1">
        <f t="array" aca="1" ref="G13" ca="1">INDEX(DepartmentList,RANDBETWEEN(1,ROWS(DepartmentList)))</f>
        <v>IT</v>
      </c>
      <c r="H13" s="1">
        <f t="shared" ca="1" si="2"/>
        <v>45057</v>
      </c>
      <c r="I13" s="4" t="str">
        <f ca="1">IF(IncidentTable[[#This Row],[Resolution Time (Days)]]="","",IncidentTable[[#This Row],[Created Date]]+IncidentTable[[#This Row],[Resolution Time (Days)]])</f>
        <v/>
      </c>
      <c r="J13" t="str">
        <f ca="1">IF(OR(IncidentTable[[#This Row],[Status]]="Resolved",IncidentTable[[#This Row],[Status]]="Closed"),RANDBETWEEN(1,120),"")</f>
        <v/>
      </c>
      <c r="K13" t="str">
        <f t="shared" ca="1" si="0"/>
        <v>Open</v>
      </c>
      <c r="L13" t="str" cm="1">
        <f t="array" aca="1" ref="L13" ca="1">INDEX(AnalystList,RANDBETWEEN(1,ROWS(AnalystList)))</f>
        <v>Taylor Smith</v>
      </c>
      <c r="M13" t="str" cm="1">
        <f t="array" aca="1" ref="M13" ca="1">INDEX(RootCauseList,RANDBETWEEN(1,ROWS(RootCauseList)))</f>
        <v>Process Gap</v>
      </c>
      <c r="N13">
        <f t="shared" ca="1" si="3"/>
        <v>2.3199999999999998</v>
      </c>
      <c r="O13" t="str">
        <f ca="1">IF(OR(IncidentTable[[#This Row],[Status]]="Resolved",IncidentTable[[#This Row],[Status]]="Closed"),
ROUND(IncidentTable[[#This Row],[Estimated Impact ($)]]*(1+RANDBETWEEN(-15,25)/100)+RAND(),2),
"")</f>
        <v/>
      </c>
      <c r="P13" t="str">
        <f ca="1">IF(IncidentTable[[#This Row],[Actual Impact ($)]]="","",ROUND(IncidentTable[[#This Row],[Actual Impact ($)]]-IncidentTable[[#This Row],[Estimated Impact ($)]],2))</f>
        <v/>
      </c>
      <c r="Q13" s="2" t="str">
        <f ca="1">IF(IncidentTable[[#This Row],[Actual Impact ($)]]="","",(IncidentTable[[#This Row],[Actual Impact ($)]]-IncidentTable[[#This Row],[Estimated Impact ($)]]) / IncidentTable[[#This Row],[Estimated Impact ($)]])</f>
        <v/>
      </c>
      <c r="R13" s="3">
        <f ca="1">IF(IncidentTable[[#This Row],[Priority]]="Critical",1,
IF(IncidentTable[[#This Row],[Priority]]="High",3,
IF(IncidentTable[[#This Row],[Priority]]="Medium",5,
IF(IncidentTable[[#This Row],[Priority]]="Low",10,""))))</f>
        <v>5</v>
      </c>
      <c r="S13" t="str">
        <f ca="1">IF(IncidentTable[[#This Row],[Resolution Time (Days)]]="","",
IF(IncidentTable[[#This Row],[Resolution Time (Days)]]&lt;=IncidentTable[[#This Row],[SLA Target (Days)]],"Yes","No"))</f>
        <v/>
      </c>
    </row>
    <row r="14" spans="1:19" x14ac:dyDescent="0.25">
      <c r="A14" t="str">
        <f t="shared" ca="1" si="1"/>
        <v>INC232294</v>
      </c>
      <c r="B14" t="str" cm="1">
        <f t="array" aca="1" ref="B14" ca="1">INDEX(SystemList,RANDBETWEEN(1,ROWS(SystemList)))</f>
        <v>Claims System</v>
      </c>
      <c r="C14" t="str" cm="1">
        <f t="array" aca="1" ref="C14" ca="1">INDEX(IssueTypeList,RANDBETWEEN(1,ROWS(IssueTypeList)))</f>
        <v>Processing Delay</v>
      </c>
      <c r="D14" t="str" cm="1">
        <f t="array" aca="1" ref="D14" ca="1">INDEX(PriorityList,RANDBETWEEN(1,ROWS(PriorityList)))</f>
        <v>High</v>
      </c>
      <c r="E14" t="str" cm="1">
        <f t="array" aca="1" ref="E14" ca="1">INDEX(SeverityList,RANDBETWEEN(1,ROWS(SeverityList)))</f>
        <v>Minor</v>
      </c>
      <c r="F14" t="str" cm="1">
        <f t="array" aca="1" ref="F14" ca="1">INDEX(RegionList,RANDBETWEEN(1,ROWS(RegionList)))</f>
        <v>Central</v>
      </c>
      <c r="G14" t="str" cm="1">
        <f t="array" aca="1" ref="G14" ca="1">INDEX(DepartmentList,RANDBETWEEN(1,ROWS(DepartmentList)))</f>
        <v>Billing</v>
      </c>
      <c r="H14" s="1">
        <f t="shared" ca="1" si="2"/>
        <v>45315</v>
      </c>
      <c r="I14" s="4">
        <f ca="1">IF(IncidentTable[[#This Row],[Resolution Time (Days)]]="","",IncidentTable[[#This Row],[Created Date]]+IncidentTable[[#This Row],[Resolution Time (Days)]])</f>
        <v>45334</v>
      </c>
      <c r="J14">
        <f ca="1">IF(OR(IncidentTable[[#This Row],[Status]]="Resolved",IncidentTable[[#This Row],[Status]]="Closed"),RANDBETWEEN(1,120),"")</f>
        <v>19</v>
      </c>
      <c r="K14" t="str">
        <f t="shared" ca="1" si="0"/>
        <v>Resolved</v>
      </c>
      <c r="L14" t="str" cm="1">
        <f t="array" aca="1" ref="L14" ca="1">INDEX(AnalystList,RANDBETWEEN(1,ROWS(AnalystList)))</f>
        <v>Jordan Lee</v>
      </c>
      <c r="M14" t="str" cm="1">
        <f t="array" aca="1" ref="M14" ca="1">INDEX(RootCauseList,RANDBETWEEN(1,ROWS(RootCauseList)))</f>
        <v>User Error</v>
      </c>
      <c r="N14">
        <f t="shared" ca="1" si="3"/>
        <v>31.99</v>
      </c>
      <c r="O14">
        <f ca="1">IF(OR(IncidentTable[[#This Row],[Status]]="Resolved",IncidentTable[[#This Row],[Status]]="Closed"),
ROUND(IncidentTable[[#This Row],[Estimated Impact ($)]]*(1+RANDBETWEEN(-15,25)/100)+RAND(),2),
"")</f>
        <v>29.92</v>
      </c>
      <c r="P14">
        <f ca="1">IF(IncidentTable[[#This Row],[Actual Impact ($)]]="","",ROUND(IncidentTable[[#This Row],[Actual Impact ($)]]-IncidentTable[[#This Row],[Estimated Impact ($)]],2))</f>
        <v>-2.0699999999999998</v>
      </c>
      <c r="Q14" s="2">
        <f ca="1">IF(IncidentTable[[#This Row],[Actual Impact ($)]]="","",(IncidentTable[[#This Row],[Actual Impact ($)]]-IncidentTable[[#This Row],[Estimated Impact ($)]]) / IncidentTable[[#This Row],[Estimated Impact ($)]])</f>
        <v>-6.4707721162863302E-2</v>
      </c>
      <c r="R14" s="3">
        <f ca="1">IF(IncidentTable[[#This Row],[Priority]]="Critical",1,
IF(IncidentTable[[#This Row],[Priority]]="High",3,
IF(IncidentTable[[#This Row],[Priority]]="Medium",5,
IF(IncidentTable[[#This Row],[Priority]]="Low",10,""))))</f>
        <v>3</v>
      </c>
      <c r="S14" t="str">
        <f ca="1">IF(IncidentTable[[#This Row],[Resolution Time (Days)]]="","",
IF(IncidentTable[[#This Row],[Resolution Time (Days)]]&lt;=IncidentTable[[#This Row],[SLA Target (Days)]],"Yes","No"))</f>
        <v>No</v>
      </c>
    </row>
    <row r="15" spans="1:19" x14ac:dyDescent="0.25">
      <c r="A15" t="str">
        <f t="shared" ca="1" si="1"/>
        <v>INC874096</v>
      </c>
      <c r="B15" t="str" cm="1">
        <f t="array" aca="1" ref="B15" ca="1">INDEX(SystemList,RANDBETWEEN(1,ROWS(SystemList)))</f>
        <v>Payment Processing</v>
      </c>
      <c r="C15" t="str" cm="1">
        <f t="array" aca="1" ref="C15" ca="1">INDEX(IssueTypeList,RANDBETWEEN(1,ROWS(IssueTypeList)))</f>
        <v>Integration Failure</v>
      </c>
      <c r="D15" t="str" cm="1">
        <f t="array" aca="1" ref="D15" ca="1">INDEX(PriorityList,RANDBETWEEN(1,ROWS(PriorityList)))</f>
        <v>Low</v>
      </c>
      <c r="E15" t="str" cm="1">
        <f t="array" aca="1" ref="E15" ca="1">INDEX(SeverityList,RANDBETWEEN(1,ROWS(SeverityList)))</f>
        <v>Minor</v>
      </c>
      <c r="F15" t="str" cm="1">
        <f t="array" aca="1" ref="F15" ca="1">INDEX(RegionList,RANDBETWEEN(1,ROWS(RegionList)))</f>
        <v>Southeast</v>
      </c>
      <c r="G15" t="str" cm="1">
        <f t="array" aca="1" ref="G15" ca="1">INDEX(DepartmentList,RANDBETWEEN(1,ROWS(DepartmentList)))</f>
        <v>Finance</v>
      </c>
      <c r="H15" s="1">
        <f t="shared" ca="1" si="2"/>
        <v>45011</v>
      </c>
      <c r="I15" s="4">
        <f ca="1">IF(IncidentTable[[#This Row],[Resolution Time (Days)]]="","",IncidentTable[[#This Row],[Created Date]]+IncidentTable[[#This Row],[Resolution Time (Days)]])</f>
        <v>45130</v>
      </c>
      <c r="J15">
        <f ca="1">IF(OR(IncidentTable[[#This Row],[Status]]="Resolved",IncidentTable[[#This Row],[Status]]="Closed"),RANDBETWEEN(1,120),"")</f>
        <v>119</v>
      </c>
      <c r="K15" t="str">
        <f t="shared" ca="1" si="0"/>
        <v>Resolved</v>
      </c>
      <c r="L15" t="str" cm="1">
        <f t="array" aca="1" ref="L15" ca="1">INDEX(AnalystList,RANDBETWEEN(1,ROWS(AnalystList)))</f>
        <v>Taylor Smith</v>
      </c>
      <c r="M15" t="str" cm="1">
        <f t="array" aca="1" ref="M15" ca="1">INDEX(RootCauseList,RANDBETWEEN(1,ROWS(RootCauseList)))</f>
        <v>Integration Failure</v>
      </c>
      <c r="N15">
        <f t="shared" ca="1" si="3"/>
        <v>1286.1199999999999</v>
      </c>
      <c r="O15">
        <f ca="1">IF(OR(IncidentTable[[#This Row],[Status]]="Resolved",IncidentTable[[#This Row],[Status]]="Closed"),
ROUND(IncidentTable[[#This Row],[Estimated Impact ($)]]*(1+RANDBETWEEN(-15,25)/100)+RAND(),2),
"")</f>
        <v>1582.64</v>
      </c>
      <c r="P15">
        <f ca="1">IF(IncidentTable[[#This Row],[Actual Impact ($)]]="","",ROUND(IncidentTable[[#This Row],[Actual Impact ($)]]-IncidentTable[[#This Row],[Estimated Impact ($)]],2))</f>
        <v>296.52</v>
      </c>
      <c r="Q15" s="2">
        <f ca="1">IF(IncidentTable[[#This Row],[Actual Impact ($)]]="","",(IncidentTable[[#This Row],[Actual Impact ($)]]-IncidentTable[[#This Row],[Estimated Impact ($)]]) / IncidentTable[[#This Row],[Estimated Impact ($)]])</f>
        <v>0.23055391409821807</v>
      </c>
      <c r="R15" s="3">
        <f ca="1">IF(IncidentTable[[#This Row],[Priority]]="Critical",1,
IF(IncidentTable[[#This Row],[Priority]]="High",3,
IF(IncidentTable[[#This Row],[Priority]]="Medium",5,
IF(IncidentTable[[#This Row],[Priority]]="Low",10,""))))</f>
        <v>10</v>
      </c>
      <c r="S15" t="str">
        <f ca="1">IF(IncidentTable[[#This Row],[Resolution Time (Days)]]="","",
IF(IncidentTable[[#This Row],[Resolution Time (Days)]]&lt;=IncidentTable[[#This Row],[SLA Target (Days)]],"Yes","No"))</f>
        <v>No</v>
      </c>
    </row>
    <row r="16" spans="1:19" x14ac:dyDescent="0.25">
      <c r="A16" t="str">
        <f t="shared" ca="1" si="1"/>
        <v>INC853285</v>
      </c>
      <c r="B16" t="str" cm="1">
        <f t="array" aca="1" ref="B16" ca="1">INDEX(SystemList,RANDBETWEEN(1,ROWS(SystemList)))</f>
        <v>Reporting System</v>
      </c>
      <c r="C16" t="str" cm="1">
        <f t="array" aca="1" ref="C16" ca="1">INDEX(IssueTypeList,RANDBETWEEN(1,ROWS(IssueTypeList)))</f>
        <v>Data Issue</v>
      </c>
      <c r="D16" t="str" cm="1">
        <f t="array" aca="1" ref="D16" ca="1">INDEX(PriorityList,RANDBETWEEN(1,ROWS(PriorityList)))</f>
        <v>Medium</v>
      </c>
      <c r="E16" t="str" cm="1">
        <f t="array" aca="1" ref="E16" ca="1">INDEX(SeverityList,RANDBETWEEN(1,ROWS(SeverityList)))</f>
        <v>Minor</v>
      </c>
      <c r="F16" t="str" cm="1">
        <f t="array" aca="1" ref="F16" ca="1">INDEX(RegionList,RANDBETWEEN(1,ROWS(RegionList)))</f>
        <v>Central</v>
      </c>
      <c r="G16" t="str" cm="1">
        <f t="array" aca="1" ref="G16" ca="1">INDEX(DepartmentList,RANDBETWEEN(1,ROWS(DepartmentList)))</f>
        <v>Finance</v>
      </c>
      <c r="H16" s="1">
        <f t="shared" ca="1" si="2"/>
        <v>45132</v>
      </c>
      <c r="I16" s="4">
        <f ca="1">IF(IncidentTable[[#This Row],[Resolution Time (Days)]]="","",IncidentTable[[#This Row],[Created Date]]+IncidentTable[[#This Row],[Resolution Time (Days)]])</f>
        <v>45236</v>
      </c>
      <c r="J16">
        <f ca="1">IF(OR(IncidentTable[[#This Row],[Status]]="Resolved",IncidentTable[[#This Row],[Status]]="Closed"),RANDBETWEEN(1,120),"")</f>
        <v>104</v>
      </c>
      <c r="K16" t="str">
        <f t="shared" ca="1" si="0"/>
        <v>Resolved</v>
      </c>
      <c r="L16" t="str" cm="1">
        <f t="array" aca="1" ref="L16" ca="1">INDEX(AnalystList,RANDBETWEEN(1,ROWS(AnalystList)))</f>
        <v>Taylor Smith</v>
      </c>
      <c r="M16" t="str" cm="1">
        <f t="array" aca="1" ref="M16" ca="1">INDEX(RootCauseList,RANDBETWEEN(1,ROWS(RootCauseList)))</f>
        <v>User Error</v>
      </c>
      <c r="N16">
        <f t="shared" ca="1" si="3"/>
        <v>345.76</v>
      </c>
      <c r="O16">
        <f ca="1">IF(OR(IncidentTable[[#This Row],[Status]]="Resolved",IncidentTable[[#This Row],[Status]]="Closed"),
ROUND(IncidentTable[[#This Row],[Estimated Impact ($)]]*(1+RANDBETWEEN(-15,25)/100)+RAND(),2),
"")</f>
        <v>415.01</v>
      </c>
      <c r="P16">
        <f ca="1">IF(IncidentTable[[#This Row],[Actual Impact ($)]]="","",ROUND(IncidentTable[[#This Row],[Actual Impact ($)]]-IncidentTable[[#This Row],[Estimated Impact ($)]],2))</f>
        <v>69.25</v>
      </c>
      <c r="Q16" s="2">
        <f ca="1">IF(IncidentTable[[#This Row],[Actual Impact ($)]]="","",(IncidentTable[[#This Row],[Actual Impact ($)]]-IncidentTable[[#This Row],[Estimated Impact ($)]]) / IncidentTable[[#This Row],[Estimated Impact ($)]])</f>
        <v>0.20028343359555761</v>
      </c>
      <c r="R16" s="3">
        <f ca="1">IF(IncidentTable[[#This Row],[Priority]]="Critical",1,
IF(IncidentTable[[#This Row],[Priority]]="High",3,
IF(IncidentTable[[#This Row],[Priority]]="Medium",5,
IF(IncidentTable[[#This Row],[Priority]]="Low",10,""))))</f>
        <v>5</v>
      </c>
      <c r="S16" t="str">
        <f ca="1">IF(IncidentTable[[#This Row],[Resolution Time (Days)]]="","",
IF(IncidentTable[[#This Row],[Resolution Time (Days)]]&lt;=IncidentTable[[#This Row],[SLA Target (Days)]],"Yes","No"))</f>
        <v>No</v>
      </c>
    </row>
    <row r="17" spans="1:19" x14ac:dyDescent="0.25">
      <c r="A17" t="str">
        <f t="shared" ca="1" si="1"/>
        <v>INC979935</v>
      </c>
      <c r="B17" t="str" cm="1">
        <f t="array" aca="1" ref="B17" ca="1">INDEX(SystemList,RANDBETWEEN(1,ROWS(SystemList)))</f>
        <v>Billing System</v>
      </c>
      <c r="C17" t="str" cm="1">
        <f t="array" aca="1" ref="C17" ca="1">INDEX(IssueTypeList,RANDBETWEEN(1,ROWS(IssueTypeList)))</f>
        <v>Payment Failure</v>
      </c>
      <c r="D17" t="str" cm="1">
        <f t="array" aca="1" ref="D17" ca="1">INDEX(PriorityList,RANDBETWEEN(1,ROWS(PriorityList)))</f>
        <v>Medium</v>
      </c>
      <c r="E17" t="str" cm="1">
        <f t="array" aca="1" ref="E17" ca="1">INDEX(SeverityList,RANDBETWEEN(1,ROWS(SeverityList)))</f>
        <v>Moderate</v>
      </c>
      <c r="F17" t="str" cm="1">
        <f t="array" aca="1" ref="F17" ca="1">INDEX(RegionList,RANDBETWEEN(1,ROWS(RegionList)))</f>
        <v>East</v>
      </c>
      <c r="G17" t="str" cm="1">
        <f t="array" aca="1" ref="G17" ca="1">INDEX(DepartmentList,RANDBETWEEN(1,ROWS(DepartmentList)))</f>
        <v>Finance</v>
      </c>
      <c r="H17" s="1">
        <f t="shared" ca="1" si="2"/>
        <v>45046</v>
      </c>
      <c r="I17" s="4" t="str">
        <f ca="1">IF(IncidentTable[[#This Row],[Resolution Time (Days)]]="","",IncidentTable[[#This Row],[Created Date]]+IncidentTable[[#This Row],[Resolution Time (Days)]])</f>
        <v/>
      </c>
      <c r="J17" t="str">
        <f ca="1">IF(OR(IncidentTable[[#This Row],[Status]]="Resolved",IncidentTable[[#This Row],[Status]]="Closed"),RANDBETWEEN(1,120),"")</f>
        <v/>
      </c>
      <c r="K17" t="str">
        <f t="shared" ca="1" si="0"/>
        <v>Open</v>
      </c>
      <c r="L17" t="str" cm="1">
        <f t="array" aca="1" ref="L17" ca="1">INDEX(AnalystList,RANDBETWEEN(1,ROWS(AnalystList)))</f>
        <v>Taylor Smith</v>
      </c>
      <c r="M17" t="str" cm="1">
        <f t="array" aca="1" ref="M17" ca="1">INDEX(RootCauseList,RANDBETWEEN(1,ROWS(RootCauseList)))</f>
        <v>Integration Failure</v>
      </c>
      <c r="N17">
        <f t="shared" ca="1" si="3"/>
        <v>14565.79</v>
      </c>
      <c r="O17" t="str">
        <f ca="1">IF(OR(IncidentTable[[#This Row],[Status]]="Resolved",IncidentTable[[#This Row],[Status]]="Closed"),
ROUND(IncidentTable[[#This Row],[Estimated Impact ($)]]*(1+RANDBETWEEN(-15,25)/100)+RAND(),2),
"")</f>
        <v/>
      </c>
      <c r="P17" t="str">
        <f ca="1">IF(IncidentTable[[#This Row],[Actual Impact ($)]]="","",ROUND(IncidentTable[[#This Row],[Actual Impact ($)]]-IncidentTable[[#This Row],[Estimated Impact ($)]],2))</f>
        <v/>
      </c>
      <c r="Q17" s="2" t="str">
        <f ca="1">IF(IncidentTable[[#This Row],[Actual Impact ($)]]="","",(IncidentTable[[#This Row],[Actual Impact ($)]]-IncidentTable[[#This Row],[Estimated Impact ($)]]) / IncidentTable[[#This Row],[Estimated Impact ($)]])</f>
        <v/>
      </c>
      <c r="R17" s="3">
        <f ca="1">IF(IncidentTable[[#This Row],[Priority]]="Critical",1,
IF(IncidentTable[[#This Row],[Priority]]="High",3,
IF(IncidentTable[[#This Row],[Priority]]="Medium",5,
IF(IncidentTable[[#This Row],[Priority]]="Low",10,""))))</f>
        <v>5</v>
      </c>
      <c r="S17" t="str">
        <f ca="1">IF(IncidentTable[[#This Row],[Resolution Time (Days)]]="","",
IF(IncidentTable[[#This Row],[Resolution Time (Days)]]&lt;=IncidentTable[[#This Row],[SLA Target (Days)]],"Yes","No"))</f>
        <v/>
      </c>
    </row>
    <row r="18" spans="1:19" x14ac:dyDescent="0.25">
      <c r="A18" t="str">
        <f t="shared" ca="1" si="1"/>
        <v>INC326406</v>
      </c>
      <c r="B18" t="str" cm="1">
        <f t="array" aca="1" ref="B18" ca="1">INDEX(SystemList,RANDBETWEEN(1,ROWS(SystemList)))</f>
        <v>Payment Processing</v>
      </c>
      <c r="C18" t="str" cm="1">
        <f t="array" aca="1" ref="C18" ca="1">INDEX(IssueTypeList,RANDBETWEEN(1,ROWS(IssueTypeList)))</f>
        <v>Payment Failure</v>
      </c>
      <c r="D18" t="str" cm="1">
        <f t="array" aca="1" ref="D18" ca="1">INDEX(PriorityList,RANDBETWEEN(1,ROWS(PriorityList)))</f>
        <v>High</v>
      </c>
      <c r="E18" t="str" cm="1">
        <f t="array" aca="1" ref="E18" ca="1">INDEX(SeverityList,RANDBETWEEN(1,ROWS(SeverityList)))</f>
        <v>Minor</v>
      </c>
      <c r="F18" t="str" cm="1">
        <f t="array" aca="1" ref="F18" ca="1">INDEX(RegionList,RANDBETWEEN(1,ROWS(RegionList)))</f>
        <v>Central</v>
      </c>
      <c r="G18" t="str" cm="1">
        <f t="array" aca="1" ref="G18" ca="1">INDEX(DepartmentList,RANDBETWEEN(1,ROWS(DepartmentList)))</f>
        <v>Billing</v>
      </c>
      <c r="H18" s="1">
        <f t="shared" ca="1" si="2"/>
        <v>45084</v>
      </c>
      <c r="I18" s="4">
        <f ca="1">IF(IncidentTable[[#This Row],[Resolution Time (Days)]]="","",IncidentTable[[#This Row],[Created Date]]+IncidentTable[[#This Row],[Resolution Time (Days)]])</f>
        <v>45204</v>
      </c>
      <c r="J18">
        <f ca="1">IF(OR(IncidentTable[[#This Row],[Status]]="Resolved",IncidentTable[[#This Row],[Status]]="Closed"),RANDBETWEEN(1,120),"")</f>
        <v>120</v>
      </c>
      <c r="K18" t="str">
        <f t="shared" ca="1" si="0"/>
        <v>Closed</v>
      </c>
      <c r="L18" t="str" cm="1">
        <f t="array" aca="1" ref="L18" ca="1">INDEX(AnalystList,RANDBETWEEN(1,ROWS(AnalystList)))</f>
        <v>Morgan Davis</v>
      </c>
      <c r="M18" t="str" cm="1">
        <f t="array" aca="1" ref="M18" ca="1">INDEX(RootCauseList,RANDBETWEEN(1,ROWS(RootCauseList)))</f>
        <v>Process Gap</v>
      </c>
      <c r="N18">
        <f t="shared" ca="1" si="3"/>
        <v>31904.41</v>
      </c>
      <c r="O18">
        <f ca="1">IF(OR(IncidentTable[[#This Row],[Status]]="Resolved",IncidentTable[[#This Row],[Status]]="Closed"),
ROUND(IncidentTable[[#This Row],[Estimated Impact ($)]]*(1+RANDBETWEEN(-15,25)/100)+RAND(),2),
"")</f>
        <v>33500.47</v>
      </c>
      <c r="P18">
        <f ca="1">IF(IncidentTable[[#This Row],[Actual Impact ($)]]="","",ROUND(IncidentTable[[#This Row],[Actual Impact ($)]]-IncidentTable[[#This Row],[Estimated Impact ($)]],2))</f>
        <v>1596.06</v>
      </c>
      <c r="Q18" s="2">
        <f ca="1">IF(IncidentTable[[#This Row],[Actual Impact ($)]]="","",(IncidentTable[[#This Row],[Actual Impact ($)]]-IncidentTable[[#This Row],[Estimated Impact ($)]]) / IncidentTable[[#This Row],[Estimated Impact ($)]])</f>
        <v>5.0026312976795412E-2</v>
      </c>
      <c r="R18" s="3">
        <f ca="1">IF(IncidentTable[[#This Row],[Priority]]="Critical",1,
IF(IncidentTable[[#This Row],[Priority]]="High",3,
IF(IncidentTable[[#This Row],[Priority]]="Medium",5,
IF(IncidentTable[[#This Row],[Priority]]="Low",10,""))))</f>
        <v>3</v>
      </c>
      <c r="S18" t="str">
        <f ca="1">IF(IncidentTable[[#This Row],[Resolution Time (Days)]]="","",
IF(IncidentTable[[#This Row],[Resolution Time (Days)]]&lt;=IncidentTable[[#This Row],[SLA Target (Days)]],"Yes","No"))</f>
        <v>No</v>
      </c>
    </row>
    <row r="19" spans="1:19" x14ac:dyDescent="0.25">
      <c r="A19" t="str">
        <f t="shared" ca="1" si="1"/>
        <v>INC867390</v>
      </c>
      <c r="B19" t="str" cm="1">
        <f t="array" aca="1" ref="B19" ca="1">INDEX(SystemList,RANDBETWEEN(1,ROWS(SystemList)))</f>
        <v>Reporting System</v>
      </c>
      <c r="C19" t="str" cm="1">
        <f t="array" aca="1" ref="C19" ca="1">INDEX(IssueTypeList,RANDBETWEEN(1,ROWS(IssueTypeList)))</f>
        <v>Integration Failure</v>
      </c>
      <c r="D19" t="str" cm="1">
        <f t="array" aca="1" ref="D19" ca="1">INDEX(PriorityList,RANDBETWEEN(1,ROWS(PriorityList)))</f>
        <v>Low</v>
      </c>
      <c r="E19" t="str" cm="1">
        <f t="array" aca="1" ref="E19" ca="1">INDEX(SeverityList,RANDBETWEEN(1,ROWS(SeverityList)))</f>
        <v>Major</v>
      </c>
      <c r="F19" t="str" cm="1">
        <f t="array" aca="1" ref="F19" ca="1">INDEX(RegionList,RANDBETWEEN(1,ROWS(RegionList)))</f>
        <v>Central</v>
      </c>
      <c r="G19" t="str" cm="1">
        <f t="array" aca="1" ref="G19" ca="1">INDEX(DepartmentList,RANDBETWEEN(1,ROWS(DepartmentList)))</f>
        <v>Billing</v>
      </c>
      <c r="H19" s="1">
        <f t="shared" ca="1" si="2"/>
        <v>45136</v>
      </c>
      <c r="I19" s="4" t="str">
        <f ca="1">IF(IncidentTable[[#This Row],[Resolution Time (Days)]]="","",IncidentTable[[#This Row],[Created Date]]+IncidentTable[[#This Row],[Resolution Time (Days)]])</f>
        <v/>
      </c>
      <c r="J19" t="str">
        <f ca="1">IF(OR(IncidentTable[[#This Row],[Status]]="Resolved",IncidentTable[[#This Row],[Status]]="Closed"),RANDBETWEEN(1,120),"")</f>
        <v/>
      </c>
      <c r="K19" t="str">
        <f t="shared" ca="1" si="0"/>
        <v>Open</v>
      </c>
      <c r="L19" t="str" cm="1">
        <f t="array" aca="1" ref="L19" ca="1">INDEX(AnalystList,RANDBETWEEN(1,ROWS(AnalystList)))</f>
        <v>Taylor Smith</v>
      </c>
      <c r="M19" t="str" cm="1">
        <f t="array" aca="1" ref="M19" ca="1">INDEX(RootCauseList,RANDBETWEEN(1,ROWS(RootCauseList)))</f>
        <v>Data Error</v>
      </c>
      <c r="N19">
        <f t="shared" ca="1" si="3"/>
        <v>7482.54</v>
      </c>
      <c r="O19" t="str">
        <f ca="1">IF(OR(IncidentTable[[#This Row],[Status]]="Resolved",IncidentTable[[#This Row],[Status]]="Closed"),
ROUND(IncidentTable[[#This Row],[Estimated Impact ($)]]*(1+RANDBETWEEN(-15,25)/100)+RAND(),2),
"")</f>
        <v/>
      </c>
      <c r="P19" t="str">
        <f ca="1">IF(IncidentTable[[#This Row],[Actual Impact ($)]]="","",ROUND(IncidentTable[[#This Row],[Actual Impact ($)]]-IncidentTable[[#This Row],[Estimated Impact ($)]],2))</f>
        <v/>
      </c>
      <c r="Q19" s="2" t="str">
        <f ca="1">IF(IncidentTable[[#This Row],[Actual Impact ($)]]="","",(IncidentTable[[#This Row],[Actual Impact ($)]]-IncidentTable[[#This Row],[Estimated Impact ($)]]) / IncidentTable[[#This Row],[Estimated Impact ($)]])</f>
        <v/>
      </c>
      <c r="R19" s="3">
        <f ca="1">IF(IncidentTable[[#This Row],[Priority]]="Critical",1,
IF(IncidentTable[[#This Row],[Priority]]="High",3,
IF(IncidentTable[[#This Row],[Priority]]="Medium",5,
IF(IncidentTable[[#This Row],[Priority]]="Low",10,""))))</f>
        <v>10</v>
      </c>
      <c r="S19" t="str">
        <f ca="1">IF(IncidentTable[[#This Row],[Resolution Time (Days)]]="","",
IF(IncidentTable[[#This Row],[Resolution Time (Days)]]&lt;=IncidentTable[[#This Row],[SLA Target (Days)]],"Yes","No"))</f>
        <v/>
      </c>
    </row>
    <row r="20" spans="1:19" x14ac:dyDescent="0.25">
      <c r="A20" t="str">
        <f t="shared" ca="1" si="1"/>
        <v>INC580677</v>
      </c>
      <c r="B20" t="str" cm="1">
        <f t="array" aca="1" ref="B20" ca="1">INDEX(SystemList,RANDBETWEEN(1,ROWS(SystemList)))</f>
        <v>Customer Portal</v>
      </c>
      <c r="C20" t="str" cm="1">
        <f t="array" aca="1" ref="C20" ca="1">INDEX(IssueTypeList,RANDBETWEEN(1,ROWS(IssueTypeList)))</f>
        <v>Performance Issue</v>
      </c>
      <c r="D20" t="str" cm="1">
        <f t="array" aca="1" ref="D20" ca="1">INDEX(PriorityList,RANDBETWEEN(1,ROWS(PriorityList)))</f>
        <v>Low</v>
      </c>
      <c r="E20" t="str" cm="1">
        <f t="array" aca="1" ref="E20" ca="1">INDEX(SeverityList,RANDBETWEEN(1,ROWS(SeverityList)))</f>
        <v>Moderate</v>
      </c>
      <c r="F20" t="str" cm="1">
        <f t="array" aca="1" ref="F20" ca="1">INDEX(RegionList,RANDBETWEEN(1,ROWS(RegionList)))</f>
        <v>Southeast</v>
      </c>
      <c r="G20" t="str" cm="1">
        <f t="array" aca="1" ref="G20" ca="1">INDEX(DepartmentList,RANDBETWEEN(1,ROWS(DepartmentList)))</f>
        <v>Compliance</v>
      </c>
      <c r="H20" s="1">
        <f t="shared" ca="1" si="2"/>
        <v>45285</v>
      </c>
      <c r="I20" s="4">
        <f ca="1">IF(IncidentTable[[#This Row],[Resolution Time (Days)]]="","",IncidentTable[[#This Row],[Created Date]]+IncidentTable[[#This Row],[Resolution Time (Days)]])</f>
        <v>45287</v>
      </c>
      <c r="J20">
        <f ca="1">IF(OR(IncidentTable[[#This Row],[Status]]="Resolved",IncidentTable[[#This Row],[Status]]="Closed"),RANDBETWEEN(1,120),"")</f>
        <v>2</v>
      </c>
      <c r="K20" t="str">
        <f t="shared" ca="1" si="0"/>
        <v>Resolved</v>
      </c>
      <c r="L20" t="str" cm="1">
        <f t="array" aca="1" ref="L20" ca="1">INDEX(AnalystList,RANDBETWEEN(1,ROWS(AnalystList)))</f>
        <v>Jordan Lee</v>
      </c>
      <c r="M20" t="str" cm="1">
        <f t="array" aca="1" ref="M20" ca="1">INDEX(RootCauseList,RANDBETWEEN(1,ROWS(RootCauseList)))</f>
        <v>Integration Failure</v>
      </c>
      <c r="N20">
        <f t="shared" ca="1" si="3"/>
        <v>25485.26</v>
      </c>
      <c r="O20">
        <f ca="1">IF(OR(IncidentTable[[#This Row],[Status]]="Resolved",IncidentTable[[#This Row],[Status]]="Closed"),
ROUND(IncidentTable[[#This Row],[Estimated Impact ($)]]*(1+RANDBETWEEN(-15,25)/100)+RAND(),2),
"")</f>
        <v>31092.79</v>
      </c>
      <c r="P20">
        <f ca="1">IF(IncidentTable[[#This Row],[Actual Impact ($)]]="","",ROUND(IncidentTable[[#This Row],[Actual Impact ($)]]-IncidentTable[[#This Row],[Estimated Impact ($)]],2))</f>
        <v>5607.53</v>
      </c>
      <c r="Q20" s="2">
        <f ca="1">IF(IncidentTable[[#This Row],[Actual Impact ($)]]="","",(IncidentTable[[#This Row],[Actual Impact ($)]]-IncidentTable[[#This Row],[Estimated Impact ($)]]) / IncidentTable[[#This Row],[Estimated Impact ($)]])</f>
        <v>0.22003032341047346</v>
      </c>
      <c r="R20" s="3">
        <f ca="1">IF(IncidentTable[[#This Row],[Priority]]="Critical",1,
IF(IncidentTable[[#This Row],[Priority]]="High",3,
IF(IncidentTable[[#This Row],[Priority]]="Medium",5,
IF(IncidentTable[[#This Row],[Priority]]="Low",10,""))))</f>
        <v>10</v>
      </c>
      <c r="S20" t="str">
        <f ca="1">IF(IncidentTable[[#This Row],[Resolution Time (Days)]]="","",
IF(IncidentTable[[#This Row],[Resolution Time (Days)]]&lt;=IncidentTable[[#This Row],[SLA Target (Days)]],"Yes","No"))</f>
        <v>Yes</v>
      </c>
    </row>
    <row r="21" spans="1:19" x14ac:dyDescent="0.25">
      <c r="A21" t="str">
        <f t="shared" ca="1" si="1"/>
        <v>INC600964</v>
      </c>
      <c r="B21" t="str" cm="1">
        <f t="array" aca="1" ref="B21" ca="1">INDEX(SystemList,RANDBETWEEN(1,ROWS(SystemList)))</f>
        <v>Regulatory System</v>
      </c>
      <c r="C21" t="str" cm="1">
        <f t="array" aca="1" ref="C21" ca="1">INDEX(IssueTypeList,RANDBETWEEN(1,ROWS(IssueTypeList)))</f>
        <v>Complaint</v>
      </c>
      <c r="D21" t="str" cm="1">
        <f t="array" aca="1" ref="D21" ca="1">INDEX(PriorityList,RANDBETWEEN(1,ROWS(PriorityList)))</f>
        <v>Medium</v>
      </c>
      <c r="E21" t="str" cm="1">
        <f t="array" aca="1" ref="E21" ca="1">INDEX(SeverityList,RANDBETWEEN(1,ROWS(SeverityList)))</f>
        <v>Moderate</v>
      </c>
      <c r="F21" t="str" cm="1">
        <f t="array" aca="1" ref="F21" ca="1">INDEX(RegionList,RANDBETWEEN(1,ROWS(RegionList)))</f>
        <v>East</v>
      </c>
      <c r="G21" t="str" cm="1">
        <f t="array" aca="1" ref="G21" ca="1">INDEX(DepartmentList,RANDBETWEEN(1,ROWS(DepartmentList)))</f>
        <v>Finance</v>
      </c>
      <c r="H21" s="1">
        <f t="shared" ca="1" si="2"/>
        <v>45405</v>
      </c>
      <c r="I21" s="4">
        <f ca="1">IF(IncidentTable[[#This Row],[Resolution Time (Days)]]="","",IncidentTable[[#This Row],[Created Date]]+IncidentTable[[#This Row],[Resolution Time (Days)]])</f>
        <v>45457</v>
      </c>
      <c r="J21">
        <f ca="1">IF(OR(IncidentTable[[#This Row],[Status]]="Resolved",IncidentTable[[#This Row],[Status]]="Closed"),RANDBETWEEN(1,120),"")</f>
        <v>52</v>
      </c>
      <c r="K21" t="str">
        <f t="shared" ca="1" si="0"/>
        <v>Resolved</v>
      </c>
      <c r="L21" t="str" cm="1">
        <f t="array" aca="1" ref="L21" ca="1">INDEX(AnalystList,RANDBETWEEN(1,ROWS(AnalystList)))</f>
        <v>Taylor Smith</v>
      </c>
      <c r="M21" t="str" cm="1">
        <f t="array" aca="1" ref="M21" ca="1">INDEX(RootCauseList,RANDBETWEEN(1,ROWS(RootCauseList)))</f>
        <v>Configuration Issue</v>
      </c>
      <c r="N21">
        <f t="shared" ca="1" si="3"/>
        <v>97.93</v>
      </c>
      <c r="O21">
        <f ca="1">IF(OR(IncidentTable[[#This Row],[Status]]="Resolved",IncidentTable[[#This Row],[Status]]="Closed"),
ROUND(IncidentTable[[#This Row],[Estimated Impact ($)]]*(1+RANDBETWEEN(-15,25)/100)+RAND(),2),
"")</f>
        <v>106.65</v>
      </c>
      <c r="P21">
        <f ca="1">IF(IncidentTable[[#This Row],[Actual Impact ($)]]="","",ROUND(IncidentTable[[#This Row],[Actual Impact ($)]]-IncidentTable[[#This Row],[Estimated Impact ($)]],2))</f>
        <v>8.7200000000000006</v>
      </c>
      <c r="Q21" s="2">
        <f ca="1">IF(IncidentTable[[#This Row],[Actual Impact ($)]]="","",(IncidentTable[[#This Row],[Actual Impact ($)]]-IncidentTable[[#This Row],[Estimated Impact ($)]]) / IncidentTable[[#This Row],[Estimated Impact ($)]])</f>
        <v>8.9043194118247709E-2</v>
      </c>
      <c r="R21" s="3">
        <f ca="1">IF(IncidentTable[[#This Row],[Priority]]="Critical",1,
IF(IncidentTable[[#This Row],[Priority]]="High",3,
IF(IncidentTable[[#This Row],[Priority]]="Medium",5,
IF(IncidentTable[[#This Row],[Priority]]="Low",10,""))))</f>
        <v>5</v>
      </c>
      <c r="S21" t="str">
        <f ca="1">IF(IncidentTable[[#This Row],[Resolution Time (Days)]]="","",
IF(IncidentTable[[#This Row],[Resolution Time (Days)]]&lt;=IncidentTable[[#This Row],[SLA Target (Days)]],"Yes","No"))</f>
        <v>No</v>
      </c>
    </row>
    <row r="22" spans="1:19" x14ac:dyDescent="0.25">
      <c r="A22" t="str">
        <f t="shared" ca="1" si="1"/>
        <v>INC210414</v>
      </c>
      <c r="B22" t="str" cm="1">
        <f t="array" aca="1" ref="B22" ca="1">INDEX(SystemList,RANDBETWEEN(1,ROWS(SystemList)))</f>
        <v>Policy Admin System</v>
      </c>
      <c r="C22" t="str" cm="1">
        <f t="array" aca="1" ref="C22" ca="1">INDEX(IssueTypeList,RANDBETWEEN(1,ROWS(IssueTypeList)))</f>
        <v>Integration Failure</v>
      </c>
      <c r="D22" t="str" cm="1">
        <f t="array" aca="1" ref="D22" ca="1">INDEX(PriorityList,RANDBETWEEN(1,ROWS(PriorityList)))</f>
        <v>Low</v>
      </c>
      <c r="E22" t="str" cm="1">
        <f t="array" aca="1" ref="E22" ca="1">INDEX(SeverityList,RANDBETWEEN(1,ROWS(SeverityList)))</f>
        <v>Major</v>
      </c>
      <c r="F22" t="str" cm="1">
        <f t="array" aca="1" ref="F22" ca="1">INDEX(RegionList,RANDBETWEEN(1,ROWS(RegionList)))</f>
        <v>Southeast</v>
      </c>
      <c r="G22" t="str" cm="1">
        <f t="array" aca="1" ref="G22" ca="1">INDEX(DepartmentList,RANDBETWEEN(1,ROWS(DepartmentList)))</f>
        <v>Finance</v>
      </c>
      <c r="H22" s="1">
        <f t="shared" ca="1" si="2"/>
        <v>45471</v>
      </c>
      <c r="I22" s="4">
        <f ca="1">IF(IncidentTable[[#This Row],[Resolution Time (Days)]]="","",IncidentTable[[#This Row],[Created Date]]+IncidentTable[[#This Row],[Resolution Time (Days)]])</f>
        <v>45545</v>
      </c>
      <c r="J22">
        <f ca="1">IF(OR(IncidentTable[[#This Row],[Status]]="Resolved",IncidentTable[[#This Row],[Status]]="Closed"),RANDBETWEEN(1,120),"")</f>
        <v>74</v>
      </c>
      <c r="K22" t="str">
        <f t="shared" ca="1" si="0"/>
        <v>Resolved</v>
      </c>
      <c r="L22" t="str" cm="1">
        <f t="array" aca="1" ref="L22" ca="1">INDEX(AnalystList,RANDBETWEEN(1,ROWS(AnalystList)))</f>
        <v>Jordan Lee</v>
      </c>
      <c r="M22" t="str" cm="1">
        <f t="array" aca="1" ref="M22" ca="1">INDEX(RootCauseList,RANDBETWEEN(1,ROWS(RootCauseList)))</f>
        <v>Process Gap</v>
      </c>
      <c r="N22">
        <f t="shared" ca="1" si="3"/>
        <v>789.37</v>
      </c>
      <c r="O22">
        <f ca="1">IF(OR(IncidentTable[[#This Row],[Status]]="Resolved",IncidentTable[[#This Row],[Status]]="Closed"),
ROUND(IncidentTable[[#This Row],[Estimated Impact ($)]]*(1+RANDBETWEEN(-15,25)/100)+RAND(),2),
"")</f>
        <v>711.11</v>
      </c>
      <c r="P22">
        <f ca="1">IF(IncidentTable[[#This Row],[Actual Impact ($)]]="","",ROUND(IncidentTable[[#This Row],[Actual Impact ($)]]-IncidentTable[[#This Row],[Estimated Impact ($)]],2))</f>
        <v>-78.260000000000005</v>
      </c>
      <c r="Q22" s="2">
        <f ca="1">IF(IncidentTable[[#This Row],[Actual Impact ($)]]="","",(IncidentTable[[#This Row],[Actual Impact ($)]]-IncidentTable[[#This Row],[Estimated Impact ($)]]) / IncidentTable[[#This Row],[Estimated Impact ($)]])</f>
        <v>-9.914235402916248E-2</v>
      </c>
      <c r="R22" s="3">
        <f ca="1">IF(IncidentTable[[#This Row],[Priority]]="Critical",1,
IF(IncidentTable[[#This Row],[Priority]]="High",3,
IF(IncidentTable[[#This Row],[Priority]]="Medium",5,
IF(IncidentTable[[#This Row],[Priority]]="Low",10,""))))</f>
        <v>10</v>
      </c>
      <c r="S22" t="str">
        <f ca="1">IF(IncidentTable[[#This Row],[Resolution Time (Days)]]="","",
IF(IncidentTable[[#This Row],[Resolution Time (Days)]]&lt;=IncidentTable[[#This Row],[SLA Target (Days)]],"Yes","No"))</f>
        <v>No</v>
      </c>
    </row>
    <row r="23" spans="1:19" x14ac:dyDescent="0.25">
      <c r="A23" t="str">
        <f t="shared" ca="1" si="1"/>
        <v>INC839065</v>
      </c>
      <c r="B23" t="str" cm="1">
        <f t="array" aca="1" ref="B23" ca="1">INDEX(SystemList,RANDBETWEEN(1,ROWS(SystemList)))</f>
        <v>Policy Admin System</v>
      </c>
      <c r="C23" t="str" cm="1">
        <f t="array" aca="1" ref="C23" ca="1">INDEX(IssueTypeList,RANDBETWEEN(1,ROWS(IssueTypeList)))</f>
        <v>Integration Failure</v>
      </c>
      <c r="D23" t="str" cm="1">
        <f t="array" aca="1" ref="D23" ca="1">INDEX(PriorityList,RANDBETWEEN(1,ROWS(PriorityList)))</f>
        <v>Critical</v>
      </c>
      <c r="E23" t="str" cm="1">
        <f t="array" aca="1" ref="E23" ca="1">INDEX(SeverityList,RANDBETWEEN(1,ROWS(SeverityList)))</f>
        <v>Moderate</v>
      </c>
      <c r="F23" t="str" cm="1">
        <f t="array" aca="1" ref="F23" ca="1">INDEX(RegionList,RANDBETWEEN(1,ROWS(RegionList)))</f>
        <v>East</v>
      </c>
      <c r="G23" t="str" cm="1">
        <f t="array" aca="1" ref="G23" ca="1">INDEX(DepartmentList,RANDBETWEEN(1,ROWS(DepartmentList)))</f>
        <v>Claims</v>
      </c>
      <c r="H23" s="1">
        <f t="shared" ca="1" si="2"/>
        <v>45153</v>
      </c>
      <c r="I23" s="4" t="str">
        <f ca="1">IF(IncidentTable[[#This Row],[Resolution Time (Days)]]="","",IncidentTable[[#This Row],[Created Date]]+IncidentTable[[#This Row],[Resolution Time (Days)]])</f>
        <v/>
      </c>
      <c r="J23" t="str">
        <f ca="1">IF(OR(IncidentTable[[#This Row],[Status]]="Resolved",IncidentTable[[#This Row],[Status]]="Closed"),RANDBETWEEN(1,120),"")</f>
        <v/>
      </c>
      <c r="K23" t="str">
        <f t="shared" ca="1" si="0"/>
        <v>Open</v>
      </c>
      <c r="L23" t="str" cm="1">
        <f t="array" aca="1" ref="L23" ca="1">INDEX(AnalystList,RANDBETWEEN(1,ROWS(AnalystList)))</f>
        <v>Riley Wilson</v>
      </c>
      <c r="M23" t="str" cm="1">
        <f t="array" aca="1" ref="M23" ca="1">INDEX(RootCauseList,RANDBETWEEN(1,ROWS(RootCauseList)))</f>
        <v>System Bug</v>
      </c>
      <c r="N23">
        <f t="shared" ca="1" si="3"/>
        <v>4427.34</v>
      </c>
      <c r="O23" t="str">
        <f ca="1">IF(OR(IncidentTable[[#This Row],[Status]]="Resolved",IncidentTable[[#This Row],[Status]]="Closed"),
ROUND(IncidentTable[[#This Row],[Estimated Impact ($)]]*(1+RANDBETWEEN(-15,25)/100)+RAND(),2),
"")</f>
        <v/>
      </c>
      <c r="P23" t="str">
        <f ca="1">IF(IncidentTable[[#This Row],[Actual Impact ($)]]="","",ROUND(IncidentTable[[#This Row],[Actual Impact ($)]]-IncidentTable[[#This Row],[Estimated Impact ($)]],2))</f>
        <v/>
      </c>
      <c r="Q23" s="2" t="str">
        <f ca="1">IF(IncidentTable[[#This Row],[Actual Impact ($)]]="","",(IncidentTable[[#This Row],[Actual Impact ($)]]-IncidentTable[[#This Row],[Estimated Impact ($)]]) / IncidentTable[[#This Row],[Estimated Impact ($)]])</f>
        <v/>
      </c>
      <c r="R23" s="3">
        <f ca="1">IF(IncidentTable[[#This Row],[Priority]]="Critical",1,
IF(IncidentTable[[#This Row],[Priority]]="High",3,
IF(IncidentTable[[#This Row],[Priority]]="Medium",5,
IF(IncidentTable[[#This Row],[Priority]]="Low",10,""))))</f>
        <v>1</v>
      </c>
      <c r="S23" t="str">
        <f ca="1">IF(IncidentTable[[#This Row],[Resolution Time (Days)]]="","",
IF(IncidentTable[[#This Row],[Resolution Time (Days)]]&lt;=IncidentTable[[#This Row],[SLA Target (Days)]],"Yes","No"))</f>
        <v/>
      </c>
    </row>
    <row r="24" spans="1:19" x14ac:dyDescent="0.25">
      <c r="A24" t="str">
        <f t="shared" ca="1" si="1"/>
        <v>INC689609</v>
      </c>
      <c r="B24" t="str" cm="1">
        <f t="array" aca="1" ref="B24" ca="1">INDEX(SystemList,RANDBETWEEN(1,ROWS(SystemList)))</f>
        <v>Policy Admin System</v>
      </c>
      <c r="C24" t="str" cm="1">
        <f t="array" aca="1" ref="C24" ca="1">INDEX(IssueTypeList,RANDBETWEEN(1,ROWS(IssueTypeList)))</f>
        <v>Data Issue</v>
      </c>
      <c r="D24" t="str" cm="1">
        <f t="array" aca="1" ref="D24" ca="1">INDEX(PriorityList,RANDBETWEEN(1,ROWS(PriorityList)))</f>
        <v>Critical</v>
      </c>
      <c r="E24" t="str" cm="1">
        <f t="array" aca="1" ref="E24" ca="1">INDEX(SeverityList,RANDBETWEEN(1,ROWS(SeverityList)))</f>
        <v>Major</v>
      </c>
      <c r="F24" t="str" cm="1">
        <f t="array" aca="1" ref="F24" ca="1">INDEX(RegionList,RANDBETWEEN(1,ROWS(RegionList)))</f>
        <v>West</v>
      </c>
      <c r="G24" t="str" cm="1">
        <f t="array" aca="1" ref="G24" ca="1">INDEX(DepartmentList,RANDBETWEEN(1,ROWS(DepartmentList)))</f>
        <v>Compliance</v>
      </c>
      <c r="H24" s="1">
        <f t="shared" ca="1" si="2"/>
        <v>45146</v>
      </c>
      <c r="I24" s="4">
        <f ca="1">IF(IncidentTable[[#This Row],[Resolution Time (Days)]]="","",IncidentTable[[#This Row],[Created Date]]+IncidentTable[[#This Row],[Resolution Time (Days)]])</f>
        <v>45158</v>
      </c>
      <c r="J24">
        <f ca="1">IF(OR(IncidentTable[[#This Row],[Status]]="Resolved",IncidentTable[[#This Row],[Status]]="Closed"),RANDBETWEEN(1,120),"")</f>
        <v>12</v>
      </c>
      <c r="K24" t="str">
        <f t="shared" ca="1" si="0"/>
        <v>Resolved</v>
      </c>
      <c r="L24" t="str" cm="1">
        <f t="array" aca="1" ref="L24" ca="1">INDEX(AnalystList,RANDBETWEEN(1,ROWS(AnalystList)))</f>
        <v>Riley Wilson</v>
      </c>
      <c r="M24" t="str" cm="1">
        <f t="array" aca="1" ref="M24" ca="1">INDEX(RootCauseList,RANDBETWEEN(1,ROWS(RootCauseList)))</f>
        <v>Integration Failure</v>
      </c>
      <c r="N24">
        <f t="shared" ca="1" si="3"/>
        <v>4876.29</v>
      </c>
      <c r="O24">
        <f ca="1">IF(OR(IncidentTable[[#This Row],[Status]]="Resolved",IncidentTable[[#This Row],[Status]]="Closed"),
ROUND(IncidentTable[[#This Row],[Estimated Impact ($)]]*(1+RANDBETWEEN(-15,25)/100)+RAND(),2),
"")</f>
        <v>4876.92</v>
      </c>
      <c r="P24">
        <f ca="1">IF(IncidentTable[[#This Row],[Actual Impact ($)]]="","",ROUND(IncidentTable[[#This Row],[Actual Impact ($)]]-IncidentTable[[#This Row],[Estimated Impact ($)]],2))</f>
        <v>0.63</v>
      </c>
      <c r="Q24" s="2">
        <f ca="1">IF(IncidentTable[[#This Row],[Actual Impact ($)]]="","",(IncidentTable[[#This Row],[Actual Impact ($)]]-IncidentTable[[#This Row],[Estimated Impact ($)]]) / IncidentTable[[#This Row],[Estimated Impact ($)]])</f>
        <v>1.2919658182760033E-4</v>
      </c>
      <c r="R24" s="3">
        <f ca="1">IF(IncidentTable[[#This Row],[Priority]]="Critical",1,
IF(IncidentTable[[#This Row],[Priority]]="High",3,
IF(IncidentTable[[#This Row],[Priority]]="Medium",5,
IF(IncidentTable[[#This Row],[Priority]]="Low",10,""))))</f>
        <v>1</v>
      </c>
      <c r="S24" t="str">
        <f ca="1">IF(IncidentTable[[#This Row],[Resolution Time (Days)]]="","",
IF(IncidentTable[[#This Row],[Resolution Time (Days)]]&lt;=IncidentTable[[#This Row],[SLA Target (Days)]],"Yes","No"))</f>
        <v>No</v>
      </c>
    </row>
    <row r="25" spans="1:19" x14ac:dyDescent="0.25">
      <c r="A25" t="str">
        <f t="shared" ca="1" si="1"/>
        <v>INC159737</v>
      </c>
      <c r="B25" t="str" cm="1">
        <f t="array" aca="1" ref="B25" ca="1">INDEX(SystemList,RANDBETWEEN(1,ROWS(SystemList)))</f>
        <v>Claims System</v>
      </c>
      <c r="C25" t="str" cm="1">
        <f t="array" aca="1" ref="C25" ca="1">INDEX(IssueTypeList,RANDBETWEEN(1,ROWS(IssueTypeList)))</f>
        <v>System Error</v>
      </c>
      <c r="D25" t="str" cm="1">
        <f t="array" aca="1" ref="D25" ca="1">INDEX(PriorityList,RANDBETWEEN(1,ROWS(PriorityList)))</f>
        <v>Low</v>
      </c>
      <c r="E25" t="str" cm="1">
        <f t="array" aca="1" ref="E25" ca="1">INDEX(SeverityList,RANDBETWEEN(1,ROWS(SeverityList)))</f>
        <v>Major</v>
      </c>
      <c r="F25" t="str" cm="1">
        <f t="array" aca="1" ref="F25" ca="1">INDEX(RegionList,RANDBETWEEN(1,ROWS(RegionList)))</f>
        <v>Southeast</v>
      </c>
      <c r="G25" t="str" cm="1">
        <f t="array" aca="1" ref="G25" ca="1">INDEX(DepartmentList,RANDBETWEEN(1,ROWS(DepartmentList)))</f>
        <v>IT</v>
      </c>
      <c r="H25" s="1">
        <f t="shared" ca="1" si="2"/>
        <v>45370</v>
      </c>
      <c r="I25" s="4">
        <f ca="1">IF(IncidentTable[[#This Row],[Resolution Time (Days)]]="","",IncidentTable[[#This Row],[Created Date]]+IncidentTable[[#This Row],[Resolution Time (Days)]])</f>
        <v>45449</v>
      </c>
      <c r="J25">
        <f ca="1">IF(OR(IncidentTable[[#This Row],[Status]]="Resolved",IncidentTable[[#This Row],[Status]]="Closed"),RANDBETWEEN(1,120),"")</f>
        <v>79</v>
      </c>
      <c r="K25" t="str">
        <f t="shared" ca="1" si="0"/>
        <v>Resolved</v>
      </c>
      <c r="L25" t="str" cm="1">
        <f t="array" aca="1" ref="L25" ca="1">INDEX(AnalystList,RANDBETWEEN(1,ROWS(AnalystList)))</f>
        <v>Morgan Davis</v>
      </c>
      <c r="M25" t="str" cm="1">
        <f t="array" aca="1" ref="M25" ca="1">INDEX(RootCauseList,RANDBETWEEN(1,ROWS(RootCauseList)))</f>
        <v>System Bug</v>
      </c>
      <c r="N25">
        <f t="shared" ca="1" si="3"/>
        <v>8205.44</v>
      </c>
      <c r="O25">
        <f ca="1">IF(OR(IncidentTable[[#This Row],[Status]]="Resolved",IncidentTable[[#This Row],[Status]]="Closed"),
ROUND(IncidentTable[[#This Row],[Estimated Impact ($)]]*(1+RANDBETWEEN(-15,25)/100)+RAND(),2),
"")</f>
        <v>8369.85</v>
      </c>
      <c r="P25">
        <f ca="1">IF(IncidentTable[[#This Row],[Actual Impact ($)]]="","",ROUND(IncidentTable[[#This Row],[Actual Impact ($)]]-IncidentTable[[#This Row],[Estimated Impact ($)]],2))</f>
        <v>164.41</v>
      </c>
      <c r="Q25" s="2">
        <f ca="1">IF(IncidentTable[[#This Row],[Actual Impact ($)]]="","",(IncidentTable[[#This Row],[Actual Impact ($)]]-IncidentTable[[#This Row],[Estimated Impact ($)]]) / IncidentTable[[#This Row],[Estimated Impact ($)]])</f>
        <v>2.0036707355120486E-2</v>
      </c>
      <c r="R25" s="3">
        <f ca="1">IF(IncidentTable[[#This Row],[Priority]]="Critical",1,
IF(IncidentTable[[#This Row],[Priority]]="High",3,
IF(IncidentTable[[#This Row],[Priority]]="Medium",5,
IF(IncidentTable[[#This Row],[Priority]]="Low",10,""))))</f>
        <v>10</v>
      </c>
      <c r="S25" t="str">
        <f ca="1">IF(IncidentTable[[#This Row],[Resolution Time (Days)]]="","",
IF(IncidentTable[[#This Row],[Resolution Time (Days)]]&lt;=IncidentTable[[#This Row],[SLA Target (Days)]],"Yes","No"))</f>
        <v>No</v>
      </c>
    </row>
    <row r="26" spans="1:19" x14ac:dyDescent="0.25">
      <c r="A26" t="str">
        <f t="shared" ca="1" si="1"/>
        <v>INC478502</v>
      </c>
      <c r="B26" t="str" cm="1">
        <f t="array" aca="1" ref="B26" ca="1">INDEX(SystemList,RANDBETWEEN(1,ROWS(SystemList)))</f>
        <v>Claims System</v>
      </c>
      <c r="C26" t="str" cm="1">
        <f t="array" aca="1" ref="C26" ca="1">INDEX(IssueTypeList,RANDBETWEEN(1,ROWS(IssueTypeList)))</f>
        <v>Integration Failure</v>
      </c>
      <c r="D26" t="str" cm="1">
        <f t="array" aca="1" ref="D26" ca="1">INDEX(PriorityList,RANDBETWEEN(1,ROWS(PriorityList)))</f>
        <v>Critical</v>
      </c>
      <c r="E26" t="str" cm="1">
        <f t="array" aca="1" ref="E26" ca="1">INDEX(SeverityList,RANDBETWEEN(1,ROWS(SeverityList)))</f>
        <v>Major</v>
      </c>
      <c r="F26" t="str" cm="1">
        <f t="array" aca="1" ref="F26" ca="1">INDEX(RegionList,RANDBETWEEN(1,ROWS(RegionList)))</f>
        <v>Central</v>
      </c>
      <c r="G26" t="str" cm="1">
        <f t="array" aca="1" ref="G26" ca="1">INDEX(DepartmentList,RANDBETWEEN(1,ROWS(DepartmentList)))</f>
        <v>Finance</v>
      </c>
      <c r="H26" s="1">
        <f t="shared" ca="1" si="2"/>
        <v>44973</v>
      </c>
      <c r="I26" s="4">
        <f ca="1">IF(IncidentTable[[#This Row],[Resolution Time (Days)]]="","",IncidentTable[[#This Row],[Created Date]]+IncidentTable[[#This Row],[Resolution Time (Days)]])</f>
        <v>45014</v>
      </c>
      <c r="J26">
        <f ca="1">IF(OR(IncidentTable[[#This Row],[Status]]="Resolved",IncidentTable[[#This Row],[Status]]="Closed"),RANDBETWEEN(1,120),"")</f>
        <v>41</v>
      </c>
      <c r="K26" t="str">
        <f t="shared" ca="1" si="0"/>
        <v>Resolved</v>
      </c>
      <c r="L26" t="str" cm="1">
        <f t="array" aca="1" ref="L26" ca="1">INDEX(AnalystList,RANDBETWEEN(1,ROWS(AnalystList)))</f>
        <v>Jordan Lee</v>
      </c>
      <c r="M26" t="str" cm="1">
        <f t="array" aca="1" ref="M26" ca="1">INDEX(RootCauseList,RANDBETWEEN(1,ROWS(RootCauseList)))</f>
        <v>Unknown</v>
      </c>
      <c r="N26">
        <f t="shared" ca="1" si="3"/>
        <v>7998.27</v>
      </c>
      <c r="O26">
        <f ca="1">IF(OR(IncidentTable[[#This Row],[Status]]="Resolved",IncidentTable[[#This Row],[Status]]="Closed"),
ROUND(IncidentTable[[#This Row],[Estimated Impact ($)]]*(1+RANDBETWEEN(-15,25)/100)+RAND(),2),
"")</f>
        <v>7119.24</v>
      </c>
      <c r="P26">
        <f ca="1">IF(IncidentTable[[#This Row],[Actual Impact ($)]]="","",ROUND(IncidentTable[[#This Row],[Actual Impact ($)]]-IncidentTable[[#This Row],[Estimated Impact ($)]],2))</f>
        <v>-879.03</v>
      </c>
      <c r="Q26" s="2">
        <f ca="1">IF(IncidentTable[[#This Row],[Actual Impact ($)]]="","",(IncidentTable[[#This Row],[Actual Impact ($)]]-IncidentTable[[#This Row],[Estimated Impact ($)]]) / IncidentTable[[#This Row],[Estimated Impact ($)]])</f>
        <v>-0.10990251641917573</v>
      </c>
      <c r="R26" s="3">
        <f ca="1">IF(IncidentTable[[#This Row],[Priority]]="Critical",1,
IF(IncidentTable[[#This Row],[Priority]]="High",3,
IF(IncidentTable[[#This Row],[Priority]]="Medium",5,
IF(IncidentTable[[#This Row],[Priority]]="Low",10,""))))</f>
        <v>1</v>
      </c>
      <c r="S26" t="str">
        <f ca="1">IF(IncidentTable[[#This Row],[Resolution Time (Days)]]="","",
IF(IncidentTable[[#This Row],[Resolution Time (Days)]]&lt;=IncidentTable[[#This Row],[SLA Target (Days)]],"Yes","No"))</f>
        <v>No</v>
      </c>
    </row>
    <row r="27" spans="1:19" x14ac:dyDescent="0.25">
      <c r="A27" t="str">
        <f t="shared" ca="1" si="1"/>
        <v>INC688318</v>
      </c>
      <c r="B27" t="str" cm="1">
        <f t="array" aca="1" ref="B27" ca="1">INDEX(SystemList,RANDBETWEEN(1,ROWS(SystemList)))</f>
        <v>Regulatory System</v>
      </c>
      <c r="C27" t="str" cm="1">
        <f t="array" aca="1" ref="C27" ca="1">INDEX(IssueTypeList,RANDBETWEEN(1,ROWS(IssueTypeList)))</f>
        <v>Processing Delay</v>
      </c>
      <c r="D27" t="str" cm="1">
        <f t="array" aca="1" ref="D27" ca="1">INDEX(PriorityList,RANDBETWEEN(1,ROWS(PriorityList)))</f>
        <v>Critical</v>
      </c>
      <c r="E27" t="str" cm="1">
        <f t="array" aca="1" ref="E27" ca="1">INDEX(SeverityList,RANDBETWEEN(1,ROWS(SeverityList)))</f>
        <v>Minor</v>
      </c>
      <c r="F27" t="str" cm="1">
        <f t="array" aca="1" ref="F27" ca="1">INDEX(RegionList,RANDBETWEEN(1,ROWS(RegionList)))</f>
        <v>Midwest</v>
      </c>
      <c r="G27" t="str" cm="1">
        <f t="array" aca="1" ref="G27" ca="1">INDEX(DepartmentList,RANDBETWEEN(1,ROWS(DepartmentList)))</f>
        <v>Claims</v>
      </c>
      <c r="H27" s="1">
        <f t="shared" ca="1" si="2"/>
        <v>45470</v>
      </c>
      <c r="I27" s="4" t="str">
        <f ca="1">IF(IncidentTable[[#This Row],[Resolution Time (Days)]]="","",IncidentTable[[#This Row],[Created Date]]+IncidentTable[[#This Row],[Resolution Time (Days)]])</f>
        <v/>
      </c>
      <c r="J27" t="str">
        <f ca="1">IF(OR(IncidentTable[[#This Row],[Status]]="Resolved",IncidentTable[[#This Row],[Status]]="Closed"),RANDBETWEEN(1,120),"")</f>
        <v/>
      </c>
      <c r="K27" t="str">
        <f t="shared" ca="1" si="0"/>
        <v>Open</v>
      </c>
      <c r="L27" t="str" cm="1">
        <f t="array" aca="1" ref="L27" ca="1">INDEX(AnalystList,RANDBETWEEN(1,ROWS(AnalystList)))</f>
        <v>Taylor Smith</v>
      </c>
      <c r="M27" t="str" cm="1">
        <f t="array" aca="1" ref="M27" ca="1">INDEX(RootCauseList,RANDBETWEEN(1,ROWS(RootCauseList)))</f>
        <v>Process Gap</v>
      </c>
      <c r="N27">
        <f t="shared" ca="1" si="3"/>
        <v>1.79</v>
      </c>
      <c r="O27" t="str">
        <f ca="1">IF(OR(IncidentTable[[#This Row],[Status]]="Resolved",IncidentTable[[#This Row],[Status]]="Closed"),
ROUND(IncidentTable[[#This Row],[Estimated Impact ($)]]*(1+RANDBETWEEN(-15,25)/100)+RAND(),2),
"")</f>
        <v/>
      </c>
      <c r="P27" t="str">
        <f ca="1">IF(IncidentTable[[#This Row],[Actual Impact ($)]]="","",ROUND(IncidentTable[[#This Row],[Actual Impact ($)]]-IncidentTable[[#This Row],[Estimated Impact ($)]],2))</f>
        <v/>
      </c>
      <c r="Q27" s="2" t="str">
        <f ca="1">IF(IncidentTable[[#This Row],[Actual Impact ($)]]="","",(IncidentTable[[#This Row],[Actual Impact ($)]]-IncidentTable[[#This Row],[Estimated Impact ($)]]) / IncidentTable[[#This Row],[Estimated Impact ($)]])</f>
        <v/>
      </c>
      <c r="R27" s="3">
        <f ca="1">IF(IncidentTable[[#This Row],[Priority]]="Critical",1,
IF(IncidentTable[[#This Row],[Priority]]="High",3,
IF(IncidentTable[[#This Row],[Priority]]="Medium",5,
IF(IncidentTable[[#This Row],[Priority]]="Low",10,""))))</f>
        <v>1</v>
      </c>
      <c r="S27" t="str">
        <f ca="1">IF(IncidentTable[[#This Row],[Resolution Time (Days)]]="","",
IF(IncidentTable[[#This Row],[Resolution Time (Days)]]&lt;=IncidentTable[[#This Row],[SLA Target (Days)]],"Yes","No"))</f>
        <v/>
      </c>
    </row>
    <row r="28" spans="1:19" x14ac:dyDescent="0.25">
      <c r="A28" t="str">
        <f t="shared" ca="1" si="1"/>
        <v>INC528051</v>
      </c>
      <c r="B28" t="str" cm="1">
        <f t="array" aca="1" ref="B28" ca="1">INDEX(SystemList,RANDBETWEEN(1,ROWS(SystemList)))</f>
        <v>Customer Portal</v>
      </c>
      <c r="C28" t="str" cm="1">
        <f t="array" aca="1" ref="C28" ca="1">INDEX(IssueTypeList,RANDBETWEEN(1,ROWS(IssueTypeList)))</f>
        <v>Performance Issue</v>
      </c>
      <c r="D28" t="str" cm="1">
        <f t="array" aca="1" ref="D28" ca="1">INDEX(PriorityList,RANDBETWEEN(1,ROWS(PriorityList)))</f>
        <v>Medium</v>
      </c>
      <c r="E28" t="str" cm="1">
        <f t="array" aca="1" ref="E28" ca="1">INDEX(SeverityList,RANDBETWEEN(1,ROWS(SeverityList)))</f>
        <v>Major</v>
      </c>
      <c r="F28" t="str" cm="1">
        <f t="array" aca="1" ref="F28" ca="1">INDEX(RegionList,RANDBETWEEN(1,ROWS(RegionList)))</f>
        <v>Midwest</v>
      </c>
      <c r="G28" t="str" cm="1">
        <f t="array" aca="1" ref="G28" ca="1">INDEX(DepartmentList,RANDBETWEEN(1,ROWS(DepartmentList)))</f>
        <v>Compliance</v>
      </c>
      <c r="H28" s="1">
        <f t="shared" ca="1" si="2"/>
        <v>45454</v>
      </c>
      <c r="I28" s="4">
        <f ca="1">IF(IncidentTable[[#This Row],[Resolution Time (Days)]]="","",IncidentTable[[#This Row],[Created Date]]+IncidentTable[[#This Row],[Resolution Time (Days)]])</f>
        <v>45567</v>
      </c>
      <c r="J28">
        <f ca="1">IF(OR(IncidentTable[[#This Row],[Status]]="Resolved",IncidentTable[[#This Row],[Status]]="Closed"),RANDBETWEEN(1,120),"")</f>
        <v>113</v>
      </c>
      <c r="K28" t="str">
        <f t="shared" ca="1" si="0"/>
        <v>Closed</v>
      </c>
      <c r="L28" t="str" cm="1">
        <f t="array" aca="1" ref="L28" ca="1">INDEX(AnalystList,RANDBETWEEN(1,ROWS(AnalystList)))</f>
        <v>Jordan Lee</v>
      </c>
      <c r="M28" t="str" cm="1">
        <f t="array" aca="1" ref="M28" ca="1">INDEX(RootCauseList,RANDBETWEEN(1,ROWS(RootCauseList)))</f>
        <v>System Bug</v>
      </c>
      <c r="N28">
        <f t="shared" ca="1" si="3"/>
        <v>18685.240000000002</v>
      </c>
      <c r="O28">
        <f ca="1">IF(OR(IncidentTable[[#This Row],[Status]]="Resolved",IncidentTable[[#This Row],[Status]]="Closed"),
ROUND(IncidentTable[[#This Row],[Estimated Impact ($)]]*(1+RANDBETWEEN(-15,25)/100)+RAND(),2),
"")</f>
        <v>18499.34</v>
      </c>
      <c r="P28">
        <f ca="1">IF(IncidentTable[[#This Row],[Actual Impact ($)]]="","",ROUND(IncidentTable[[#This Row],[Actual Impact ($)]]-IncidentTable[[#This Row],[Estimated Impact ($)]],2))</f>
        <v>-185.9</v>
      </c>
      <c r="Q28" s="2">
        <f ca="1">IF(IncidentTable[[#This Row],[Actual Impact ($)]]="","",(IncidentTable[[#This Row],[Actual Impact ($)]]-IncidentTable[[#This Row],[Estimated Impact ($)]]) / IncidentTable[[#This Row],[Estimated Impact ($)]])</f>
        <v>-9.9490292872877976E-3</v>
      </c>
      <c r="R28" s="3">
        <f ca="1">IF(IncidentTable[[#This Row],[Priority]]="Critical",1,
IF(IncidentTable[[#This Row],[Priority]]="High",3,
IF(IncidentTable[[#This Row],[Priority]]="Medium",5,
IF(IncidentTable[[#This Row],[Priority]]="Low",10,""))))</f>
        <v>5</v>
      </c>
      <c r="S28" t="str">
        <f ca="1">IF(IncidentTable[[#This Row],[Resolution Time (Days)]]="","",
IF(IncidentTable[[#This Row],[Resolution Time (Days)]]&lt;=IncidentTable[[#This Row],[SLA Target (Days)]],"Yes","No"))</f>
        <v>No</v>
      </c>
    </row>
    <row r="29" spans="1:19" x14ac:dyDescent="0.25">
      <c r="A29" t="str">
        <f t="shared" ca="1" si="1"/>
        <v>INC948002</v>
      </c>
      <c r="B29" t="str" cm="1">
        <f t="array" aca="1" ref="B29" ca="1">INDEX(SystemList,RANDBETWEEN(1,ROWS(SystemList)))</f>
        <v>Claims System</v>
      </c>
      <c r="C29" t="str" cm="1">
        <f t="array" aca="1" ref="C29" ca="1">INDEX(IssueTypeList,RANDBETWEEN(1,ROWS(IssueTypeList)))</f>
        <v>Integration Failure</v>
      </c>
      <c r="D29" t="str" cm="1">
        <f t="array" aca="1" ref="D29" ca="1">INDEX(PriorityList,RANDBETWEEN(1,ROWS(PriorityList)))</f>
        <v>Medium</v>
      </c>
      <c r="E29" t="str" cm="1">
        <f t="array" aca="1" ref="E29" ca="1">INDEX(SeverityList,RANDBETWEEN(1,ROWS(SeverityList)))</f>
        <v>Major</v>
      </c>
      <c r="F29" t="str" cm="1">
        <f t="array" aca="1" ref="F29" ca="1">INDEX(RegionList,RANDBETWEEN(1,ROWS(RegionList)))</f>
        <v>Central</v>
      </c>
      <c r="G29" t="str" cm="1">
        <f t="array" aca="1" ref="G29" ca="1">INDEX(DepartmentList,RANDBETWEEN(1,ROWS(DepartmentList)))</f>
        <v>IT</v>
      </c>
      <c r="H29" s="1">
        <f t="shared" ca="1" si="2"/>
        <v>45226</v>
      </c>
      <c r="I29" s="4">
        <f ca="1">IF(IncidentTable[[#This Row],[Resolution Time (Days)]]="","",IncidentTable[[#This Row],[Created Date]]+IncidentTable[[#This Row],[Resolution Time (Days)]])</f>
        <v>45263</v>
      </c>
      <c r="J29">
        <f ca="1">IF(OR(IncidentTable[[#This Row],[Status]]="Resolved",IncidentTable[[#This Row],[Status]]="Closed"),RANDBETWEEN(1,120),"")</f>
        <v>37</v>
      </c>
      <c r="K29" t="str">
        <f t="shared" ca="1" si="0"/>
        <v>Closed</v>
      </c>
      <c r="L29" t="str" cm="1">
        <f t="array" aca="1" ref="L29" ca="1">INDEX(AnalystList,RANDBETWEEN(1,ROWS(AnalystList)))</f>
        <v>Morgan Davis</v>
      </c>
      <c r="M29" t="str" cm="1">
        <f t="array" aca="1" ref="M29" ca="1">INDEX(RootCauseList,RANDBETWEEN(1,ROWS(RootCauseList)))</f>
        <v>System Bug</v>
      </c>
      <c r="N29">
        <f t="shared" ca="1" si="3"/>
        <v>7188.15</v>
      </c>
      <c r="O29">
        <f ca="1">IF(OR(IncidentTable[[#This Row],[Status]]="Resolved",IncidentTable[[#This Row],[Status]]="Closed"),
ROUND(IncidentTable[[#This Row],[Estimated Impact ($)]]*(1+RANDBETWEEN(-15,25)/100)+RAND(),2),
"")</f>
        <v>8841.5300000000007</v>
      </c>
      <c r="P29">
        <f ca="1">IF(IncidentTable[[#This Row],[Actual Impact ($)]]="","",ROUND(IncidentTable[[#This Row],[Actual Impact ($)]]-IncidentTable[[#This Row],[Estimated Impact ($)]],2))</f>
        <v>1653.38</v>
      </c>
      <c r="Q29" s="2">
        <f ca="1">IF(IncidentTable[[#This Row],[Actual Impact ($)]]="","",(IncidentTable[[#This Row],[Actual Impact ($)]]-IncidentTable[[#This Row],[Estimated Impact ($)]]) / IncidentTable[[#This Row],[Estimated Impact ($)]])</f>
        <v>0.23001467693356442</v>
      </c>
      <c r="R29" s="3">
        <f ca="1">IF(IncidentTable[[#This Row],[Priority]]="Critical",1,
IF(IncidentTable[[#This Row],[Priority]]="High",3,
IF(IncidentTable[[#This Row],[Priority]]="Medium",5,
IF(IncidentTable[[#This Row],[Priority]]="Low",10,""))))</f>
        <v>5</v>
      </c>
      <c r="S29" t="str">
        <f ca="1">IF(IncidentTable[[#This Row],[Resolution Time (Days)]]="","",
IF(IncidentTable[[#This Row],[Resolution Time (Days)]]&lt;=IncidentTable[[#This Row],[SLA Target (Days)]],"Yes","No"))</f>
        <v>No</v>
      </c>
    </row>
    <row r="30" spans="1:19" x14ac:dyDescent="0.25">
      <c r="A30" t="str">
        <f t="shared" ca="1" si="1"/>
        <v>INC122555</v>
      </c>
      <c r="B30" t="str" cm="1">
        <f t="array" aca="1" ref="B30" ca="1">INDEX(SystemList,RANDBETWEEN(1,ROWS(SystemList)))</f>
        <v>Payment Processing</v>
      </c>
      <c r="C30" t="str" cm="1">
        <f t="array" aca="1" ref="C30" ca="1">INDEX(IssueTypeList,RANDBETWEEN(1,ROWS(IssueTypeList)))</f>
        <v>System Error</v>
      </c>
      <c r="D30" t="str" cm="1">
        <f t="array" aca="1" ref="D30" ca="1">INDEX(PriorityList,RANDBETWEEN(1,ROWS(PriorityList)))</f>
        <v>Low</v>
      </c>
      <c r="E30" t="str" cm="1">
        <f t="array" aca="1" ref="E30" ca="1">INDEX(SeverityList,RANDBETWEEN(1,ROWS(SeverityList)))</f>
        <v>Critical</v>
      </c>
      <c r="F30" t="str" cm="1">
        <f t="array" aca="1" ref="F30" ca="1">INDEX(RegionList,RANDBETWEEN(1,ROWS(RegionList)))</f>
        <v>East</v>
      </c>
      <c r="G30" t="str" cm="1">
        <f t="array" aca="1" ref="G30" ca="1">INDEX(DepartmentList,RANDBETWEEN(1,ROWS(DepartmentList)))</f>
        <v>Customer Service</v>
      </c>
      <c r="H30" s="1">
        <f t="shared" ca="1" si="2"/>
        <v>45114</v>
      </c>
      <c r="I30" s="4">
        <f ca="1">IF(IncidentTable[[#This Row],[Resolution Time (Days)]]="","",IncidentTable[[#This Row],[Created Date]]+IncidentTable[[#This Row],[Resolution Time (Days)]])</f>
        <v>45229</v>
      </c>
      <c r="J30">
        <f ca="1">IF(OR(IncidentTable[[#This Row],[Status]]="Resolved",IncidentTable[[#This Row],[Status]]="Closed"),RANDBETWEEN(1,120),"")</f>
        <v>115</v>
      </c>
      <c r="K30" t="str">
        <f t="shared" ca="1" si="0"/>
        <v>Resolved</v>
      </c>
      <c r="L30" t="str" cm="1">
        <f t="array" aca="1" ref="L30" ca="1">INDEX(AnalystList,RANDBETWEEN(1,ROWS(AnalystList)))</f>
        <v>Alex Johnson</v>
      </c>
      <c r="M30" t="str" cm="1">
        <f t="array" aca="1" ref="M30" ca="1">INDEX(RootCauseList,RANDBETWEEN(1,ROWS(RootCauseList)))</f>
        <v>Integration Failure</v>
      </c>
      <c r="N30">
        <f t="shared" ca="1" si="3"/>
        <v>1332.66</v>
      </c>
      <c r="O30">
        <f ca="1">IF(OR(IncidentTable[[#This Row],[Status]]="Resolved",IncidentTable[[#This Row],[Status]]="Closed"),
ROUND(IncidentTable[[#This Row],[Estimated Impact ($)]]*(1+RANDBETWEEN(-15,25)/100)+RAND(),2),
"")</f>
        <v>1360.24</v>
      </c>
      <c r="P30">
        <f ca="1">IF(IncidentTable[[#This Row],[Actual Impact ($)]]="","",ROUND(IncidentTable[[#This Row],[Actual Impact ($)]]-IncidentTable[[#This Row],[Estimated Impact ($)]],2))</f>
        <v>27.58</v>
      </c>
      <c r="Q30" s="2">
        <f ca="1">IF(IncidentTable[[#This Row],[Actual Impact ($)]]="","",(IncidentTable[[#This Row],[Actual Impact ($)]]-IncidentTable[[#This Row],[Estimated Impact ($)]]) / IncidentTable[[#This Row],[Estimated Impact ($)]])</f>
        <v>2.0695451202857387E-2</v>
      </c>
      <c r="R30" s="3">
        <f ca="1">IF(IncidentTable[[#This Row],[Priority]]="Critical",1,
IF(IncidentTable[[#This Row],[Priority]]="High",3,
IF(IncidentTable[[#This Row],[Priority]]="Medium",5,
IF(IncidentTable[[#This Row],[Priority]]="Low",10,""))))</f>
        <v>10</v>
      </c>
      <c r="S30" t="str">
        <f ca="1">IF(IncidentTable[[#This Row],[Resolution Time (Days)]]="","",
IF(IncidentTable[[#This Row],[Resolution Time (Days)]]&lt;=IncidentTable[[#This Row],[SLA Target (Days)]],"Yes","No"))</f>
        <v>No</v>
      </c>
    </row>
    <row r="31" spans="1:19" x14ac:dyDescent="0.25">
      <c r="A31" t="str">
        <f t="shared" ca="1" si="1"/>
        <v>INC608690</v>
      </c>
      <c r="B31" t="str" cm="1">
        <f t="array" aca="1" ref="B31" ca="1">INDEX(SystemList,RANDBETWEEN(1,ROWS(SystemList)))</f>
        <v>Policy Admin System</v>
      </c>
      <c r="C31" t="str" cm="1">
        <f t="array" aca="1" ref="C31" ca="1">INDEX(IssueTypeList,RANDBETWEEN(1,ROWS(IssueTypeList)))</f>
        <v>Processing Delay</v>
      </c>
      <c r="D31" t="str" cm="1">
        <f t="array" aca="1" ref="D31" ca="1">INDEX(PriorityList,RANDBETWEEN(1,ROWS(PriorityList)))</f>
        <v>Medium</v>
      </c>
      <c r="E31" t="str" cm="1">
        <f t="array" aca="1" ref="E31" ca="1">INDEX(SeverityList,RANDBETWEEN(1,ROWS(SeverityList)))</f>
        <v>Major</v>
      </c>
      <c r="F31" t="str" cm="1">
        <f t="array" aca="1" ref="F31" ca="1">INDEX(RegionList,RANDBETWEEN(1,ROWS(RegionList)))</f>
        <v>Central</v>
      </c>
      <c r="G31" t="str" cm="1">
        <f t="array" aca="1" ref="G31" ca="1">INDEX(DepartmentList,RANDBETWEEN(1,ROWS(DepartmentList)))</f>
        <v>Billing</v>
      </c>
      <c r="H31" s="1">
        <f t="shared" ca="1" si="2"/>
        <v>45167</v>
      </c>
      <c r="I31" s="4">
        <f ca="1">IF(IncidentTable[[#This Row],[Resolution Time (Days)]]="","",IncidentTable[[#This Row],[Created Date]]+IncidentTable[[#This Row],[Resolution Time (Days)]])</f>
        <v>45222</v>
      </c>
      <c r="J31">
        <f ca="1">IF(OR(IncidentTable[[#This Row],[Status]]="Resolved",IncidentTable[[#This Row],[Status]]="Closed"),RANDBETWEEN(1,120),"")</f>
        <v>55</v>
      </c>
      <c r="K31" t="str">
        <f t="shared" ca="1" si="0"/>
        <v>Closed</v>
      </c>
      <c r="L31" t="str" cm="1">
        <f t="array" aca="1" ref="L31" ca="1">INDEX(AnalystList,RANDBETWEEN(1,ROWS(AnalystList)))</f>
        <v>Casey Brown</v>
      </c>
      <c r="M31" t="str" cm="1">
        <f t="array" aca="1" ref="M31" ca="1">INDEX(RootCauseList,RANDBETWEEN(1,ROWS(RootCauseList)))</f>
        <v>System Bug</v>
      </c>
      <c r="N31">
        <f t="shared" ca="1" si="3"/>
        <v>3592.59</v>
      </c>
      <c r="O31">
        <f ca="1">IF(OR(IncidentTable[[#This Row],[Status]]="Resolved",IncidentTable[[#This Row],[Status]]="Closed"),
ROUND(IncidentTable[[#This Row],[Estimated Impact ($)]]*(1+RANDBETWEEN(-15,25)/100)+RAND(),2),
"")</f>
        <v>3520.76</v>
      </c>
      <c r="P31">
        <f ca="1">IF(IncidentTable[[#This Row],[Actual Impact ($)]]="","",ROUND(IncidentTable[[#This Row],[Actual Impact ($)]]-IncidentTable[[#This Row],[Estimated Impact ($)]],2))</f>
        <v>-71.83</v>
      </c>
      <c r="Q31" s="2">
        <f ca="1">IF(IncidentTable[[#This Row],[Actual Impact ($)]]="","",(IncidentTable[[#This Row],[Actual Impact ($)]]-IncidentTable[[#This Row],[Estimated Impact ($)]]) / IncidentTable[[#This Row],[Estimated Impact ($)]])</f>
        <v>-1.9993931954383863E-2</v>
      </c>
      <c r="R31" s="3">
        <f ca="1">IF(IncidentTable[[#This Row],[Priority]]="Critical",1,
IF(IncidentTable[[#This Row],[Priority]]="High",3,
IF(IncidentTable[[#This Row],[Priority]]="Medium",5,
IF(IncidentTable[[#This Row],[Priority]]="Low",10,""))))</f>
        <v>5</v>
      </c>
      <c r="S31" t="str">
        <f ca="1">IF(IncidentTable[[#This Row],[Resolution Time (Days)]]="","",
IF(IncidentTable[[#This Row],[Resolution Time (Days)]]&lt;=IncidentTable[[#This Row],[SLA Target (Days)]],"Yes","No"))</f>
        <v>No</v>
      </c>
    </row>
    <row r="32" spans="1:19" x14ac:dyDescent="0.25">
      <c r="A32" t="str">
        <f t="shared" ca="1" si="1"/>
        <v>INC382694</v>
      </c>
      <c r="B32" t="str" cm="1">
        <f t="array" aca="1" ref="B32" ca="1">INDEX(SystemList,RANDBETWEEN(1,ROWS(SystemList)))</f>
        <v>Billing System</v>
      </c>
      <c r="C32" t="str" cm="1">
        <f t="array" aca="1" ref="C32" ca="1">INDEX(IssueTypeList,RANDBETWEEN(1,ROWS(IssueTypeList)))</f>
        <v>Data Issue</v>
      </c>
      <c r="D32" t="str" cm="1">
        <f t="array" aca="1" ref="D32" ca="1">INDEX(PriorityList,RANDBETWEEN(1,ROWS(PriorityList)))</f>
        <v>Low</v>
      </c>
      <c r="E32" t="str" cm="1">
        <f t="array" aca="1" ref="E32" ca="1">INDEX(SeverityList,RANDBETWEEN(1,ROWS(SeverityList)))</f>
        <v>Major</v>
      </c>
      <c r="F32" t="str" cm="1">
        <f t="array" aca="1" ref="F32" ca="1">INDEX(RegionList,RANDBETWEEN(1,ROWS(RegionList)))</f>
        <v>Midwest</v>
      </c>
      <c r="G32" t="str" cm="1">
        <f t="array" aca="1" ref="G32" ca="1">INDEX(DepartmentList,RANDBETWEEN(1,ROWS(DepartmentList)))</f>
        <v>Billing</v>
      </c>
      <c r="H32" s="1">
        <f t="shared" ca="1" si="2"/>
        <v>45138</v>
      </c>
      <c r="I32" s="4" t="str">
        <f ca="1">IF(IncidentTable[[#This Row],[Resolution Time (Days)]]="","",IncidentTable[[#This Row],[Created Date]]+IncidentTable[[#This Row],[Resolution Time (Days)]])</f>
        <v/>
      </c>
      <c r="J32" t="str">
        <f ca="1">IF(OR(IncidentTable[[#This Row],[Status]]="Resolved",IncidentTable[[#This Row],[Status]]="Closed"),RANDBETWEEN(1,120),"")</f>
        <v/>
      </c>
      <c r="K32" t="str">
        <f t="shared" ca="1" si="0"/>
        <v>Pending</v>
      </c>
      <c r="L32" t="str" cm="1">
        <f t="array" aca="1" ref="L32" ca="1">INDEX(AnalystList,RANDBETWEEN(1,ROWS(AnalystList)))</f>
        <v>Casey Brown</v>
      </c>
      <c r="M32" t="str" cm="1">
        <f t="array" aca="1" ref="M32" ca="1">INDEX(RootCauseList,RANDBETWEEN(1,ROWS(RootCauseList)))</f>
        <v>Process Gap</v>
      </c>
      <c r="N32">
        <f t="shared" ca="1" si="3"/>
        <v>480.71</v>
      </c>
      <c r="O32" t="str">
        <f ca="1">IF(OR(IncidentTable[[#This Row],[Status]]="Resolved",IncidentTable[[#This Row],[Status]]="Closed"),
ROUND(IncidentTable[[#This Row],[Estimated Impact ($)]]*(1+RANDBETWEEN(-15,25)/100)+RAND(),2),
"")</f>
        <v/>
      </c>
      <c r="P32" t="str">
        <f ca="1">IF(IncidentTable[[#This Row],[Actual Impact ($)]]="","",ROUND(IncidentTable[[#This Row],[Actual Impact ($)]]-IncidentTable[[#This Row],[Estimated Impact ($)]],2))</f>
        <v/>
      </c>
      <c r="Q32" s="2" t="str">
        <f ca="1">IF(IncidentTable[[#This Row],[Actual Impact ($)]]="","",(IncidentTable[[#This Row],[Actual Impact ($)]]-IncidentTable[[#This Row],[Estimated Impact ($)]]) / IncidentTable[[#This Row],[Estimated Impact ($)]])</f>
        <v/>
      </c>
      <c r="R32" s="3">
        <f ca="1">IF(IncidentTable[[#This Row],[Priority]]="Critical",1,
IF(IncidentTable[[#This Row],[Priority]]="High",3,
IF(IncidentTable[[#This Row],[Priority]]="Medium",5,
IF(IncidentTable[[#This Row],[Priority]]="Low",10,""))))</f>
        <v>10</v>
      </c>
      <c r="S32" t="str">
        <f ca="1">IF(IncidentTable[[#This Row],[Resolution Time (Days)]]="","",
IF(IncidentTable[[#This Row],[Resolution Time (Days)]]&lt;=IncidentTable[[#This Row],[SLA Target (Days)]],"Yes","No"))</f>
        <v/>
      </c>
    </row>
    <row r="33" spans="1:19" x14ac:dyDescent="0.25">
      <c r="A33" t="str">
        <f t="shared" ca="1" si="1"/>
        <v>INC689293</v>
      </c>
      <c r="B33" t="str" cm="1">
        <f t="array" aca="1" ref="B33" ca="1">INDEX(SystemList,RANDBETWEEN(1,ROWS(SystemList)))</f>
        <v>Regulatory System</v>
      </c>
      <c r="C33" t="str" cm="1">
        <f t="array" aca="1" ref="C33" ca="1">INDEX(IssueTypeList,RANDBETWEEN(1,ROWS(IssueTypeList)))</f>
        <v>Integration Failure</v>
      </c>
      <c r="D33" t="str" cm="1">
        <f t="array" aca="1" ref="D33" ca="1">INDEX(PriorityList,RANDBETWEEN(1,ROWS(PriorityList)))</f>
        <v>Low</v>
      </c>
      <c r="E33" t="str" cm="1">
        <f t="array" aca="1" ref="E33" ca="1">INDEX(SeverityList,RANDBETWEEN(1,ROWS(SeverityList)))</f>
        <v>Minor</v>
      </c>
      <c r="F33" t="str" cm="1">
        <f t="array" aca="1" ref="F33" ca="1">INDEX(RegionList,RANDBETWEEN(1,ROWS(RegionList)))</f>
        <v>Central</v>
      </c>
      <c r="G33" t="str" cm="1">
        <f t="array" aca="1" ref="G33" ca="1">INDEX(DepartmentList,RANDBETWEEN(1,ROWS(DepartmentList)))</f>
        <v>Finance</v>
      </c>
      <c r="H33" s="1">
        <f t="shared" ca="1" si="2"/>
        <v>45388</v>
      </c>
      <c r="I33" s="4">
        <f ca="1">IF(IncidentTable[[#This Row],[Resolution Time (Days)]]="","",IncidentTable[[#This Row],[Created Date]]+IncidentTable[[#This Row],[Resolution Time (Days)]])</f>
        <v>45474</v>
      </c>
      <c r="J33">
        <f ca="1">IF(OR(IncidentTable[[#This Row],[Status]]="Resolved",IncidentTable[[#This Row],[Status]]="Closed"),RANDBETWEEN(1,120),"")</f>
        <v>86</v>
      </c>
      <c r="K33" t="str">
        <f t="shared" ca="1" si="0"/>
        <v>Closed</v>
      </c>
      <c r="L33" t="str" cm="1">
        <f t="array" aca="1" ref="L33" ca="1">INDEX(AnalystList,RANDBETWEEN(1,ROWS(AnalystList)))</f>
        <v>Taylor Smith</v>
      </c>
      <c r="M33" t="str" cm="1">
        <f t="array" aca="1" ref="M33" ca="1">INDEX(RootCauseList,RANDBETWEEN(1,ROWS(RootCauseList)))</f>
        <v>User Error</v>
      </c>
      <c r="N33">
        <f t="shared" ca="1" si="3"/>
        <v>84.26</v>
      </c>
      <c r="O33">
        <f ca="1">IF(OR(IncidentTable[[#This Row],[Status]]="Resolved",IncidentTable[[#This Row],[Status]]="Closed"),
ROUND(IncidentTable[[#This Row],[Estimated Impact ($)]]*(1+RANDBETWEEN(-15,25)/100)+RAND(),2),
"")</f>
        <v>94.52</v>
      </c>
      <c r="P33">
        <f ca="1">IF(IncidentTable[[#This Row],[Actual Impact ($)]]="","",ROUND(IncidentTable[[#This Row],[Actual Impact ($)]]-IncidentTable[[#This Row],[Estimated Impact ($)]],2))</f>
        <v>10.26</v>
      </c>
      <c r="Q33" s="2">
        <f ca="1">IF(IncidentTable[[#This Row],[Actual Impact ($)]]="","",(IncidentTable[[#This Row],[Actual Impact ($)]]-IncidentTable[[#This Row],[Estimated Impact ($)]]) / IncidentTable[[#This Row],[Estimated Impact ($)]])</f>
        <v>0.12176596249703288</v>
      </c>
      <c r="R33" s="3">
        <f ca="1">IF(IncidentTable[[#This Row],[Priority]]="Critical",1,
IF(IncidentTable[[#This Row],[Priority]]="High",3,
IF(IncidentTable[[#This Row],[Priority]]="Medium",5,
IF(IncidentTable[[#This Row],[Priority]]="Low",10,""))))</f>
        <v>10</v>
      </c>
      <c r="S33" t="str">
        <f ca="1">IF(IncidentTable[[#This Row],[Resolution Time (Days)]]="","",
IF(IncidentTable[[#This Row],[Resolution Time (Days)]]&lt;=IncidentTable[[#This Row],[SLA Target (Days)]],"Yes","No"))</f>
        <v>No</v>
      </c>
    </row>
    <row r="34" spans="1:19" x14ac:dyDescent="0.25">
      <c r="A34" t="str">
        <f t="shared" ca="1" si="1"/>
        <v>INC549442</v>
      </c>
      <c r="B34" t="str" cm="1">
        <f t="array" aca="1" ref="B34" ca="1">INDEX(SystemList,RANDBETWEEN(1,ROWS(SystemList)))</f>
        <v>Billing System</v>
      </c>
      <c r="C34" t="str" cm="1">
        <f t="array" aca="1" ref="C34" ca="1">INDEX(IssueTypeList,RANDBETWEEN(1,ROWS(IssueTypeList)))</f>
        <v>Integration Failure</v>
      </c>
      <c r="D34" t="str" cm="1">
        <f t="array" aca="1" ref="D34" ca="1">INDEX(PriorityList,RANDBETWEEN(1,ROWS(PriorityList)))</f>
        <v>Critical</v>
      </c>
      <c r="E34" t="str" cm="1">
        <f t="array" aca="1" ref="E34" ca="1">INDEX(SeverityList,RANDBETWEEN(1,ROWS(SeverityList)))</f>
        <v>Minor</v>
      </c>
      <c r="F34" t="str" cm="1">
        <f t="array" aca="1" ref="F34" ca="1">INDEX(RegionList,RANDBETWEEN(1,ROWS(RegionList)))</f>
        <v>West</v>
      </c>
      <c r="G34" t="str" cm="1">
        <f t="array" aca="1" ref="G34" ca="1">INDEX(DepartmentList,RANDBETWEEN(1,ROWS(DepartmentList)))</f>
        <v>IT</v>
      </c>
      <c r="H34" s="1">
        <f t="shared" ca="1" si="2"/>
        <v>45206</v>
      </c>
      <c r="I34" s="4">
        <f ca="1">IF(IncidentTable[[#This Row],[Resolution Time (Days)]]="","",IncidentTable[[#This Row],[Created Date]]+IncidentTable[[#This Row],[Resolution Time (Days)]])</f>
        <v>45243</v>
      </c>
      <c r="J34">
        <f ca="1">IF(OR(IncidentTable[[#This Row],[Status]]="Resolved",IncidentTable[[#This Row],[Status]]="Closed"),RANDBETWEEN(1,120),"")</f>
        <v>37</v>
      </c>
      <c r="K34" t="str">
        <f t="shared" ca="1" si="0"/>
        <v>Resolved</v>
      </c>
      <c r="L34" t="str" cm="1">
        <f t="array" aca="1" ref="L34" ca="1">INDEX(AnalystList,RANDBETWEEN(1,ROWS(AnalystList)))</f>
        <v>Riley Wilson</v>
      </c>
      <c r="M34" t="str" cm="1">
        <f t="array" aca="1" ref="M34" ca="1">INDEX(RootCauseList,RANDBETWEEN(1,ROWS(RootCauseList)))</f>
        <v>User Error</v>
      </c>
      <c r="N34">
        <f t="shared" ca="1" si="3"/>
        <v>6275.08</v>
      </c>
      <c r="O34">
        <f ca="1">IF(OR(IncidentTable[[#This Row],[Status]]="Resolved",IncidentTable[[#This Row],[Status]]="Closed"),
ROUND(IncidentTable[[#This Row],[Estimated Impact ($)]]*(1+RANDBETWEEN(-15,25)/100)+RAND(),2),
"")</f>
        <v>7656.51</v>
      </c>
      <c r="P34">
        <f ca="1">IF(IncidentTable[[#This Row],[Actual Impact ($)]]="","",ROUND(IncidentTable[[#This Row],[Actual Impact ($)]]-IncidentTable[[#This Row],[Estimated Impact ($)]],2))</f>
        <v>1381.43</v>
      </c>
      <c r="Q34" s="2">
        <f ca="1">IF(IncidentTable[[#This Row],[Actual Impact ($)]]="","",(IncidentTable[[#This Row],[Actual Impact ($)]]-IncidentTable[[#This Row],[Estimated Impact ($)]]) / IncidentTable[[#This Row],[Estimated Impact ($)]])</f>
        <v>0.22014540053672627</v>
      </c>
      <c r="R34" s="3">
        <f ca="1">IF(IncidentTable[[#This Row],[Priority]]="Critical",1,
IF(IncidentTable[[#This Row],[Priority]]="High",3,
IF(IncidentTable[[#This Row],[Priority]]="Medium",5,
IF(IncidentTable[[#This Row],[Priority]]="Low",10,""))))</f>
        <v>1</v>
      </c>
      <c r="S34" t="str">
        <f ca="1">IF(IncidentTable[[#This Row],[Resolution Time (Days)]]="","",
IF(IncidentTable[[#This Row],[Resolution Time (Days)]]&lt;=IncidentTable[[#This Row],[SLA Target (Days)]],"Yes","No"))</f>
        <v>No</v>
      </c>
    </row>
    <row r="35" spans="1:19" x14ac:dyDescent="0.25">
      <c r="A35" t="str">
        <f t="shared" ca="1" si="1"/>
        <v>INC230808</v>
      </c>
      <c r="B35" t="str" cm="1">
        <f t="array" aca="1" ref="B35" ca="1">INDEX(SystemList,RANDBETWEEN(1,ROWS(SystemList)))</f>
        <v>Reporting System</v>
      </c>
      <c r="C35" t="str" cm="1">
        <f t="array" aca="1" ref="C35" ca="1">INDEX(IssueTypeList,RANDBETWEEN(1,ROWS(IssueTypeList)))</f>
        <v>Complaint</v>
      </c>
      <c r="D35" t="str" cm="1">
        <f t="array" aca="1" ref="D35" ca="1">INDEX(PriorityList,RANDBETWEEN(1,ROWS(PriorityList)))</f>
        <v>Low</v>
      </c>
      <c r="E35" t="str" cm="1">
        <f t="array" aca="1" ref="E35" ca="1">INDEX(SeverityList,RANDBETWEEN(1,ROWS(SeverityList)))</f>
        <v>Minor</v>
      </c>
      <c r="F35" t="str" cm="1">
        <f t="array" aca="1" ref="F35" ca="1">INDEX(RegionList,RANDBETWEEN(1,ROWS(RegionList)))</f>
        <v>Central</v>
      </c>
      <c r="G35" t="str" cm="1">
        <f t="array" aca="1" ref="G35" ca="1">INDEX(DepartmentList,RANDBETWEEN(1,ROWS(DepartmentList)))</f>
        <v>Billing</v>
      </c>
      <c r="H35" s="1">
        <f t="shared" ca="1" si="2"/>
        <v>45095</v>
      </c>
      <c r="I35" s="4" t="str">
        <f ca="1">IF(IncidentTable[[#This Row],[Resolution Time (Days)]]="","",IncidentTable[[#This Row],[Created Date]]+IncidentTable[[#This Row],[Resolution Time (Days)]])</f>
        <v/>
      </c>
      <c r="J35" t="str">
        <f ca="1">IF(OR(IncidentTable[[#This Row],[Status]]="Resolved",IncidentTable[[#This Row],[Status]]="Closed"),RANDBETWEEN(1,120),"")</f>
        <v/>
      </c>
      <c r="K35" t="str">
        <f t="shared" ca="1" si="0"/>
        <v>Open</v>
      </c>
      <c r="L35" t="str" cm="1">
        <f t="array" aca="1" ref="L35" ca="1">INDEX(AnalystList,RANDBETWEEN(1,ROWS(AnalystList)))</f>
        <v>Riley Wilson</v>
      </c>
      <c r="M35" t="str" cm="1">
        <f t="array" aca="1" ref="M35" ca="1">INDEX(RootCauseList,RANDBETWEEN(1,ROWS(RootCauseList)))</f>
        <v>Data Error</v>
      </c>
      <c r="N35">
        <f t="shared" ca="1" si="3"/>
        <v>2610.86</v>
      </c>
      <c r="O35" t="str">
        <f ca="1">IF(OR(IncidentTable[[#This Row],[Status]]="Resolved",IncidentTable[[#This Row],[Status]]="Closed"),
ROUND(IncidentTable[[#This Row],[Estimated Impact ($)]]*(1+RANDBETWEEN(-15,25)/100)+RAND(),2),
"")</f>
        <v/>
      </c>
      <c r="P35" t="str">
        <f ca="1">IF(IncidentTable[[#This Row],[Actual Impact ($)]]="","",ROUND(IncidentTable[[#This Row],[Actual Impact ($)]]-IncidentTable[[#This Row],[Estimated Impact ($)]],2))</f>
        <v/>
      </c>
      <c r="Q35" s="2" t="str">
        <f ca="1">IF(IncidentTable[[#This Row],[Actual Impact ($)]]="","",(IncidentTable[[#This Row],[Actual Impact ($)]]-IncidentTable[[#This Row],[Estimated Impact ($)]]) / IncidentTable[[#This Row],[Estimated Impact ($)]])</f>
        <v/>
      </c>
      <c r="R35" s="3">
        <f ca="1">IF(IncidentTable[[#This Row],[Priority]]="Critical",1,
IF(IncidentTable[[#This Row],[Priority]]="High",3,
IF(IncidentTable[[#This Row],[Priority]]="Medium",5,
IF(IncidentTable[[#This Row],[Priority]]="Low",10,""))))</f>
        <v>10</v>
      </c>
      <c r="S35" t="str">
        <f ca="1">IF(IncidentTable[[#This Row],[Resolution Time (Days)]]="","",
IF(IncidentTable[[#This Row],[Resolution Time (Days)]]&lt;=IncidentTable[[#This Row],[SLA Target (Days)]],"Yes","No"))</f>
        <v/>
      </c>
    </row>
    <row r="36" spans="1:19" x14ac:dyDescent="0.25">
      <c r="A36" t="str">
        <f t="shared" ca="1" si="1"/>
        <v>INC222234</v>
      </c>
      <c r="B36" t="str" cm="1">
        <f t="array" aca="1" ref="B36" ca="1">INDEX(SystemList,RANDBETWEEN(1,ROWS(SystemList)))</f>
        <v>Claims System</v>
      </c>
      <c r="C36" t="str" cm="1">
        <f t="array" aca="1" ref="C36" ca="1">INDEX(IssueTypeList,RANDBETWEEN(1,ROWS(IssueTypeList)))</f>
        <v>Data Issue</v>
      </c>
      <c r="D36" t="str" cm="1">
        <f t="array" aca="1" ref="D36" ca="1">INDEX(PriorityList,RANDBETWEEN(1,ROWS(PriorityList)))</f>
        <v>High</v>
      </c>
      <c r="E36" t="str" cm="1">
        <f t="array" aca="1" ref="E36" ca="1">INDEX(SeverityList,RANDBETWEEN(1,ROWS(SeverityList)))</f>
        <v>Moderate</v>
      </c>
      <c r="F36" t="str" cm="1">
        <f t="array" aca="1" ref="F36" ca="1">INDEX(RegionList,RANDBETWEEN(1,ROWS(RegionList)))</f>
        <v>West</v>
      </c>
      <c r="G36" t="str" cm="1">
        <f t="array" aca="1" ref="G36" ca="1">INDEX(DepartmentList,RANDBETWEEN(1,ROWS(DepartmentList)))</f>
        <v>Billing</v>
      </c>
      <c r="H36" s="1">
        <f t="shared" ca="1" si="2"/>
        <v>44971</v>
      </c>
      <c r="I36" s="4">
        <f ca="1">IF(IncidentTable[[#This Row],[Resolution Time (Days)]]="","",IncidentTable[[#This Row],[Created Date]]+IncidentTable[[#This Row],[Resolution Time (Days)]])</f>
        <v>44980</v>
      </c>
      <c r="J36">
        <f ca="1">IF(OR(IncidentTable[[#This Row],[Status]]="Resolved",IncidentTable[[#This Row],[Status]]="Closed"),RANDBETWEEN(1,120),"")</f>
        <v>9</v>
      </c>
      <c r="K36" t="str">
        <f t="shared" ca="1" si="0"/>
        <v>Resolved</v>
      </c>
      <c r="L36" t="str" cm="1">
        <f t="array" aca="1" ref="L36" ca="1">INDEX(AnalystList,RANDBETWEEN(1,ROWS(AnalystList)))</f>
        <v>Jordan Lee</v>
      </c>
      <c r="M36" t="str" cm="1">
        <f t="array" aca="1" ref="M36" ca="1">INDEX(RootCauseList,RANDBETWEEN(1,ROWS(RootCauseList)))</f>
        <v>Process Gap</v>
      </c>
      <c r="N36">
        <f t="shared" ca="1" si="3"/>
        <v>32284.78</v>
      </c>
      <c r="O36">
        <f ca="1">IF(OR(IncidentTable[[#This Row],[Status]]="Resolved",IncidentTable[[#This Row],[Status]]="Closed"),
ROUND(IncidentTable[[#This Row],[Estimated Impact ($)]]*(1+RANDBETWEEN(-15,25)/100)+RAND(),2),
"")</f>
        <v>29056.52</v>
      </c>
      <c r="P36">
        <f ca="1">IF(IncidentTable[[#This Row],[Actual Impact ($)]]="","",ROUND(IncidentTable[[#This Row],[Actual Impact ($)]]-IncidentTable[[#This Row],[Estimated Impact ($)]],2))</f>
        <v>-3228.26</v>
      </c>
      <c r="Q36" s="2">
        <f ca="1">IF(IncidentTable[[#This Row],[Actual Impact ($)]]="","",(IncidentTable[[#This Row],[Actual Impact ($)]]-IncidentTable[[#This Row],[Estimated Impact ($)]]) / IncidentTable[[#This Row],[Estimated Impact ($)]])</f>
        <v>-9.9993247592209039E-2</v>
      </c>
      <c r="R36" s="3">
        <f ca="1">IF(IncidentTable[[#This Row],[Priority]]="Critical",1,
IF(IncidentTable[[#This Row],[Priority]]="High",3,
IF(IncidentTable[[#This Row],[Priority]]="Medium",5,
IF(IncidentTable[[#This Row],[Priority]]="Low",10,""))))</f>
        <v>3</v>
      </c>
      <c r="S36" t="str">
        <f ca="1">IF(IncidentTable[[#This Row],[Resolution Time (Days)]]="","",
IF(IncidentTable[[#This Row],[Resolution Time (Days)]]&lt;=IncidentTable[[#This Row],[SLA Target (Days)]],"Yes","No"))</f>
        <v>No</v>
      </c>
    </row>
    <row r="37" spans="1:19" x14ac:dyDescent="0.25">
      <c r="A37" t="str">
        <f t="shared" ca="1" si="1"/>
        <v>INC621993</v>
      </c>
      <c r="B37" t="str" cm="1">
        <f t="array" aca="1" ref="B37" ca="1">INDEX(SystemList,RANDBETWEEN(1,ROWS(SystemList)))</f>
        <v>Billing System</v>
      </c>
      <c r="C37" t="str" cm="1">
        <f t="array" aca="1" ref="C37" ca="1">INDEX(IssueTypeList,RANDBETWEEN(1,ROWS(IssueTypeList)))</f>
        <v>System Error</v>
      </c>
      <c r="D37" t="str" cm="1">
        <f t="array" aca="1" ref="D37" ca="1">INDEX(PriorityList,RANDBETWEEN(1,ROWS(PriorityList)))</f>
        <v>Critical</v>
      </c>
      <c r="E37" t="str" cm="1">
        <f t="array" aca="1" ref="E37" ca="1">INDEX(SeverityList,RANDBETWEEN(1,ROWS(SeverityList)))</f>
        <v>Moderate</v>
      </c>
      <c r="F37" t="str" cm="1">
        <f t="array" aca="1" ref="F37" ca="1">INDEX(RegionList,RANDBETWEEN(1,ROWS(RegionList)))</f>
        <v>Southeast</v>
      </c>
      <c r="G37" t="str" cm="1">
        <f t="array" aca="1" ref="G37" ca="1">INDEX(DepartmentList,RANDBETWEEN(1,ROWS(DepartmentList)))</f>
        <v>Finance</v>
      </c>
      <c r="H37" s="1">
        <f t="shared" ca="1" si="2"/>
        <v>45231</v>
      </c>
      <c r="I37" s="4" t="str">
        <f ca="1">IF(IncidentTable[[#This Row],[Resolution Time (Days)]]="","",IncidentTable[[#This Row],[Created Date]]+IncidentTable[[#This Row],[Resolution Time (Days)]])</f>
        <v/>
      </c>
      <c r="J37" t="str">
        <f ca="1">IF(OR(IncidentTable[[#This Row],[Status]]="Resolved",IncidentTable[[#This Row],[Status]]="Closed"),RANDBETWEEN(1,120),"")</f>
        <v/>
      </c>
      <c r="K37" t="str">
        <f t="shared" ca="1" si="0"/>
        <v>In Progress</v>
      </c>
      <c r="L37" t="str" cm="1">
        <f t="array" aca="1" ref="L37" ca="1">INDEX(AnalystList,RANDBETWEEN(1,ROWS(AnalystList)))</f>
        <v>Alex Johnson</v>
      </c>
      <c r="M37" t="str" cm="1">
        <f t="array" aca="1" ref="M37" ca="1">INDEX(RootCauseList,RANDBETWEEN(1,ROWS(RootCauseList)))</f>
        <v>Configuration Issue</v>
      </c>
      <c r="N37">
        <f t="shared" ca="1" si="3"/>
        <v>186.65</v>
      </c>
      <c r="O37" t="str">
        <f ca="1">IF(OR(IncidentTable[[#This Row],[Status]]="Resolved",IncidentTable[[#This Row],[Status]]="Closed"),
ROUND(IncidentTable[[#This Row],[Estimated Impact ($)]]*(1+RANDBETWEEN(-15,25)/100)+RAND(),2),
"")</f>
        <v/>
      </c>
      <c r="P37" t="str">
        <f ca="1">IF(IncidentTable[[#This Row],[Actual Impact ($)]]="","",ROUND(IncidentTable[[#This Row],[Actual Impact ($)]]-IncidentTable[[#This Row],[Estimated Impact ($)]],2))</f>
        <v/>
      </c>
      <c r="Q37" s="2" t="str">
        <f ca="1">IF(IncidentTable[[#This Row],[Actual Impact ($)]]="","",(IncidentTable[[#This Row],[Actual Impact ($)]]-IncidentTable[[#This Row],[Estimated Impact ($)]]) / IncidentTable[[#This Row],[Estimated Impact ($)]])</f>
        <v/>
      </c>
      <c r="R37" s="3">
        <f ca="1">IF(IncidentTable[[#This Row],[Priority]]="Critical",1,
IF(IncidentTable[[#This Row],[Priority]]="High",3,
IF(IncidentTable[[#This Row],[Priority]]="Medium",5,
IF(IncidentTable[[#This Row],[Priority]]="Low",10,""))))</f>
        <v>1</v>
      </c>
      <c r="S37" t="str">
        <f ca="1">IF(IncidentTable[[#This Row],[Resolution Time (Days)]]="","",
IF(IncidentTable[[#This Row],[Resolution Time (Days)]]&lt;=IncidentTable[[#This Row],[SLA Target (Days)]],"Yes","No"))</f>
        <v/>
      </c>
    </row>
    <row r="38" spans="1:19" x14ac:dyDescent="0.25">
      <c r="A38" t="str">
        <f t="shared" ca="1" si="1"/>
        <v>INC582109</v>
      </c>
      <c r="B38" t="str" cm="1">
        <f t="array" aca="1" ref="B38" ca="1">INDEX(SystemList,RANDBETWEEN(1,ROWS(SystemList)))</f>
        <v>Payment Processing</v>
      </c>
      <c r="C38" t="str" cm="1">
        <f t="array" aca="1" ref="C38" ca="1">INDEX(IssueTypeList,RANDBETWEEN(1,ROWS(IssueTypeList)))</f>
        <v>Complaint</v>
      </c>
      <c r="D38" t="str" cm="1">
        <f t="array" aca="1" ref="D38" ca="1">INDEX(PriorityList,RANDBETWEEN(1,ROWS(PriorityList)))</f>
        <v>Low</v>
      </c>
      <c r="E38" t="str" cm="1">
        <f t="array" aca="1" ref="E38" ca="1">INDEX(SeverityList,RANDBETWEEN(1,ROWS(SeverityList)))</f>
        <v>Minor</v>
      </c>
      <c r="F38" t="str" cm="1">
        <f t="array" aca="1" ref="F38" ca="1">INDEX(RegionList,RANDBETWEEN(1,ROWS(RegionList)))</f>
        <v>West</v>
      </c>
      <c r="G38" t="str" cm="1">
        <f t="array" aca="1" ref="G38" ca="1">INDEX(DepartmentList,RANDBETWEEN(1,ROWS(DepartmentList)))</f>
        <v>Compliance</v>
      </c>
      <c r="H38" s="1">
        <f t="shared" ca="1" si="2"/>
        <v>45029</v>
      </c>
      <c r="I38" s="4" t="str">
        <f ca="1">IF(IncidentTable[[#This Row],[Resolution Time (Days)]]="","",IncidentTable[[#This Row],[Created Date]]+IncidentTable[[#This Row],[Resolution Time (Days)]])</f>
        <v/>
      </c>
      <c r="J38" t="str">
        <f ca="1">IF(OR(IncidentTable[[#This Row],[Status]]="Resolved",IncidentTable[[#This Row],[Status]]="Closed"),RANDBETWEEN(1,120),"")</f>
        <v/>
      </c>
      <c r="K38" t="str">
        <f t="shared" ca="1" si="0"/>
        <v>Open</v>
      </c>
      <c r="L38" t="str" cm="1">
        <f t="array" aca="1" ref="L38" ca="1">INDEX(AnalystList,RANDBETWEEN(1,ROWS(AnalystList)))</f>
        <v>Taylor Smith</v>
      </c>
      <c r="M38" t="str" cm="1">
        <f t="array" aca="1" ref="M38" ca="1">INDEX(RootCauseList,RANDBETWEEN(1,ROWS(RootCauseList)))</f>
        <v>Unknown</v>
      </c>
      <c r="N38">
        <f t="shared" ca="1" si="3"/>
        <v>8137.12</v>
      </c>
      <c r="O38" t="str">
        <f ca="1">IF(OR(IncidentTable[[#This Row],[Status]]="Resolved",IncidentTable[[#This Row],[Status]]="Closed"),
ROUND(IncidentTable[[#This Row],[Estimated Impact ($)]]*(1+RANDBETWEEN(-15,25)/100)+RAND(),2),
"")</f>
        <v/>
      </c>
      <c r="P38" t="str">
        <f ca="1">IF(IncidentTable[[#This Row],[Actual Impact ($)]]="","",ROUND(IncidentTable[[#This Row],[Actual Impact ($)]]-IncidentTable[[#This Row],[Estimated Impact ($)]],2))</f>
        <v/>
      </c>
      <c r="Q38" s="2" t="str">
        <f ca="1">IF(IncidentTable[[#This Row],[Actual Impact ($)]]="","",(IncidentTable[[#This Row],[Actual Impact ($)]]-IncidentTable[[#This Row],[Estimated Impact ($)]]) / IncidentTable[[#This Row],[Estimated Impact ($)]])</f>
        <v/>
      </c>
      <c r="R38" s="3">
        <f ca="1">IF(IncidentTable[[#This Row],[Priority]]="Critical",1,
IF(IncidentTable[[#This Row],[Priority]]="High",3,
IF(IncidentTable[[#This Row],[Priority]]="Medium",5,
IF(IncidentTable[[#This Row],[Priority]]="Low",10,""))))</f>
        <v>10</v>
      </c>
      <c r="S38" t="str">
        <f ca="1">IF(IncidentTable[[#This Row],[Resolution Time (Days)]]="","",
IF(IncidentTable[[#This Row],[Resolution Time (Days)]]&lt;=IncidentTable[[#This Row],[SLA Target (Days)]],"Yes","No"))</f>
        <v/>
      </c>
    </row>
    <row r="39" spans="1:19" x14ac:dyDescent="0.25">
      <c r="A39" t="str">
        <f t="shared" ca="1" si="1"/>
        <v>INC372597</v>
      </c>
      <c r="B39" t="str" cm="1">
        <f t="array" aca="1" ref="B39" ca="1">INDEX(SystemList,RANDBETWEEN(1,ROWS(SystemList)))</f>
        <v>Regulatory System</v>
      </c>
      <c r="C39" t="str" cm="1">
        <f t="array" aca="1" ref="C39" ca="1">INDEX(IssueTypeList,RANDBETWEEN(1,ROWS(IssueTypeList)))</f>
        <v>User Access Issue</v>
      </c>
      <c r="D39" t="str" cm="1">
        <f t="array" aca="1" ref="D39" ca="1">INDEX(PriorityList,RANDBETWEEN(1,ROWS(PriorityList)))</f>
        <v>Low</v>
      </c>
      <c r="E39" t="str" cm="1">
        <f t="array" aca="1" ref="E39" ca="1">INDEX(SeverityList,RANDBETWEEN(1,ROWS(SeverityList)))</f>
        <v>Moderate</v>
      </c>
      <c r="F39" t="str" cm="1">
        <f t="array" aca="1" ref="F39" ca="1">INDEX(RegionList,RANDBETWEEN(1,ROWS(RegionList)))</f>
        <v>West</v>
      </c>
      <c r="G39" t="str" cm="1">
        <f t="array" aca="1" ref="G39" ca="1">INDEX(DepartmentList,RANDBETWEEN(1,ROWS(DepartmentList)))</f>
        <v>Claims</v>
      </c>
      <c r="H39" s="1">
        <f t="shared" ca="1" si="2"/>
        <v>45263</v>
      </c>
      <c r="I39" s="4" t="str">
        <f ca="1">IF(IncidentTable[[#This Row],[Resolution Time (Days)]]="","",IncidentTable[[#This Row],[Created Date]]+IncidentTable[[#This Row],[Resolution Time (Days)]])</f>
        <v/>
      </c>
      <c r="J39" t="str">
        <f ca="1">IF(OR(IncidentTable[[#This Row],[Status]]="Resolved",IncidentTable[[#This Row],[Status]]="Closed"),RANDBETWEEN(1,120),"")</f>
        <v/>
      </c>
      <c r="K39" t="str">
        <f t="shared" ca="1" si="0"/>
        <v>In Progress</v>
      </c>
      <c r="L39" t="str" cm="1">
        <f t="array" aca="1" ref="L39" ca="1">INDEX(AnalystList,RANDBETWEEN(1,ROWS(AnalystList)))</f>
        <v>Casey Brown</v>
      </c>
      <c r="M39" t="str" cm="1">
        <f t="array" aca="1" ref="M39" ca="1">INDEX(RootCauseList,RANDBETWEEN(1,ROWS(RootCauseList)))</f>
        <v>Data Error</v>
      </c>
      <c r="N39">
        <f t="shared" ca="1" si="3"/>
        <v>5336.36</v>
      </c>
      <c r="O39" t="str">
        <f ca="1">IF(OR(IncidentTable[[#This Row],[Status]]="Resolved",IncidentTable[[#This Row],[Status]]="Closed"),
ROUND(IncidentTable[[#This Row],[Estimated Impact ($)]]*(1+RANDBETWEEN(-15,25)/100)+RAND(),2),
"")</f>
        <v/>
      </c>
      <c r="P39" t="str">
        <f ca="1">IF(IncidentTable[[#This Row],[Actual Impact ($)]]="","",ROUND(IncidentTable[[#This Row],[Actual Impact ($)]]-IncidentTable[[#This Row],[Estimated Impact ($)]],2))</f>
        <v/>
      </c>
      <c r="Q39" s="2" t="str">
        <f ca="1">IF(IncidentTable[[#This Row],[Actual Impact ($)]]="","",(IncidentTable[[#This Row],[Actual Impact ($)]]-IncidentTable[[#This Row],[Estimated Impact ($)]]) / IncidentTable[[#This Row],[Estimated Impact ($)]])</f>
        <v/>
      </c>
      <c r="R39" s="3">
        <f ca="1">IF(IncidentTable[[#This Row],[Priority]]="Critical",1,
IF(IncidentTable[[#This Row],[Priority]]="High",3,
IF(IncidentTable[[#This Row],[Priority]]="Medium",5,
IF(IncidentTable[[#This Row],[Priority]]="Low",10,""))))</f>
        <v>10</v>
      </c>
      <c r="S39" t="str">
        <f ca="1">IF(IncidentTable[[#This Row],[Resolution Time (Days)]]="","",
IF(IncidentTable[[#This Row],[Resolution Time (Days)]]&lt;=IncidentTable[[#This Row],[SLA Target (Days)]],"Yes","No"))</f>
        <v/>
      </c>
    </row>
    <row r="40" spans="1:19" x14ac:dyDescent="0.25">
      <c r="A40" t="str">
        <f t="shared" ca="1" si="1"/>
        <v>INC179964</v>
      </c>
      <c r="B40" t="str" cm="1">
        <f t="array" aca="1" ref="B40" ca="1">INDEX(SystemList,RANDBETWEEN(1,ROWS(SystemList)))</f>
        <v>Payment Processing</v>
      </c>
      <c r="C40" t="str" cm="1">
        <f t="array" aca="1" ref="C40" ca="1">INDEX(IssueTypeList,RANDBETWEEN(1,ROWS(IssueTypeList)))</f>
        <v>Payment Failure</v>
      </c>
      <c r="D40" t="str" cm="1">
        <f t="array" aca="1" ref="D40" ca="1">INDEX(PriorityList,RANDBETWEEN(1,ROWS(PriorityList)))</f>
        <v>Medium</v>
      </c>
      <c r="E40" t="str" cm="1">
        <f t="array" aca="1" ref="E40" ca="1">INDEX(SeverityList,RANDBETWEEN(1,ROWS(SeverityList)))</f>
        <v>Moderate</v>
      </c>
      <c r="F40" t="str" cm="1">
        <f t="array" aca="1" ref="F40" ca="1">INDEX(RegionList,RANDBETWEEN(1,ROWS(RegionList)))</f>
        <v>Central</v>
      </c>
      <c r="G40" t="str" cm="1">
        <f t="array" aca="1" ref="G40" ca="1">INDEX(DepartmentList,RANDBETWEEN(1,ROWS(DepartmentList)))</f>
        <v>Finance</v>
      </c>
      <c r="H40" s="1">
        <f t="shared" ca="1" si="2"/>
        <v>45005</v>
      </c>
      <c r="I40" s="4">
        <f ca="1">IF(IncidentTable[[#This Row],[Resolution Time (Days)]]="","",IncidentTable[[#This Row],[Created Date]]+IncidentTable[[#This Row],[Resolution Time (Days)]])</f>
        <v>45121</v>
      </c>
      <c r="J40">
        <f ca="1">IF(OR(IncidentTable[[#This Row],[Status]]="Resolved",IncidentTable[[#This Row],[Status]]="Closed"),RANDBETWEEN(1,120),"")</f>
        <v>116</v>
      </c>
      <c r="K40" t="str">
        <f t="shared" ca="1" si="0"/>
        <v>Closed</v>
      </c>
      <c r="L40" t="str" cm="1">
        <f t="array" aca="1" ref="L40" ca="1">INDEX(AnalystList,RANDBETWEEN(1,ROWS(AnalystList)))</f>
        <v>Riley Wilson</v>
      </c>
      <c r="M40" t="str" cm="1">
        <f t="array" aca="1" ref="M40" ca="1">INDEX(RootCauseList,RANDBETWEEN(1,ROWS(RootCauseList)))</f>
        <v>Configuration Issue</v>
      </c>
      <c r="N40">
        <f t="shared" ca="1" si="3"/>
        <v>1379.91</v>
      </c>
      <c r="O40">
        <f ca="1">IF(OR(IncidentTable[[#This Row],[Status]]="Resolved",IncidentTable[[#This Row],[Status]]="Closed"),
ROUND(IncidentTable[[#This Row],[Estimated Impact ($)]]*(1+RANDBETWEEN(-15,25)/100)+RAND(),2),
"")</f>
        <v>1353.29</v>
      </c>
      <c r="P40">
        <f ca="1">IF(IncidentTable[[#This Row],[Actual Impact ($)]]="","",ROUND(IncidentTable[[#This Row],[Actual Impact ($)]]-IncidentTable[[#This Row],[Estimated Impact ($)]],2))</f>
        <v>-26.62</v>
      </c>
      <c r="Q40" s="2">
        <f ca="1">IF(IncidentTable[[#This Row],[Actual Impact ($)]]="","",(IncidentTable[[#This Row],[Actual Impact ($)]]-IncidentTable[[#This Row],[Estimated Impact ($)]]) / IncidentTable[[#This Row],[Estimated Impact ($)]])</f>
        <v>-1.9291113188541365E-2</v>
      </c>
      <c r="R40" s="3">
        <f ca="1">IF(IncidentTable[[#This Row],[Priority]]="Critical",1,
IF(IncidentTable[[#This Row],[Priority]]="High",3,
IF(IncidentTable[[#This Row],[Priority]]="Medium",5,
IF(IncidentTable[[#This Row],[Priority]]="Low",10,""))))</f>
        <v>5</v>
      </c>
      <c r="S40" t="str">
        <f ca="1">IF(IncidentTable[[#This Row],[Resolution Time (Days)]]="","",
IF(IncidentTable[[#This Row],[Resolution Time (Days)]]&lt;=IncidentTable[[#This Row],[SLA Target (Days)]],"Yes","No"))</f>
        <v>No</v>
      </c>
    </row>
    <row r="41" spans="1:19" x14ac:dyDescent="0.25">
      <c r="A41" t="str">
        <f t="shared" ca="1" si="1"/>
        <v>INC544767</v>
      </c>
      <c r="B41" t="str" cm="1">
        <f t="array" aca="1" ref="B41" ca="1">INDEX(SystemList,RANDBETWEEN(1,ROWS(SystemList)))</f>
        <v>Customer Portal</v>
      </c>
      <c r="C41" t="str" cm="1">
        <f t="array" aca="1" ref="C41" ca="1">INDEX(IssueTypeList,RANDBETWEEN(1,ROWS(IssueTypeList)))</f>
        <v>System Error</v>
      </c>
      <c r="D41" t="str" cm="1">
        <f t="array" aca="1" ref="D41" ca="1">INDEX(PriorityList,RANDBETWEEN(1,ROWS(PriorityList)))</f>
        <v>Low</v>
      </c>
      <c r="E41" t="str" cm="1">
        <f t="array" aca="1" ref="E41" ca="1">INDEX(SeverityList,RANDBETWEEN(1,ROWS(SeverityList)))</f>
        <v>Critical</v>
      </c>
      <c r="F41" t="str" cm="1">
        <f t="array" aca="1" ref="F41" ca="1">INDEX(RegionList,RANDBETWEEN(1,ROWS(RegionList)))</f>
        <v>Southeast</v>
      </c>
      <c r="G41" t="str" cm="1">
        <f t="array" aca="1" ref="G41" ca="1">INDEX(DepartmentList,RANDBETWEEN(1,ROWS(DepartmentList)))</f>
        <v>Finance</v>
      </c>
      <c r="H41" s="1">
        <f t="shared" ca="1" si="2"/>
        <v>45405</v>
      </c>
      <c r="I41" s="4">
        <f ca="1">IF(IncidentTable[[#This Row],[Resolution Time (Days)]]="","",IncidentTable[[#This Row],[Created Date]]+IncidentTable[[#This Row],[Resolution Time (Days)]])</f>
        <v>45471</v>
      </c>
      <c r="J41">
        <f ca="1">IF(OR(IncidentTable[[#This Row],[Status]]="Resolved",IncidentTable[[#This Row],[Status]]="Closed"),RANDBETWEEN(1,120),"")</f>
        <v>66</v>
      </c>
      <c r="K41" t="str">
        <f t="shared" ca="1" si="0"/>
        <v>Closed</v>
      </c>
      <c r="L41" t="str" cm="1">
        <f t="array" aca="1" ref="L41" ca="1">INDEX(AnalystList,RANDBETWEEN(1,ROWS(AnalystList)))</f>
        <v>Alex Johnson</v>
      </c>
      <c r="M41" t="str" cm="1">
        <f t="array" aca="1" ref="M41" ca="1">INDEX(RootCauseList,RANDBETWEEN(1,ROWS(RootCauseList)))</f>
        <v>Configuration Issue</v>
      </c>
      <c r="N41">
        <f t="shared" ca="1" si="3"/>
        <v>0.06</v>
      </c>
      <c r="O41">
        <f ca="1">IF(OR(IncidentTable[[#This Row],[Status]]="Resolved",IncidentTable[[#This Row],[Status]]="Closed"),
ROUND(IncidentTable[[#This Row],[Estimated Impact ($)]]*(1+RANDBETWEEN(-15,25)/100)+RAND(),2),
"")</f>
        <v>0.46</v>
      </c>
      <c r="P41">
        <f ca="1">IF(IncidentTable[[#This Row],[Actual Impact ($)]]="","",ROUND(IncidentTable[[#This Row],[Actual Impact ($)]]-IncidentTable[[#This Row],[Estimated Impact ($)]],2))</f>
        <v>0.4</v>
      </c>
      <c r="Q41" s="2">
        <f ca="1">IF(IncidentTable[[#This Row],[Actual Impact ($)]]="","",(IncidentTable[[#This Row],[Actual Impact ($)]]-IncidentTable[[#This Row],[Estimated Impact ($)]]) / IncidentTable[[#This Row],[Estimated Impact ($)]])</f>
        <v>6.666666666666667</v>
      </c>
      <c r="R41" s="3">
        <f ca="1">IF(IncidentTable[[#This Row],[Priority]]="Critical",1,
IF(IncidentTable[[#This Row],[Priority]]="High",3,
IF(IncidentTable[[#This Row],[Priority]]="Medium",5,
IF(IncidentTable[[#This Row],[Priority]]="Low",10,""))))</f>
        <v>10</v>
      </c>
      <c r="S41" t="str">
        <f ca="1">IF(IncidentTable[[#This Row],[Resolution Time (Days)]]="","",
IF(IncidentTable[[#This Row],[Resolution Time (Days)]]&lt;=IncidentTable[[#This Row],[SLA Target (Days)]],"Yes","No"))</f>
        <v>No</v>
      </c>
    </row>
    <row r="42" spans="1:19" x14ac:dyDescent="0.25">
      <c r="A42" t="str">
        <f t="shared" ca="1" si="1"/>
        <v>INC502195</v>
      </c>
      <c r="B42" t="str" cm="1">
        <f t="array" aca="1" ref="B42" ca="1">INDEX(SystemList,RANDBETWEEN(1,ROWS(SystemList)))</f>
        <v>Claims System</v>
      </c>
      <c r="C42" t="str" cm="1">
        <f t="array" aca="1" ref="C42" ca="1">INDEX(IssueTypeList,RANDBETWEEN(1,ROWS(IssueTypeList)))</f>
        <v>Performance Issue</v>
      </c>
      <c r="D42" t="str" cm="1">
        <f t="array" aca="1" ref="D42" ca="1">INDEX(PriorityList,RANDBETWEEN(1,ROWS(PriorityList)))</f>
        <v>Medium</v>
      </c>
      <c r="E42" t="str" cm="1">
        <f t="array" aca="1" ref="E42" ca="1">INDEX(SeverityList,RANDBETWEEN(1,ROWS(SeverityList)))</f>
        <v>Major</v>
      </c>
      <c r="F42" t="str" cm="1">
        <f t="array" aca="1" ref="F42" ca="1">INDEX(RegionList,RANDBETWEEN(1,ROWS(RegionList)))</f>
        <v>West</v>
      </c>
      <c r="G42" t="str" cm="1">
        <f t="array" aca="1" ref="G42" ca="1">INDEX(DepartmentList,RANDBETWEEN(1,ROWS(DepartmentList)))</f>
        <v>Customer Service</v>
      </c>
      <c r="H42" s="1">
        <f t="shared" ca="1" si="2"/>
        <v>45426</v>
      </c>
      <c r="I42" s="4">
        <f ca="1">IF(IncidentTable[[#This Row],[Resolution Time (Days)]]="","",IncidentTable[[#This Row],[Created Date]]+IncidentTable[[#This Row],[Resolution Time (Days)]])</f>
        <v>45506</v>
      </c>
      <c r="J42">
        <f ca="1">IF(OR(IncidentTable[[#This Row],[Status]]="Resolved",IncidentTable[[#This Row],[Status]]="Closed"),RANDBETWEEN(1,120),"")</f>
        <v>80</v>
      </c>
      <c r="K42" t="str">
        <f t="shared" ca="1" si="0"/>
        <v>Closed</v>
      </c>
      <c r="L42" t="str" cm="1">
        <f t="array" aca="1" ref="L42" ca="1">INDEX(AnalystList,RANDBETWEEN(1,ROWS(AnalystList)))</f>
        <v>Riley Wilson</v>
      </c>
      <c r="M42" t="str" cm="1">
        <f t="array" aca="1" ref="M42" ca="1">INDEX(RootCauseList,RANDBETWEEN(1,ROWS(RootCauseList)))</f>
        <v>User Error</v>
      </c>
      <c r="N42">
        <f t="shared" ca="1" si="3"/>
        <v>7551.58</v>
      </c>
      <c r="O42">
        <f ca="1">IF(OR(IncidentTable[[#This Row],[Status]]="Resolved",IncidentTable[[#This Row],[Status]]="Closed"),
ROUND(IncidentTable[[#This Row],[Estimated Impact ($)]]*(1+RANDBETWEEN(-15,25)/100)+RAND(),2),
"")</f>
        <v>7401.11</v>
      </c>
      <c r="P42">
        <f ca="1">IF(IncidentTable[[#This Row],[Actual Impact ($)]]="","",ROUND(IncidentTable[[#This Row],[Actual Impact ($)]]-IncidentTable[[#This Row],[Estimated Impact ($)]],2))</f>
        <v>-150.47</v>
      </c>
      <c r="Q42" s="2">
        <f ca="1">IF(IncidentTable[[#This Row],[Actual Impact ($)]]="","",(IncidentTable[[#This Row],[Actual Impact ($)]]-IncidentTable[[#This Row],[Estimated Impact ($)]]) / IncidentTable[[#This Row],[Estimated Impact ($)]])</f>
        <v>-1.9925631457257984E-2</v>
      </c>
      <c r="R42" s="3">
        <f ca="1">IF(IncidentTable[[#This Row],[Priority]]="Critical",1,
IF(IncidentTable[[#This Row],[Priority]]="High",3,
IF(IncidentTable[[#This Row],[Priority]]="Medium",5,
IF(IncidentTable[[#This Row],[Priority]]="Low",10,""))))</f>
        <v>5</v>
      </c>
      <c r="S42" t="str">
        <f ca="1">IF(IncidentTable[[#This Row],[Resolution Time (Days)]]="","",
IF(IncidentTable[[#This Row],[Resolution Time (Days)]]&lt;=IncidentTable[[#This Row],[SLA Target (Days)]],"Yes","No"))</f>
        <v>No</v>
      </c>
    </row>
    <row r="43" spans="1:19" x14ac:dyDescent="0.25">
      <c r="A43" t="str">
        <f t="shared" ca="1" si="1"/>
        <v>INC506853</v>
      </c>
      <c r="B43" t="str" cm="1">
        <f t="array" aca="1" ref="B43" ca="1">INDEX(SystemList,RANDBETWEEN(1,ROWS(SystemList)))</f>
        <v>Policy Admin System</v>
      </c>
      <c r="C43" t="str" cm="1">
        <f t="array" aca="1" ref="C43" ca="1">INDEX(IssueTypeList,RANDBETWEEN(1,ROWS(IssueTypeList)))</f>
        <v>Integration Failure</v>
      </c>
      <c r="D43" t="str" cm="1">
        <f t="array" aca="1" ref="D43" ca="1">INDEX(PriorityList,RANDBETWEEN(1,ROWS(PriorityList)))</f>
        <v>Critical</v>
      </c>
      <c r="E43" t="str" cm="1">
        <f t="array" aca="1" ref="E43" ca="1">INDEX(SeverityList,RANDBETWEEN(1,ROWS(SeverityList)))</f>
        <v>Minor</v>
      </c>
      <c r="F43" t="str" cm="1">
        <f t="array" aca="1" ref="F43" ca="1">INDEX(RegionList,RANDBETWEEN(1,ROWS(RegionList)))</f>
        <v>West</v>
      </c>
      <c r="G43" t="str" cm="1">
        <f t="array" aca="1" ref="G43" ca="1">INDEX(DepartmentList,RANDBETWEEN(1,ROWS(DepartmentList)))</f>
        <v>Finance</v>
      </c>
      <c r="H43" s="1">
        <f t="shared" ca="1" si="2"/>
        <v>45274</v>
      </c>
      <c r="I43" s="4" t="str">
        <f ca="1">IF(IncidentTable[[#This Row],[Resolution Time (Days)]]="","",IncidentTable[[#This Row],[Created Date]]+IncidentTable[[#This Row],[Resolution Time (Days)]])</f>
        <v/>
      </c>
      <c r="J43" t="str">
        <f ca="1">IF(OR(IncidentTable[[#This Row],[Status]]="Resolved",IncidentTable[[#This Row],[Status]]="Closed"),RANDBETWEEN(1,120),"")</f>
        <v/>
      </c>
      <c r="K43" t="str">
        <f t="shared" ca="1" si="0"/>
        <v>Pending</v>
      </c>
      <c r="L43" t="str" cm="1">
        <f t="array" aca="1" ref="L43" ca="1">INDEX(AnalystList,RANDBETWEEN(1,ROWS(AnalystList)))</f>
        <v>Alex Johnson</v>
      </c>
      <c r="M43" t="str" cm="1">
        <f t="array" aca="1" ref="M43" ca="1">INDEX(RootCauseList,RANDBETWEEN(1,ROWS(RootCauseList)))</f>
        <v>Process Gap</v>
      </c>
      <c r="N43">
        <f t="shared" ca="1" si="3"/>
        <v>775.23</v>
      </c>
      <c r="O43" t="str">
        <f ca="1">IF(OR(IncidentTable[[#This Row],[Status]]="Resolved",IncidentTable[[#This Row],[Status]]="Closed"),
ROUND(IncidentTable[[#This Row],[Estimated Impact ($)]]*(1+RANDBETWEEN(-15,25)/100)+RAND(),2),
"")</f>
        <v/>
      </c>
      <c r="P43" t="str">
        <f ca="1">IF(IncidentTable[[#This Row],[Actual Impact ($)]]="","",ROUND(IncidentTable[[#This Row],[Actual Impact ($)]]-IncidentTable[[#This Row],[Estimated Impact ($)]],2))</f>
        <v/>
      </c>
      <c r="Q43" s="2" t="str">
        <f ca="1">IF(IncidentTable[[#This Row],[Actual Impact ($)]]="","",(IncidentTable[[#This Row],[Actual Impact ($)]]-IncidentTable[[#This Row],[Estimated Impact ($)]]) / IncidentTable[[#This Row],[Estimated Impact ($)]])</f>
        <v/>
      </c>
      <c r="R43" s="3">
        <f ca="1">IF(IncidentTable[[#This Row],[Priority]]="Critical",1,
IF(IncidentTable[[#This Row],[Priority]]="High",3,
IF(IncidentTable[[#This Row],[Priority]]="Medium",5,
IF(IncidentTable[[#This Row],[Priority]]="Low",10,""))))</f>
        <v>1</v>
      </c>
      <c r="S43" t="str">
        <f ca="1">IF(IncidentTable[[#This Row],[Resolution Time (Days)]]="","",
IF(IncidentTable[[#This Row],[Resolution Time (Days)]]&lt;=IncidentTable[[#This Row],[SLA Target (Days)]],"Yes","No"))</f>
        <v/>
      </c>
    </row>
    <row r="44" spans="1:19" x14ac:dyDescent="0.25">
      <c r="A44" t="str">
        <f t="shared" ca="1" si="1"/>
        <v>INC616770</v>
      </c>
      <c r="B44" t="str" cm="1">
        <f t="array" aca="1" ref="B44" ca="1">INDEX(SystemList,RANDBETWEEN(1,ROWS(SystemList)))</f>
        <v>Payment Processing</v>
      </c>
      <c r="C44" t="str" cm="1">
        <f t="array" aca="1" ref="C44" ca="1">INDEX(IssueTypeList,RANDBETWEEN(1,ROWS(IssueTypeList)))</f>
        <v>Integration Failure</v>
      </c>
      <c r="D44" t="str" cm="1">
        <f t="array" aca="1" ref="D44" ca="1">INDEX(PriorityList,RANDBETWEEN(1,ROWS(PriorityList)))</f>
        <v>High</v>
      </c>
      <c r="E44" t="str" cm="1">
        <f t="array" aca="1" ref="E44" ca="1">INDEX(SeverityList,RANDBETWEEN(1,ROWS(SeverityList)))</f>
        <v>Moderate</v>
      </c>
      <c r="F44" t="str" cm="1">
        <f t="array" aca="1" ref="F44" ca="1">INDEX(RegionList,RANDBETWEEN(1,ROWS(RegionList)))</f>
        <v>Midwest</v>
      </c>
      <c r="G44" t="str" cm="1">
        <f t="array" aca="1" ref="G44" ca="1">INDEX(DepartmentList,RANDBETWEEN(1,ROWS(DepartmentList)))</f>
        <v>Compliance</v>
      </c>
      <c r="H44" s="1">
        <f t="shared" ca="1" si="2"/>
        <v>45279</v>
      </c>
      <c r="I44" s="4">
        <f ca="1">IF(IncidentTable[[#This Row],[Resolution Time (Days)]]="","",IncidentTable[[#This Row],[Created Date]]+IncidentTable[[#This Row],[Resolution Time (Days)]])</f>
        <v>45320</v>
      </c>
      <c r="J44">
        <f ca="1">IF(OR(IncidentTable[[#This Row],[Status]]="Resolved",IncidentTable[[#This Row],[Status]]="Closed"),RANDBETWEEN(1,120),"")</f>
        <v>41</v>
      </c>
      <c r="K44" t="str">
        <f t="shared" ca="1" si="0"/>
        <v>Closed</v>
      </c>
      <c r="L44" t="str" cm="1">
        <f t="array" aca="1" ref="L44" ca="1">INDEX(AnalystList,RANDBETWEEN(1,ROWS(AnalystList)))</f>
        <v>Morgan Davis</v>
      </c>
      <c r="M44" t="str" cm="1">
        <f t="array" aca="1" ref="M44" ca="1">INDEX(RootCauseList,RANDBETWEEN(1,ROWS(RootCauseList)))</f>
        <v>System Bug</v>
      </c>
      <c r="N44">
        <f t="shared" ca="1" si="3"/>
        <v>18.989999999999998</v>
      </c>
      <c r="O44">
        <f ca="1">IF(OR(IncidentTable[[#This Row],[Status]]="Resolved",IncidentTable[[#This Row],[Status]]="Closed"),
ROUND(IncidentTable[[#This Row],[Estimated Impact ($)]]*(1+RANDBETWEEN(-15,25)/100)+RAND(),2),
"")</f>
        <v>22.33</v>
      </c>
      <c r="P44">
        <f ca="1">IF(IncidentTable[[#This Row],[Actual Impact ($)]]="","",ROUND(IncidentTable[[#This Row],[Actual Impact ($)]]-IncidentTable[[#This Row],[Estimated Impact ($)]],2))</f>
        <v>3.34</v>
      </c>
      <c r="Q44" s="2">
        <f ca="1">IF(IncidentTable[[#This Row],[Actual Impact ($)]]="","",(IncidentTable[[#This Row],[Actual Impact ($)]]-IncidentTable[[#This Row],[Estimated Impact ($)]]) / IncidentTable[[#This Row],[Estimated Impact ($)]])</f>
        <v>0.17588204318062139</v>
      </c>
      <c r="R44" s="3">
        <f ca="1">IF(IncidentTable[[#This Row],[Priority]]="Critical",1,
IF(IncidentTable[[#This Row],[Priority]]="High",3,
IF(IncidentTable[[#This Row],[Priority]]="Medium",5,
IF(IncidentTable[[#This Row],[Priority]]="Low",10,""))))</f>
        <v>3</v>
      </c>
      <c r="S44" t="str">
        <f ca="1">IF(IncidentTable[[#This Row],[Resolution Time (Days)]]="","",
IF(IncidentTable[[#This Row],[Resolution Time (Days)]]&lt;=IncidentTable[[#This Row],[SLA Target (Days)]],"Yes","No"))</f>
        <v>No</v>
      </c>
    </row>
    <row r="45" spans="1:19" x14ac:dyDescent="0.25">
      <c r="A45" t="str">
        <f t="shared" ca="1" si="1"/>
        <v>INC868116</v>
      </c>
      <c r="B45" t="str" cm="1">
        <f t="array" aca="1" ref="B45" ca="1">INDEX(SystemList,RANDBETWEEN(1,ROWS(SystemList)))</f>
        <v>Reporting System</v>
      </c>
      <c r="C45" t="str" cm="1">
        <f t="array" aca="1" ref="C45" ca="1">INDEX(IssueTypeList,RANDBETWEEN(1,ROWS(IssueTypeList)))</f>
        <v>Data Issue</v>
      </c>
      <c r="D45" t="str" cm="1">
        <f t="array" aca="1" ref="D45" ca="1">INDEX(PriorityList,RANDBETWEEN(1,ROWS(PriorityList)))</f>
        <v>High</v>
      </c>
      <c r="E45" t="str" cm="1">
        <f t="array" aca="1" ref="E45" ca="1">INDEX(SeverityList,RANDBETWEEN(1,ROWS(SeverityList)))</f>
        <v>Critical</v>
      </c>
      <c r="F45" t="str" cm="1">
        <f t="array" aca="1" ref="F45" ca="1">INDEX(RegionList,RANDBETWEEN(1,ROWS(RegionList)))</f>
        <v>East</v>
      </c>
      <c r="G45" t="str" cm="1">
        <f t="array" aca="1" ref="G45" ca="1">INDEX(DepartmentList,RANDBETWEEN(1,ROWS(DepartmentList)))</f>
        <v>Compliance</v>
      </c>
      <c r="H45" s="1">
        <f t="shared" ca="1" si="2"/>
        <v>44928</v>
      </c>
      <c r="I45" s="4" t="str">
        <f ca="1">IF(IncidentTable[[#This Row],[Resolution Time (Days)]]="","",IncidentTable[[#This Row],[Created Date]]+IncidentTable[[#This Row],[Resolution Time (Days)]])</f>
        <v/>
      </c>
      <c r="J45" t="str">
        <f ca="1">IF(OR(IncidentTable[[#This Row],[Status]]="Resolved",IncidentTable[[#This Row],[Status]]="Closed"),RANDBETWEEN(1,120),"")</f>
        <v/>
      </c>
      <c r="K45" t="str">
        <f t="shared" ca="1" si="0"/>
        <v>In Progress</v>
      </c>
      <c r="L45" t="str" cm="1">
        <f t="array" aca="1" ref="L45" ca="1">INDEX(AnalystList,RANDBETWEEN(1,ROWS(AnalystList)))</f>
        <v>Riley Wilson</v>
      </c>
      <c r="M45" t="str" cm="1">
        <f t="array" aca="1" ref="M45" ca="1">INDEX(RootCauseList,RANDBETWEEN(1,ROWS(RootCauseList)))</f>
        <v>Network Failure</v>
      </c>
      <c r="N45">
        <f t="shared" ca="1" si="3"/>
        <v>1471.59</v>
      </c>
      <c r="O45" t="str">
        <f ca="1">IF(OR(IncidentTable[[#This Row],[Status]]="Resolved",IncidentTable[[#This Row],[Status]]="Closed"),
ROUND(IncidentTable[[#This Row],[Estimated Impact ($)]]*(1+RANDBETWEEN(-15,25)/100)+RAND(),2),
"")</f>
        <v/>
      </c>
      <c r="P45" t="str">
        <f ca="1">IF(IncidentTable[[#This Row],[Actual Impact ($)]]="","",ROUND(IncidentTable[[#This Row],[Actual Impact ($)]]-IncidentTable[[#This Row],[Estimated Impact ($)]],2))</f>
        <v/>
      </c>
      <c r="Q45" s="2" t="str">
        <f ca="1">IF(IncidentTable[[#This Row],[Actual Impact ($)]]="","",(IncidentTable[[#This Row],[Actual Impact ($)]]-IncidentTable[[#This Row],[Estimated Impact ($)]]) / IncidentTable[[#This Row],[Estimated Impact ($)]])</f>
        <v/>
      </c>
      <c r="R45" s="3">
        <f ca="1">IF(IncidentTable[[#This Row],[Priority]]="Critical",1,
IF(IncidentTable[[#This Row],[Priority]]="High",3,
IF(IncidentTable[[#This Row],[Priority]]="Medium",5,
IF(IncidentTable[[#This Row],[Priority]]="Low",10,""))))</f>
        <v>3</v>
      </c>
      <c r="S45" t="str">
        <f ca="1">IF(IncidentTable[[#This Row],[Resolution Time (Days)]]="","",
IF(IncidentTable[[#This Row],[Resolution Time (Days)]]&lt;=IncidentTable[[#This Row],[SLA Target (Days)]],"Yes","No"))</f>
        <v/>
      </c>
    </row>
    <row r="46" spans="1:19" x14ac:dyDescent="0.25">
      <c r="A46" t="str">
        <f t="shared" ca="1" si="1"/>
        <v>INC944174</v>
      </c>
      <c r="B46" t="str" cm="1">
        <f t="array" aca="1" ref="B46" ca="1">INDEX(SystemList,RANDBETWEEN(1,ROWS(SystemList)))</f>
        <v>Policy Admin System</v>
      </c>
      <c r="C46" t="str" cm="1">
        <f t="array" aca="1" ref="C46" ca="1">INDEX(IssueTypeList,RANDBETWEEN(1,ROWS(IssueTypeList)))</f>
        <v>User Access Issue</v>
      </c>
      <c r="D46" t="str" cm="1">
        <f t="array" aca="1" ref="D46" ca="1">INDEX(PriorityList,RANDBETWEEN(1,ROWS(PriorityList)))</f>
        <v>Critical</v>
      </c>
      <c r="E46" t="str" cm="1">
        <f t="array" aca="1" ref="E46" ca="1">INDEX(SeverityList,RANDBETWEEN(1,ROWS(SeverityList)))</f>
        <v>Major</v>
      </c>
      <c r="F46" t="str" cm="1">
        <f t="array" aca="1" ref="F46" ca="1">INDEX(RegionList,RANDBETWEEN(1,ROWS(RegionList)))</f>
        <v>East</v>
      </c>
      <c r="G46" t="str" cm="1">
        <f t="array" aca="1" ref="G46" ca="1">INDEX(DepartmentList,RANDBETWEEN(1,ROWS(DepartmentList)))</f>
        <v>Compliance</v>
      </c>
      <c r="H46" s="1">
        <f t="shared" ca="1" si="2"/>
        <v>45212</v>
      </c>
      <c r="I46" s="4" t="str">
        <f ca="1">IF(IncidentTable[[#This Row],[Resolution Time (Days)]]="","",IncidentTable[[#This Row],[Created Date]]+IncidentTable[[#This Row],[Resolution Time (Days)]])</f>
        <v/>
      </c>
      <c r="J46" t="str">
        <f ca="1">IF(OR(IncidentTable[[#This Row],[Status]]="Resolved",IncidentTable[[#This Row],[Status]]="Closed"),RANDBETWEEN(1,120),"")</f>
        <v/>
      </c>
      <c r="K46" t="str">
        <f t="shared" ca="1" si="0"/>
        <v>Pending</v>
      </c>
      <c r="L46" t="str" cm="1">
        <f t="array" aca="1" ref="L46" ca="1">INDEX(AnalystList,RANDBETWEEN(1,ROWS(AnalystList)))</f>
        <v>Morgan Davis</v>
      </c>
      <c r="M46" t="str" cm="1">
        <f t="array" aca="1" ref="M46" ca="1">INDEX(RootCauseList,RANDBETWEEN(1,ROWS(RootCauseList)))</f>
        <v>Process Gap</v>
      </c>
      <c r="N46">
        <f t="shared" ca="1" si="3"/>
        <v>685.99</v>
      </c>
      <c r="O46" t="str">
        <f ca="1">IF(OR(IncidentTable[[#This Row],[Status]]="Resolved",IncidentTable[[#This Row],[Status]]="Closed"),
ROUND(IncidentTable[[#This Row],[Estimated Impact ($)]]*(1+RANDBETWEEN(-15,25)/100)+RAND(),2),
"")</f>
        <v/>
      </c>
      <c r="P46" t="str">
        <f ca="1">IF(IncidentTable[[#This Row],[Actual Impact ($)]]="","",ROUND(IncidentTable[[#This Row],[Actual Impact ($)]]-IncidentTable[[#This Row],[Estimated Impact ($)]],2))</f>
        <v/>
      </c>
      <c r="Q46" s="2" t="str">
        <f ca="1">IF(IncidentTable[[#This Row],[Actual Impact ($)]]="","",(IncidentTable[[#This Row],[Actual Impact ($)]]-IncidentTable[[#This Row],[Estimated Impact ($)]]) / IncidentTable[[#This Row],[Estimated Impact ($)]])</f>
        <v/>
      </c>
      <c r="R46" s="3">
        <f ca="1">IF(IncidentTable[[#This Row],[Priority]]="Critical",1,
IF(IncidentTable[[#This Row],[Priority]]="High",3,
IF(IncidentTable[[#This Row],[Priority]]="Medium",5,
IF(IncidentTable[[#This Row],[Priority]]="Low",10,""))))</f>
        <v>1</v>
      </c>
      <c r="S46" t="str">
        <f ca="1">IF(IncidentTable[[#This Row],[Resolution Time (Days)]]="","",
IF(IncidentTable[[#This Row],[Resolution Time (Days)]]&lt;=IncidentTable[[#This Row],[SLA Target (Days)]],"Yes","No"))</f>
        <v/>
      </c>
    </row>
    <row r="47" spans="1:19" x14ac:dyDescent="0.25">
      <c r="A47" t="str">
        <f t="shared" ca="1" si="1"/>
        <v>INC775561</v>
      </c>
      <c r="B47" t="str" cm="1">
        <f t="array" aca="1" ref="B47" ca="1">INDEX(SystemList,RANDBETWEEN(1,ROWS(SystemList)))</f>
        <v>Payment Processing</v>
      </c>
      <c r="C47" t="str" cm="1">
        <f t="array" aca="1" ref="C47" ca="1">INDEX(IssueTypeList,RANDBETWEEN(1,ROWS(IssueTypeList)))</f>
        <v>Data Issue</v>
      </c>
      <c r="D47" t="str" cm="1">
        <f t="array" aca="1" ref="D47" ca="1">INDEX(PriorityList,RANDBETWEEN(1,ROWS(PriorityList)))</f>
        <v>Medium</v>
      </c>
      <c r="E47" t="str" cm="1">
        <f t="array" aca="1" ref="E47" ca="1">INDEX(SeverityList,RANDBETWEEN(1,ROWS(SeverityList)))</f>
        <v>Major</v>
      </c>
      <c r="F47" t="str" cm="1">
        <f t="array" aca="1" ref="F47" ca="1">INDEX(RegionList,RANDBETWEEN(1,ROWS(RegionList)))</f>
        <v>West</v>
      </c>
      <c r="G47" t="str" cm="1">
        <f t="array" aca="1" ref="G47" ca="1">INDEX(DepartmentList,RANDBETWEEN(1,ROWS(DepartmentList)))</f>
        <v>Compliance</v>
      </c>
      <c r="H47" s="1">
        <f t="shared" ca="1" si="2"/>
        <v>45270</v>
      </c>
      <c r="I47" s="4">
        <f ca="1">IF(IncidentTable[[#This Row],[Resolution Time (Days)]]="","",IncidentTable[[#This Row],[Created Date]]+IncidentTable[[#This Row],[Resolution Time (Days)]])</f>
        <v>45327</v>
      </c>
      <c r="J47">
        <f ca="1">IF(OR(IncidentTable[[#This Row],[Status]]="Resolved",IncidentTable[[#This Row],[Status]]="Closed"),RANDBETWEEN(1,120),"")</f>
        <v>57</v>
      </c>
      <c r="K47" t="str">
        <f t="shared" ca="1" si="0"/>
        <v>Resolved</v>
      </c>
      <c r="L47" t="str" cm="1">
        <f t="array" aca="1" ref="L47" ca="1">INDEX(AnalystList,RANDBETWEEN(1,ROWS(AnalystList)))</f>
        <v>Riley Wilson</v>
      </c>
      <c r="M47" t="str" cm="1">
        <f t="array" aca="1" ref="M47" ca="1">INDEX(RootCauseList,RANDBETWEEN(1,ROWS(RootCauseList)))</f>
        <v>User Error</v>
      </c>
      <c r="N47">
        <f t="shared" ca="1" si="3"/>
        <v>1386.46</v>
      </c>
      <c r="O47">
        <f ca="1">IF(OR(IncidentTable[[#This Row],[Status]]="Resolved",IncidentTable[[#This Row],[Status]]="Closed"),
ROUND(IncidentTable[[#This Row],[Estimated Impact ($)]]*(1+RANDBETWEEN(-15,25)/100)+RAND(),2),
"")</f>
        <v>1706.22</v>
      </c>
      <c r="P47">
        <f ca="1">IF(IncidentTable[[#This Row],[Actual Impact ($)]]="","",ROUND(IncidentTable[[#This Row],[Actual Impact ($)]]-IncidentTable[[#This Row],[Estimated Impact ($)]],2))</f>
        <v>319.76</v>
      </c>
      <c r="Q47" s="2">
        <f ca="1">IF(IncidentTable[[#This Row],[Actual Impact ($)]]="","",(IncidentTable[[#This Row],[Actual Impact ($)]]-IncidentTable[[#This Row],[Estimated Impact ($)]]) / IncidentTable[[#This Row],[Estimated Impact ($)]])</f>
        <v>0.23063052666503178</v>
      </c>
      <c r="R47" s="3">
        <f ca="1">IF(IncidentTable[[#This Row],[Priority]]="Critical",1,
IF(IncidentTable[[#This Row],[Priority]]="High",3,
IF(IncidentTable[[#This Row],[Priority]]="Medium",5,
IF(IncidentTable[[#This Row],[Priority]]="Low",10,""))))</f>
        <v>5</v>
      </c>
      <c r="S47" t="str">
        <f ca="1">IF(IncidentTable[[#This Row],[Resolution Time (Days)]]="","",
IF(IncidentTable[[#This Row],[Resolution Time (Days)]]&lt;=IncidentTable[[#This Row],[SLA Target (Days)]],"Yes","No"))</f>
        <v>No</v>
      </c>
    </row>
    <row r="48" spans="1:19" x14ac:dyDescent="0.25">
      <c r="A48" t="str">
        <f t="shared" ca="1" si="1"/>
        <v>INC276850</v>
      </c>
      <c r="B48" t="str" cm="1">
        <f t="array" aca="1" ref="B48" ca="1">INDEX(SystemList,RANDBETWEEN(1,ROWS(SystemList)))</f>
        <v>Regulatory System</v>
      </c>
      <c r="C48" t="str" cm="1">
        <f t="array" aca="1" ref="C48" ca="1">INDEX(IssueTypeList,RANDBETWEEN(1,ROWS(IssueTypeList)))</f>
        <v>Data Issue</v>
      </c>
      <c r="D48" t="str" cm="1">
        <f t="array" aca="1" ref="D48" ca="1">INDEX(PriorityList,RANDBETWEEN(1,ROWS(PriorityList)))</f>
        <v>Medium</v>
      </c>
      <c r="E48" t="str" cm="1">
        <f t="array" aca="1" ref="E48" ca="1">INDEX(SeverityList,RANDBETWEEN(1,ROWS(SeverityList)))</f>
        <v>Minor</v>
      </c>
      <c r="F48" t="str" cm="1">
        <f t="array" aca="1" ref="F48" ca="1">INDEX(RegionList,RANDBETWEEN(1,ROWS(RegionList)))</f>
        <v>East</v>
      </c>
      <c r="G48" t="str" cm="1">
        <f t="array" aca="1" ref="G48" ca="1">INDEX(DepartmentList,RANDBETWEEN(1,ROWS(DepartmentList)))</f>
        <v>Billing</v>
      </c>
      <c r="H48" s="1">
        <f t="shared" ca="1" si="2"/>
        <v>45333</v>
      </c>
      <c r="I48" s="4">
        <f ca="1">IF(IncidentTable[[#This Row],[Resolution Time (Days)]]="","",IncidentTable[[#This Row],[Created Date]]+IncidentTable[[#This Row],[Resolution Time (Days)]])</f>
        <v>45410</v>
      </c>
      <c r="J48">
        <f ca="1">IF(OR(IncidentTable[[#This Row],[Status]]="Resolved",IncidentTable[[#This Row],[Status]]="Closed"),RANDBETWEEN(1,120),"")</f>
        <v>77</v>
      </c>
      <c r="K48" t="str">
        <f t="shared" ca="1" si="0"/>
        <v>Resolved</v>
      </c>
      <c r="L48" t="str" cm="1">
        <f t="array" aca="1" ref="L48" ca="1">INDEX(AnalystList,RANDBETWEEN(1,ROWS(AnalystList)))</f>
        <v>Jordan Lee</v>
      </c>
      <c r="M48" t="str" cm="1">
        <f t="array" aca="1" ref="M48" ca="1">INDEX(RootCauseList,RANDBETWEEN(1,ROWS(RootCauseList)))</f>
        <v>Network Failure</v>
      </c>
      <c r="N48">
        <f t="shared" ca="1" si="3"/>
        <v>9140.15</v>
      </c>
      <c r="O48">
        <f ca="1">IF(OR(IncidentTable[[#This Row],[Status]]="Resolved",IncidentTable[[#This Row],[Status]]="Closed"),
ROUND(IncidentTable[[#This Row],[Estimated Impact ($)]]*(1+RANDBETWEEN(-15,25)/100)+RAND(),2),
"")</f>
        <v>8866.7900000000009</v>
      </c>
      <c r="P48">
        <f ca="1">IF(IncidentTable[[#This Row],[Actual Impact ($)]]="","",ROUND(IncidentTable[[#This Row],[Actual Impact ($)]]-IncidentTable[[#This Row],[Estimated Impact ($)]],2))</f>
        <v>-273.36</v>
      </c>
      <c r="Q48" s="2">
        <f ca="1">IF(IncidentTable[[#This Row],[Actual Impact ($)]]="","",(IncidentTable[[#This Row],[Actual Impact ($)]]-IncidentTable[[#This Row],[Estimated Impact ($)]]) / IncidentTable[[#This Row],[Estimated Impact ($)]])</f>
        <v>-2.9907605455052572E-2</v>
      </c>
      <c r="R48" s="3">
        <f ca="1">IF(IncidentTable[[#This Row],[Priority]]="Critical",1,
IF(IncidentTable[[#This Row],[Priority]]="High",3,
IF(IncidentTable[[#This Row],[Priority]]="Medium",5,
IF(IncidentTable[[#This Row],[Priority]]="Low",10,""))))</f>
        <v>5</v>
      </c>
      <c r="S48" t="str">
        <f ca="1">IF(IncidentTable[[#This Row],[Resolution Time (Days)]]="","",
IF(IncidentTable[[#This Row],[Resolution Time (Days)]]&lt;=IncidentTable[[#This Row],[SLA Target (Days)]],"Yes","No"))</f>
        <v>No</v>
      </c>
    </row>
    <row r="49" spans="1:19" x14ac:dyDescent="0.25">
      <c r="A49" t="str">
        <f t="shared" ca="1" si="1"/>
        <v>INC134001</v>
      </c>
      <c r="B49" t="str" cm="1">
        <f t="array" aca="1" ref="B49" ca="1">INDEX(SystemList,RANDBETWEEN(1,ROWS(SystemList)))</f>
        <v>Billing System</v>
      </c>
      <c r="C49" t="str" cm="1">
        <f t="array" aca="1" ref="C49" ca="1">INDEX(IssueTypeList,RANDBETWEEN(1,ROWS(IssueTypeList)))</f>
        <v>Complaint</v>
      </c>
      <c r="D49" t="str" cm="1">
        <f t="array" aca="1" ref="D49" ca="1">INDEX(PriorityList,RANDBETWEEN(1,ROWS(PriorityList)))</f>
        <v>Medium</v>
      </c>
      <c r="E49" t="str" cm="1">
        <f t="array" aca="1" ref="E49" ca="1">INDEX(SeverityList,RANDBETWEEN(1,ROWS(SeverityList)))</f>
        <v>Major</v>
      </c>
      <c r="F49" t="str" cm="1">
        <f t="array" aca="1" ref="F49" ca="1">INDEX(RegionList,RANDBETWEEN(1,ROWS(RegionList)))</f>
        <v>Central</v>
      </c>
      <c r="G49" t="str" cm="1">
        <f t="array" aca="1" ref="G49" ca="1">INDEX(DepartmentList,RANDBETWEEN(1,ROWS(DepartmentList)))</f>
        <v>Claims</v>
      </c>
      <c r="H49" s="1">
        <f t="shared" ca="1" si="2"/>
        <v>45439</v>
      </c>
      <c r="I49" s="4">
        <f ca="1">IF(IncidentTable[[#This Row],[Resolution Time (Days)]]="","",IncidentTable[[#This Row],[Created Date]]+IncidentTable[[#This Row],[Resolution Time (Days)]])</f>
        <v>45544</v>
      </c>
      <c r="J49">
        <f ca="1">IF(OR(IncidentTable[[#This Row],[Status]]="Resolved",IncidentTable[[#This Row],[Status]]="Closed"),RANDBETWEEN(1,120),"")</f>
        <v>105</v>
      </c>
      <c r="K49" t="str">
        <f t="shared" ca="1" si="0"/>
        <v>Resolved</v>
      </c>
      <c r="L49" t="str" cm="1">
        <f t="array" aca="1" ref="L49" ca="1">INDEX(AnalystList,RANDBETWEEN(1,ROWS(AnalystList)))</f>
        <v>Riley Wilson</v>
      </c>
      <c r="M49" t="str" cm="1">
        <f t="array" aca="1" ref="M49" ca="1">INDEX(RootCauseList,RANDBETWEEN(1,ROWS(RootCauseList)))</f>
        <v>System Bug</v>
      </c>
      <c r="N49">
        <f t="shared" ca="1" si="3"/>
        <v>0.11</v>
      </c>
      <c r="O49">
        <f ca="1">IF(OR(IncidentTable[[#This Row],[Status]]="Resolved",IncidentTable[[#This Row],[Status]]="Closed"),
ROUND(IncidentTable[[#This Row],[Estimated Impact ($)]]*(1+RANDBETWEEN(-15,25)/100)+RAND(),2),
"")</f>
        <v>0.39</v>
      </c>
      <c r="P49">
        <f ca="1">IF(IncidentTable[[#This Row],[Actual Impact ($)]]="","",ROUND(IncidentTable[[#This Row],[Actual Impact ($)]]-IncidentTable[[#This Row],[Estimated Impact ($)]],2))</f>
        <v>0.28000000000000003</v>
      </c>
      <c r="Q49" s="2">
        <f ca="1">IF(IncidentTable[[#This Row],[Actual Impact ($)]]="","",(IncidentTable[[#This Row],[Actual Impact ($)]]-IncidentTable[[#This Row],[Estimated Impact ($)]]) / IncidentTable[[#This Row],[Estimated Impact ($)]])</f>
        <v>2.5454545454545459</v>
      </c>
      <c r="R49" s="3">
        <f ca="1">IF(IncidentTable[[#This Row],[Priority]]="Critical",1,
IF(IncidentTable[[#This Row],[Priority]]="High",3,
IF(IncidentTable[[#This Row],[Priority]]="Medium",5,
IF(IncidentTable[[#This Row],[Priority]]="Low",10,""))))</f>
        <v>5</v>
      </c>
      <c r="S49" t="str">
        <f ca="1">IF(IncidentTable[[#This Row],[Resolution Time (Days)]]="","",
IF(IncidentTable[[#This Row],[Resolution Time (Days)]]&lt;=IncidentTable[[#This Row],[SLA Target (Days)]],"Yes","No"))</f>
        <v>No</v>
      </c>
    </row>
    <row r="50" spans="1:19" x14ac:dyDescent="0.25">
      <c r="A50" t="str">
        <f t="shared" ca="1" si="1"/>
        <v>INC101576</v>
      </c>
      <c r="B50" t="str" cm="1">
        <f t="array" aca="1" ref="B50" ca="1">INDEX(SystemList,RANDBETWEEN(1,ROWS(SystemList)))</f>
        <v>Customer Portal</v>
      </c>
      <c r="C50" t="str" cm="1">
        <f t="array" aca="1" ref="C50" ca="1">INDEX(IssueTypeList,RANDBETWEEN(1,ROWS(IssueTypeList)))</f>
        <v>Complaint</v>
      </c>
      <c r="D50" t="str" cm="1">
        <f t="array" aca="1" ref="D50" ca="1">INDEX(PriorityList,RANDBETWEEN(1,ROWS(PriorityList)))</f>
        <v>Critical</v>
      </c>
      <c r="E50" t="str" cm="1">
        <f t="array" aca="1" ref="E50" ca="1">INDEX(SeverityList,RANDBETWEEN(1,ROWS(SeverityList)))</f>
        <v>Major</v>
      </c>
      <c r="F50" t="str" cm="1">
        <f t="array" aca="1" ref="F50" ca="1">INDEX(RegionList,RANDBETWEEN(1,ROWS(RegionList)))</f>
        <v>Midwest</v>
      </c>
      <c r="G50" t="str" cm="1">
        <f t="array" aca="1" ref="G50" ca="1">INDEX(DepartmentList,RANDBETWEEN(1,ROWS(DepartmentList)))</f>
        <v>IT</v>
      </c>
      <c r="H50" s="1">
        <f t="shared" ca="1" si="2"/>
        <v>45047</v>
      </c>
      <c r="I50" s="4" t="str">
        <f ca="1">IF(IncidentTable[[#This Row],[Resolution Time (Days)]]="","",IncidentTable[[#This Row],[Created Date]]+IncidentTable[[#This Row],[Resolution Time (Days)]])</f>
        <v/>
      </c>
      <c r="J50" t="str">
        <f ca="1">IF(OR(IncidentTable[[#This Row],[Status]]="Resolved",IncidentTable[[#This Row],[Status]]="Closed"),RANDBETWEEN(1,120),"")</f>
        <v/>
      </c>
      <c r="K50" t="str">
        <f t="shared" ca="1" si="0"/>
        <v>Pending</v>
      </c>
      <c r="L50" t="str" cm="1">
        <f t="array" aca="1" ref="L50" ca="1">INDEX(AnalystList,RANDBETWEEN(1,ROWS(AnalystList)))</f>
        <v>Alex Johnson</v>
      </c>
      <c r="M50" t="str" cm="1">
        <f t="array" aca="1" ref="M50" ca="1">INDEX(RootCauseList,RANDBETWEEN(1,ROWS(RootCauseList)))</f>
        <v>Process Gap</v>
      </c>
      <c r="N50">
        <f t="shared" ca="1" si="3"/>
        <v>10646.41</v>
      </c>
      <c r="O50" t="str">
        <f ca="1">IF(OR(IncidentTable[[#This Row],[Status]]="Resolved",IncidentTable[[#This Row],[Status]]="Closed"),
ROUND(IncidentTable[[#This Row],[Estimated Impact ($)]]*(1+RANDBETWEEN(-15,25)/100)+RAND(),2),
"")</f>
        <v/>
      </c>
      <c r="P50" t="str">
        <f ca="1">IF(IncidentTable[[#This Row],[Actual Impact ($)]]="","",ROUND(IncidentTable[[#This Row],[Actual Impact ($)]]-IncidentTable[[#This Row],[Estimated Impact ($)]],2))</f>
        <v/>
      </c>
      <c r="Q50" s="2" t="str">
        <f ca="1">IF(IncidentTable[[#This Row],[Actual Impact ($)]]="","",(IncidentTable[[#This Row],[Actual Impact ($)]]-IncidentTable[[#This Row],[Estimated Impact ($)]]) / IncidentTable[[#This Row],[Estimated Impact ($)]])</f>
        <v/>
      </c>
      <c r="R50" s="3">
        <f ca="1">IF(IncidentTable[[#This Row],[Priority]]="Critical",1,
IF(IncidentTable[[#This Row],[Priority]]="High",3,
IF(IncidentTable[[#This Row],[Priority]]="Medium",5,
IF(IncidentTable[[#This Row],[Priority]]="Low",10,""))))</f>
        <v>1</v>
      </c>
      <c r="S50" t="str">
        <f ca="1">IF(IncidentTable[[#This Row],[Resolution Time (Days)]]="","",
IF(IncidentTable[[#This Row],[Resolution Time (Days)]]&lt;=IncidentTable[[#This Row],[SLA Target (Days)]],"Yes","No"))</f>
        <v/>
      </c>
    </row>
    <row r="51" spans="1:19" x14ac:dyDescent="0.25">
      <c r="A51" t="str">
        <f t="shared" ca="1" si="1"/>
        <v>INC618141</v>
      </c>
      <c r="B51" t="str" cm="1">
        <f t="array" aca="1" ref="B51" ca="1">INDEX(SystemList,RANDBETWEEN(1,ROWS(SystemList)))</f>
        <v>Regulatory System</v>
      </c>
      <c r="C51" t="str" cm="1">
        <f t="array" aca="1" ref="C51" ca="1">INDEX(IssueTypeList,RANDBETWEEN(1,ROWS(IssueTypeList)))</f>
        <v>Payment Failure</v>
      </c>
      <c r="D51" t="str" cm="1">
        <f t="array" aca="1" ref="D51" ca="1">INDEX(PriorityList,RANDBETWEEN(1,ROWS(PriorityList)))</f>
        <v>Critical</v>
      </c>
      <c r="E51" t="str" cm="1">
        <f t="array" aca="1" ref="E51" ca="1">INDEX(SeverityList,RANDBETWEEN(1,ROWS(SeverityList)))</f>
        <v>Minor</v>
      </c>
      <c r="F51" t="str" cm="1">
        <f t="array" aca="1" ref="F51" ca="1">INDEX(RegionList,RANDBETWEEN(1,ROWS(RegionList)))</f>
        <v>East</v>
      </c>
      <c r="G51" t="str" cm="1">
        <f t="array" aca="1" ref="G51" ca="1">INDEX(DepartmentList,RANDBETWEEN(1,ROWS(DepartmentList)))</f>
        <v>Compliance</v>
      </c>
      <c r="H51" s="1">
        <f t="shared" ca="1" si="2"/>
        <v>45418</v>
      </c>
      <c r="I51" s="4" t="str">
        <f ca="1">IF(IncidentTable[[#This Row],[Resolution Time (Days)]]="","",IncidentTable[[#This Row],[Created Date]]+IncidentTable[[#This Row],[Resolution Time (Days)]])</f>
        <v/>
      </c>
      <c r="J51" t="str">
        <f ca="1">IF(OR(IncidentTable[[#This Row],[Status]]="Resolved",IncidentTable[[#This Row],[Status]]="Closed"),RANDBETWEEN(1,120),"")</f>
        <v/>
      </c>
      <c r="K51" t="str">
        <f t="shared" ca="1" si="0"/>
        <v>Pending</v>
      </c>
      <c r="L51" t="str" cm="1">
        <f t="array" aca="1" ref="L51" ca="1">INDEX(AnalystList,RANDBETWEEN(1,ROWS(AnalystList)))</f>
        <v>Casey Brown</v>
      </c>
      <c r="M51" t="str" cm="1">
        <f t="array" aca="1" ref="M51" ca="1">INDEX(RootCauseList,RANDBETWEEN(1,ROWS(RootCauseList)))</f>
        <v>Network Failure</v>
      </c>
      <c r="N51">
        <f t="shared" ca="1" si="3"/>
        <v>182.61</v>
      </c>
      <c r="O51" t="str">
        <f ca="1">IF(OR(IncidentTable[[#This Row],[Status]]="Resolved",IncidentTable[[#This Row],[Status]]="Closed"),
ROUND(IncidentTable[[#This Row],[Estimated Impact ($)]]*(1+RANDBETWEEN(-15,25)/100)+RAND(),2),
"")</f>
        <v/>
      </c>
      <c r="P51" t="str">
        <f ca="1">IF(IncidentTable[[#This Row],[Actual Impact ($)]]="","",ROUND(IncidentTable[[#This Row],[Actual Impact ($)]]-IncidentTable[[#This Row],[Estimated Impact ($)]],2))</f>
        <v/>
      </c>
      <c r="Q51" s="2" t="str">
        <f ca="1">IF(IncidentTable[[#This Row],[Actual Impact ($)]]="","",(IncidentTable[[#This Row],[Actual Impact ($)]]-IncidentTable[[#This Row],[Estimated Impact ($)]]) / IncidentTable[[#This Row],[Estimated Impact ($)]])</f>
        <v/>
      </c>
      <c r="R51" s="3">
        <f ca="1">IF(IncidentTable[[#This Row],[Priority]]="Critical",1,
IF(IncidentTable[[#This Row],[Priority]]="High",3,
IF(IncidentTable[[#This Row],[Priority]]="Medium",5,
IF(IncidentTable[[#This Row],[Priority]]="Low",10,""))))</f>
        <v>1</v>
      </c>
      <c r="S51" t="str">
        <f ca="1">IF(IncidentTable[[#This Row],[Resolution Time (Days)]]="","",
IF(IncidentTable[[#This Row],[Resolution Time (Days)]]&lt;=IncidentTable[[#This Row],[SLA Target (Days)]],"Yes","No"))</f>
        <v/>
      </c>
    </row>
    <row r="52" spans="1:19" x14ac:dyDescent="0.25">
      <c r="A52" t="str">
        <f t="shared" ca="1" si="1"/>
        <v>INC985788</v>
      </c>
      <c r="B52" t="str" cm="1">
        <f t="array" aca="1" ref="B52" ca="1">INDEX(SystemList,RANDBETWEEN(1,ROWS(SystemList)))</f>
        <v>Billing System</v>
      </c>
      <c r="C52" t="str" cm="1">
        <f t="array" aca="1" ref="C52" ca="1">INDEX(IssueTypeList,RANDBETWEEN(1,ROWS(IssueTypeList)))</f>
        <v>System Error</v>
      </c>
      <c r="D52" t="str" cm="1">
        <f t="array" aca="1" ref="D52" ca="1">INDEX(PriorityList,RANDBETWEEN(1,ROWS(PriorityList)))</f>
        <v>Low</v>
      </c>
      <c r="E52" t="str" cm="1">
        <f t="array" aca="1" ref="E52" ca="1">INDEX(SeverityList,RANDBETWEEN(1,ROWS(SeverityList)))</f>
        <v>Moderate</v>
      </c>
      <c r="F52" t="str" cm="1">
        <f t="array" aca="1" ref="F52" ca="1">INDEX(RegionList,RANDBETWEEN(1,ROWS(RegionList)))</f>
        <v>West</v>
      </c>
      <c r="G52" t="str" cm="1">
        <f t="array" aca="1" ref="G52" ca="1">INDEX(DepartmentList,RANDBETWEEN(1,ROWS(DepartmentList)))</f>
        <v>IT</v>
      </c>
      <c r="H52" s="1">
        <f t="shared" ca="1" si="2"/>
        <v>45232</v>
      </c>
      <c r="I52" s="4">
        <f ca="1">IF(IncidentTable[[#This Row],[Resolution Time (Days)]]="","",IncidentTable[[#This Row],[Created Date]]+IncidentTable[[#This Row],[Resolution Time (Days)]])</f>
        <v>45255</v>
      </c>
      <c r="J52">
        <f ca="1">IF(OR(IncidentTable[[#This Row],[Status]]="Resolved",IncidentTable[[#This Row],[Status]]="Closed"),RANDBETWEEN(1,120),"")</f>
        <v>23</v>
      </c>
      <c r="K52" t="str">
        <f t="shared" ca="1" si="0"/>
        <v>Resolved</v>
      </c>
      <c r="L52" t="str" cm="1">
        <f t="array" aca="1" ref="L52" ca="1">INDEX(AnalystList,RANDBETWEEN(1,ROWS(AnalystList)))</f>
        <v>Jordan Lee</v>
      </c>
      <c r="M52" t="str" cm="1">
        <f t="array" aca="1" ref="M52" ca="1">INDEX(RootCauseList,RANDBETWEEN(1,ROWS(RootCauseList)))</f>
        <v>System Bug</v>
      </c>
      <c r="N52">
        <f t="shared" ca="1" si="3"/>
        <v>9012.4699999999993</v>
      </c>
      <c r="O52">
        <f ca="1">IF(OR(IncidentTable[[#This Row],[Status]]="Resolved",IncidentTable[[#This Row],[Status]]="Closed"),
ROUND(IncidentTable[[#This Row],[Estimated Impact ($)]]*(1+RANDBETWEEN(-15,25)/100)+RAND(),2),
"")</f>
        <v>9554</v>
      </c>
      <c r="P52">
        <f ca="1">IF(IncidentTable[[#This Row],[Actual Impact ($)]]="","",ROUND(IncidentTable[[#This Row],[Actual Impact ($)]]-IncidentTable[[#This Row],[Estimated Impact ($)]],2))</f>
        <v>541.53</v>
      </c>
      <c r="Q52" s="2">
        <f ca="1">IF(IncidentTable[[#This Row],[Actual Impact ($)]]="","",(IncidentTable[[#This Row],[Actual Impact ($)]]-IncidentTable[[#This Row],[Estimated Impact ($)]]) / IncidentTable[[#This Row],[Estimated Impact ($)]])</f>
        <v>6.0086746474606927E-2</v>
      </c>
      <c r="R52" s="3">
        <f ca="1">IF(IncidentTable[[#This Row],[Priority]]="Critical",1,
IF(IncidentTable[[#This Row],[Priority]]="High",3,
IF(IncidentTable[[#This Row],[Priority]]="Medium",5,
IF(IncidentTable[[#This Row],[Priority]]="Low",10,""))))</f>
        <v>10</v>
      </c>
      <c r="S52" t="str">
        <f ca="1">IF(IncidentTable[[#This Row],[Resolution Time (Days)]]="","",
IF(IncidentTable[[#This Row],[Resolution Time (Days)]]&lt;=IncidentTable[[#This Row],[SLA Target (Days)]],"Yes","No"))</f>
        <v>No</v>
      </c>
    </row>
    <row r="53" spans="1:19" x14ac:dyDescent="0.25">
      <c r="A53" t="str">
        <f t="shared" ca="1" si="1"/>
        <v>INC541798</v>
      </c>
      <c r="B53" t="str" cm="1">
        <f t="array" aca="1" ref="B53" ca="1">INDEX(SystemList,RANDBETWEEN(1,ROWS(SystemList)))</f>
        <v>Customer Portal</v>
      </c>
      <c r="C53" t="str" cm="1">
        <f t="array" aca="1" ref="C53" ca="1">INDEX(IssueTypeList,RANDBETWEEN(1,ROWS(IssueTypeList)))</f>
        <v>Payment Failure</v>
      </c>
      <c r="D53" t="str" cm="1">
        <f t="array" aca="1" ref="D53" ca="1">INDEX(PriorityList,RANDBETWEEN(1,ROWS(PriorityList)))</f>
        <v>Medium</v>
      </c>
      <c r="E53" t="str" cm="1">
        <f t="array" aca="1" ref="E53" ca="1">INDEX(SeverityList,RANDBETWEEN(1,ROWS(SeverityList)))</f>
        <v>Moderate</v>
      </c>
      <c r="F53" t="str" cm="1">
        <f t="array" aca="1" ref="F53" ca="1">INDEX(RegionList,RANDBETWEEN(1,ROWS(RegionList)))</f>
        <v>West</v>
      </c>
      <c r="G53" t="str" cm="1">
        <f t="array" aca="1" ref="G53" ca="1">INDEX(DepartmentList,RANDBETWEEN(1,ROWS(DepartmentList)))</f>
        <v>Compliance</v>
      </c>
      <c r="H53" s="1">
        <f t="shared" ca="1" si="2"/>
        <v>45087</v>
      </c>
      <c r="I53" s="4" t="str">
        <f ca="1">IF(IncidentTable[[#This Row],[Resolution Time (Days)]]="","",IncidentTable[[#This Row],[Created Date]]+IncidentTable[[#This Row],[Resolution Time (Days)]])</f>
        <v/>
      </c>
      <c r="J53" t="str">
        <f ca="1">IF(OR(IncidentTable[[#This Row],[Status]]="Resolved",IncidentTable[[#This Row],[Status]]="Closed"),RANDBETWEEN(1,120),"")</f>
        <v/>
      </c>
      <c r="K53" t="str">
        <f t="shared" ca="1" si="0"/>
        <v>Pending</v>
      </c>
      <c r="L53" t="str" cm="1">
        <f t="array" aca="1" ref="L53" ca="1">INDEX(AnalystList,RANDBETWEEN(1,ROWS(AnalystList)))</f>
        <v>Alex Johnson</v>
      </c>
      <c r="M53" t="str" cm="1">
        <f t="array" aca="1" ref="M53" ca="1">INDEX(RootCauseList,RANDBETWEEN(1,ROWS(RootCauseList)))</f>
        <v>Unknown</v>
      </c>
      <c r="N53">
        <f t="shared" ca="1" si="3"/>
        <v>9.36</v>
      </c>
      <c r="O53" t="str">
        <f ca="1">IF(OR(IncidentTable[[#This Row],[Status]]="Resolved",IncidentTable[[#This Row],[Status]]="Closed"),
ROUND(IncidentTable[[#This Row],[Estimated Impact ($)]]*(1+RANDBETWEEN(-15,25)/100)+RAND(),2),
"")</f>
        <v/>
      </c>
      <c r="P53" t="str">
        <f ca="1">IF(IncidentTable[[#This Row],[Actual Impact ($)]]="","",ROUND(IncidentTable[[#This Row],[Actual Impact ($)]]-IncidentTable[[#This Row],[Estimated Impact ($)]],2))</f>
        <v/>
      </c>
      <c r="Q53" s="2" t="str">
        <f ca="1">IF(IncidentTable[[#This Row],[Actual Impact ($)]]="","",(IncidentTable[[#This Row],[Actual Impact ($)]]-IncidentTable[[#This Row],[Estimated Impact ($)]]) / IncidentTable[[#This Row],[Estimated Impact ($)]])</f>
        <v/>
      </c>
      <c r="R53" s="3">
        <f ca="1">IF(IncidentTable[[#This Row],[Priority]]="Critical",1,
IF(IncidentTable[[#This Row],[Priority]]="High",3,
IF(IncidentTable[[#This Row],[Priority]]="Medium",5,
IF(IncidentTable[[#This Row],[Priority]]="Low",10,""))))</f>
        <v>5</v>
      </c>
      <c r="S53" t="str">
        <f ca="1">IF(IncidentTable[[#This Row],[Resolution Time (Days)]]="","",
IF(IncidentTable[[#This Row],[Resolution Time (Days)]]&lt;=IncidentTable[[#This Row],[SLA Target (Days)]],"Yes","No"))</f>
        <v/>
      </c>
    </row>
    <row r="54" spans="1:19" x14ac:dyDescent="0.25">
      <c r="A54" t="str">
        <f t="shared" ca="1" si="1"/>
        <v>INC819589</v>
      </c>
      <c r="B54" t="str" cm="1">
        <f t="array" aca="1" ref="B54" ca="1">INDEX(SystemList,RANDBETWEEN(1,ROWS(SystemList)))</f>
        <v>Payment Processing</v>
      </c>
      <c r="C54" t="str" cm="1">
        <f t="array" aca="1" ref="C54" ca="1">INDEX(IssueTypeList,RANDBETWEEN(1,ROWS(IssueTypeList)))</f>
        <v>Processing Delay</v>
      </c>
      <c r="D54" t="str" cm="1">
        <f t="array" aca="1" ref="D54" ca="1">INDEX(PriorityList,RANDBETWEEN(1,ROWS(PriorityList)))</f>
        <v>Critical</v>
      </c>
      <c r="E54" t="str" cm="1">
        <f t="array" aca="1" ref="E54" ca="1">INDEX(SeverityList,RANDBETWEEN(1,ROWS(SeverityList)))</f>
        <v>Major</v>
      </c>
      <c r="F54" t="str" cm="1">
        <f t="array" aca="1" ref="F54" ca="1">INDEX(RegionList,RANDBETWEEN(1,ROWS(RegionList)))</f>
        <v>Southeast</v>
      </c>
      <c r="G54" t="str" cm="1">
        <f t="array" aca="1" ref="G54" ca="1">INDEX(DepartmentList,RANDBETWEEN(1,ROWS(DepartmentList)))</f>
        <v>Billing</v>
      </c>
      <c r="H54" s="1">
        <f t="shared" ca="1" si="2"/>
        <v>45399</v>
      </c>
      <c r="I54" s="4" t="str">
        <f ca="1">IF(IncidentTable[[#This Row],[Resolution Time (Days)]]="","",IncidentTable[[#This Row],[Created Date]]+IncidentTable[[#This Row],[Resolution Time (Days)]])</f>
        <v/>
      </c>
      <c r="J54" t="str">
        <f ca="1">IF(OR(IncidentTable[[#This Row],[Status]]="Resolved",IncidentTable[[#This Row],[Status]]="Closed"),RANDBETWEEN(1,120),"")</f>
        <v/>
      </c>
      <c r="K54" t="str">
        <f t="shared" ca="1" si="0"/>
        <v>In Progress</v>
      </c>
      <c r="L54" t="str" cm="1">
        <f t="array" aca="1" ref="L54" ca="1">INDEX(AnalystList,RANDBETWEEN(1,ROWS(AnalystList)))</f>
        <v>Jordan Lee</v>
      </c>
      <c r="M54" t="str" cm="1">
        <f t="array" aca="1" ref="M54" ca="1">INDEX(RootCauseList,RANDBETWEEN(1,ROWS(RootCauseList)))</f>
        <v>Network Failure</v>
      </c>
      <c r="N54">
        <f t="shared" ca="1" si="3"/>
        <v>75.28</v>
      </c>
      <c r="O54" t="str">
        <f ca="1">IF(OR(IncidentTable[[#This Row],[Status]]="Resolved",IncidentTable[[#This Row],[Status]]="Closed"),
ROUND(IncidentTable[[#This Row],[Estimated Impact ($)]]*(1+RANDBETWEEN(-15,25)/100)+RAND(),2),
"")</f>
        <v/>
      </c>
      <c r="P54" t="str">
        <f ca="1">IF(IncidentTable[[#This Row],[Actual Impact ($)]]="","",ROUND(IncidentTable[[#This Row],[Actual Impact ($)]]-IncidentTable[[#This Row],[Estimated Impact ($)]],2))</f>
        <v/>
      </c>
      <c r="Q54" s="2" t="str">
        <f ca="1">IF(IncidentTable[[#This Row],[Actual Impact ($)]]="","",(IncidentTable[[#This Row],[Actual Impact ($)]]-IncidentTable[[#This Row],[Estimated Impact ($)]]) / IncidentTable[[#This Row],[Estimated Impact ($)]])</f>
        <v/>
      </c>
      <c r="R54" s="3">
        <f ca="1">IF(IncidentTable[[#This Row],[Priority]]="Critical",1,
IF(IncidentTable[[#This Row],[Priority]]="High",3,
IF(IncidentTable[[#This Row],[Priority]]="Medium",5,
IF(IncidentTable[[#This Row],[Priority]]="Low",10,""))))</f>
        <v>1</v>
      </c>
      <c r="S54" t="str">
        <f ca="1">IF(IncidentTable[[#This Row],[Resolution Time (Days)]]="","",
IF(IncidentTable[[#This Row],[Resolution Time (Days)]]&lt;=IncidentTable[[#This Row],[SLA Target (Days)]],"Yes","No"))</f>
        <v/>
      </c>
    </row>
    <row r="55" spans="1:19" x14ac:dyDescent="0.25">
      <c r="A55" t="str">
        <f t="shared" ca="1" si="1"/>
        <v>INC189704</v>
      </c>
      <c r="B55" t="str" cm="1">
        <f t="array" aca="1" ref="B55" ca="1">INDEX(SystemList,RANDBETWEEN(1,ROWS(SystemList)))</f>
        <v>Payment Processing</v>
      </c>
      <c r="C55" t="str" cm="1">
        <f t="array" aca="1" ref="C55" ca="1">INDEX(IssueTypeList,RANDBETWEEN(1,ROWS(IssueTypeList)))</f>
        <v>User Access Issue</v>
      </c>
      <c r="D55" t="str" cm="1">
        <f t="array" aca="1" ref="D55" ca="1">INDEX(PriorityList,RANDBETWEEN(1,ROWS(PriorityList)))</f>
        <v>Low</v>
      </c>
      <c r="E55" t="str" cm="1">
        <f t="array" aca="1" ref="E55" ca="1">INDEX(SeverityList,RANDBETWEEN(1,ROWS(SeverityList)))</f>
        <v>Moderate</v>
      </c>
      <c r="F55" t="str" cm="1">
        <f t="array" aca="1" ref="F55" ca="1">INDEX(RegionList,RANDBETWEEN(1,ROWS(RegionList)))</f>
        <v>West</v>
      </c>
      <c r="G55" t="str" cm="1">
        <f t="array" aca="1" ref="G55" ca="1">INDEX(DepartmentList,RANDBETWEEN(1,ROWS(DepartmentList)))</f>
        <v>IT</v>
      </c>
      <c r="H55" s="1">
        <f t="shared" ca="1" si="2"/>
        <v>45234</v>
      </c>
      <c r="I55" s="4" t="str">
        <f ca="1">IF(IncidentTable[[#This Row],[Resolution Time (Days)]]="","",IncidentTable[[#This Row],[Created Date]]+IncidentTable[[#This Row],[Resolution Time (Days)]])</f>
        <v/>
      </c>
      <c r="J55" t="str">
        <f ca="1">IF(OR(IncidentTable[[#This Row],[Status]]="Resolved",IncidentTable[[#This Row],[Status]]="Closed"),RANDBETWEEN(1,120),"")</f>
        <v/>
      </c>
      <c r="K55" t="str">
        <f t="shared" ca="1" si="0"/>
        <v>Pending</v>
      </c>
      <c r="L55" t="str" cm="1">
        <f t="array" aca="1" ref="L55" ca="1">INDEX(AnalystList,RANDBETWEEN(1,ROWS(AnalystList)))</f>
        <v>Morgan Davis</v>
      </c>
      <c r="M55" t="str" cm="1">
        <f t="array" aca="1" ref="M55" ca="1">INDEX(RootCauseList,RANDBETWEEN(1,ROWS(RootCauseList)))</f>
        <v>Integration Failure</v>
      </c>
      <c r="N55">
        <f t="shared" ca="1" si="3"/>
        <v>11523.23</v>
      </c>
      <c r="O55" t="str">
        <f ca="1">IF(OR(IncidentTable[[#This Row],[Status]]="Resolved",IncidentTable[[#This Row],[Status]]="Closed"),
ROUND(IncidentTable[[#This Row],[Estimated Impact ($)]]*(1+RANDBETWEEN(-15,25)/100)+RAND(),2),
"")</f>
        <v/>
      </c>
      <c r="P55" t="str">
        <f ca="1">IF(IncidentTable[[#This Row],[Actual Impact ($)]]="","",ROUND(IncidentTable[[#This Row],[Actual Impact ($)]]-IncidentTable[[#This Row],[Estimated Impact ($)]],2))</f>
        <v/>
      </c>
      <c r="Q55" s="2" t="str">
        <f ca="1">IF(IncidentTable[[#This Row],[Actual Impact ($)]]="","",(IncidentTable[[#This Row],[Actual Impact ($)]]-IncidentTable[[#This Row],[Estimated Impact ($)]]) / IncidentTable[[#This Row],[Estimated Impact ($)]])</f>
        <v/>
      </c>
      <c r="R55" s="3">
        <f ca="1">IF(IncidentTable[[#This Row],[Priority]]="Critical",1,
IF(IncidentTable[[#This Row],[Priority]]="High",3,
IF(IncidentTable[[#This Row],[Priority]]="Medium",5,
IF(IncidentTable[[#This Row],[Priority]]="Low",10,""))))</f>
        <v>10</v>
      </c>
      <c r="S55" t="str">
        <f ca="1">IF(IncidentTable[[#This Row],[Resolution Time (Days)]]="","",
IF(IncidentTable[[#This Row],[Resolution Time (Days)]]&lt;=IncidentTable[[#This Row],[SLA Target (Days)]],"Yes","No"))</f>
        <v/>
      </c>
    </row>
    <row r="56" spans="1:19" x14ac:dyDescent="0.25">
      <c r="A56" t="str">
        <f t="shared" ca="1" si="1"/>
        <v>INC340021</v>
      </c>
      <c r="B56" t="str" cm="1">
        <f t="array" aca="1" ref="B56" ca="1">INDEX(SystemList,RANDBETWEEN(1,ROWS(SystemList)))</f>
        <v>Customer Portal</v>
      </c>
      <c r="C56" t="str" cm="1">
        <f t="array" aca="1" ref="C56" ca="1">INDEX(IssueTypeList,RANDBETWEEN(1,ROWS(IssueTypeList)))</f>
        <v>Payment Failure</v>
      </c>
      <c r="D56" t="str" cm="1">
        <f t="array" aca="1" ref="D56" ca="1">INDEX(PriorityList,RANDBETWEEN(1,ROWS(PriorityList)))</f>
        <v>High</v>
      </c>
      <c r="E56" t="str" cm="1">
        <f t="array" aca="1" ref="E56" ca="1">INDEX(SeverityList,RANDBETWEEN(1,ROWS(SeverityList)))</f>
        <v>Minor</v>
      </c>
      <c r="F56" t="str" cm="1">
        <f t="array" aca="1" ref="F56" ca="1">INDEX(RegionList,RANDBETWEEN(1,ROWS(RegionList)))</f>
        <v>Southeast</v>
      </c>
      <c r="G56" t="str" cm="1">
        <f t="array" aca="1" ref="G56" ca="1">INDEX(DepartmentList,RANDBETWEEN(1,ROWS(DepartmentList)))</f>
        <v>Compliance</v>
      </c>
      <c r="H56" s="1">
        <f t="shared" ca="1" si="2"/>
        <v>45395</v>
      </c>
      <c r="I56" s="4" t="str">
        <f ca="1">IF(IncidentTable[[#This Row],[Resolution Time (Days)]]="","",IncidentTable[[#This Row],[Created Date]]+IncidentTable[[#This Row],[Resolution Time (Days)]])</f>
        <v/>
      </c>
      <c r="J56" t="str">
        <f ca="1">IF(OR(IncidentTable[[#This Row],[Status]]="Resolved",IncidentTable[[#This Row],[Status]]="Closed"),RANDBETWEEN(1,120),"")</f>
        <v/>
      </c>
      <c r="K56" t="str">
        <f t="shared" ca="1" si="0"/>
        <v>In Progress</v>
      </c>
      <c r="L56" t="str" cm="1">
        <f t="array" aca="1" ref="L56" ca="1">INDEX(AnalystList,RANDBETWEEN(1,ROWS(AnalystList)))</f>
        <v>Alex Johnson</v>
      </c>
      <c r="M56" t="str" cm="1">
        <f t="array" aca="1" ref="M56" ca="1">INDEX(RootCauseList,RANDBETWEEN(1,ROWS(RootCauseList)))</f>
        <v>System Bug</v>
      </c>
      <c r="N56">
        <f t="shared" ca="1" si="3"/>
        <v>5046.28</v>
      </c>
      <c r="O56" t="str">
        <f ca="1">IF(OR(IncidentTable[[#This Row],[Status]]="Resolved",IncidentTable[[#This Row],[Status]]="Closed"),
ROUND(IncidentTable[[#This Row],[Estimated Impact ($)]]*(1+RANDBETWEEN(-15,25)/100)+RAND(),2),
"")</f>
        <v/>
      </c>
      <c r="P56" t="str">
        <f ca="1">IF(IncidentTable[[#This Row],[Actual Impact ($)]]="","",ROUND(IncidentTable[[#This Row],[Actual Impact ($)]]-IncidentTable[[#This Row],[Estimated Impact ($)]],2))</f>
        <v/>
      </c>
      <c r="Q56" s="2" t="str">
        <f ca="1">IF(IncidentTable[[#This Row],[Actual Impact ($)]]="","",(IncidentTable[[#This Row],[Actual Impact ($)]]-IncidentTable[[#This Row],[Estimated Impact ($)]]) / IncidentTable[[#This Row],[Estimated Impact ($)]])</f>
        <v/>
      </c>
      <c r="R56" s="3">
        <f ca="1">IF(IncidentTable[[#This Row],[Priority]]="Critical",1,
IF(IncidentTable[[#This Row],[Priority]]="High",3,
IF(IncidentTable[[#This Row],[Priority]]="Medium",5,
IF(IncidentTable[[#This Row],[Priority]]="Low",10,""))))</f>
        <v>3</v>
      </c>
      <c r="S56" t="str">
        <f ca="1">IF(IncidentTable[[#This Row],[Resolution Time (Days)]]="","",
IF(IncidentTable[[#This Row],[Resolution Time (Days)]]&lt;=IncidentTable[[#This Row],[SLA Target (Days)]],"Yes","No"))</f>
        <v/>
      </c>
    </row>
    <row r="57" spans="1:19" x14ac:dyDescent="0.25">
      <c r="A57" t="str">
        <f t="shared" ca="1" si="1"/>
        <v>INC913985</v>
      </c>
      <c r="B57" t="str" cm="1">
        <f t="array" aca="1" ref="B57" ca="1">INDEX(SystemList,RANDBETWEEN(1,ROWS(SystemList)))</f>
        <v>Regulatory System</v>
      </c>
      <c r="C57" t="str" cm="1">
        <f t="array" aca="1" ref="C57" ca="1">INDEX(IssueTypeList,RANDBETWEEN(1,ROWS(IssueTypeList)))</f>
        <v>Performance Issue</v>
      </c>
      <c r="D57" t="str" cm="1">
        <f t="array" aca="1" ref="D57" ca="1">INDEX(PriorityList,RANDBETWEEN(1,ROWS(PriorityList)))</f>
        <v>Low</v>
      </c>
      <c r="E57" t="str" cm="1">
        <f t="array" aca="1" ref="E57" ca="1">INDEX(SeverityList,RANDBETWEEN(1,ROWS(SeverityList)))</f>
        <v>Moderate</v>
      </c>
      <c r="F57" t="str" cm="1">
        <f t="array" aca="1" ref="F57" ca="1">INDEX(RegionList,RANDBETWEEN(1,ROWS(RegionList)))</f>
        <v>Central</v>
      </c>
      <c r="G57" t="str" cm="1">
        <f t="array" aca="1" ref="G57" ca="1">INDEX(DepartmentList,RANDBETWEEN(1,ROWS(DepartmentList)))</f>
        <v>IT</v>
      </c>
      <c r="H57" s="1">
        <f t="shared" ca="1" si="2"/>
        <v>45371</v>
      </c>
      <c r="I57" s="4">
        <f ca="1">IF(IncidentTable[[#This Row],[Resolution Time (Days)]]="","",IncidentTable[[#This Row],[Created Date]]+IncidentTable[[#This Row],[Resolution Time (Days)]])</f>
        <v>45395</v>
      </c>
      <c r="J57">
        <f ca="1">IF(OR(IncidentTable[[#This Row],[Status]]="Resolved",IncidentTable[[#This Row],[Status]]="Closed"),RANDBETWEEN(1,120),"")</f>
        <v>24</v>
      </c>
      <c r="K57" t="str">
        <f t="shared" ca="1" si="0"/>
        <v>Closed</v>
      </c>
      <c r="L57" t="str" cm="1">
        <f t="array" aca="1" ref="L57" ca="1">INDEX(AnalystList,RANDBETWEEN(1,ROWS(AnalystList)))</f>
        <v>Taylor Smith</v>
      </c>
      <c r="M57" t="str" cm="1">
        <f t="array" aca="1" ref="M57" ca="1">INDEX(RootCauseList,RANDBETWEEN(1,ROWS(RootCauseList)))</f>
        <v>Integration Failure</v>
      </c>
      <c r="N57">
        <f t="shared" ca="1" si="3"/>
        <v>1094.6400000000001</v>
      </c>
      <c r="O57">
        <f ca="1">IF(OR(IncidentTable[[#This Row],[Status]]="Resolved",IncidentTable[[#This Row],[Status]]="Closed"),
ROUND(IncidentTable[[#This Row],[Estimated Impact ($)]]*(1+RANDBETWEEN(-15,25)/100)+RAND(),2),
"")</f>
        <v>1325.04</v>
      </c>
      <c r="P57">
        <f ca="1">IF(IncidentTable[[#This Row],[Actual Impact ($)]]="","",ROUND(IncidentTable[[#This Row],[Actual Impact ($)]]-IncidentTable[[#This Row],[Estimated Impact ($)]],2))</f>
        <v>230.4</v>
      </c>
      <c r="Q57" s="2">
        <f ca="1">IF(IncidentTable[[#This Row],[Actual Impact ($)]]="","",(IncidentTable[[#This Row],[Actual Impact ($)]]-IncidentTable[[#This Row],[Estimated Impact ($)]]) / IncidentTable[[#This Row],[Estimated Impact ($)]])</f>
        <v>0.21048015786011826</v>
      </c>
      <c r="R57" s="3">
        <f ca="1">IF(IncidentTable[[#This Row],[Priority]]="Critical",1,
IF(IncidentTable[[#This Row],[Priority]]="High",3,
IF(IncidentTable[[#This Row],[Priority]]="Medium",5,
IF(IncidentTable[[#This Row],[Priority]]="Low",10,""))))</f>
        <v>10</v>
      </c>
      <c r="S57" t="str">
        <f ca="1">IF(IncidentTable[[#This Row],[Resolution Time (Days)]]="","",
IF(IncidentTable[[#This Row],[Resolution Time (Days)]]&lt;=IncidentTable[[#This Row],[SLA Target (Days)]],"Yes","No"))</f>
        <v>No</v>
      </c>
    </row>
    <row r="58" spans="1:19" x14ac:dyDescent="0.25">
      <c r="A58" t="str">
        <f t="shared" ca="1" si="1"/>
        <v>INC175574</v>
      </c>
      <c r="B58" t="str" cm="1">
        <f t="array" aca="1" ref="B58" ca="1">INDEX(SystemList,RANDBETWEEN(1,ROWS(SystemList)))</f>
        <v>Policy Admin System</v>
      </c>
      <c r="C58" t="str" cm="1">
        <f t="array" aca="1" ref="C58" ca="1">INDEX(IssueTypeList,RANDBETWEEN(1,ROWS(IssueTypeList)))</f>
        <v>System Error</v>
      </c>
      <c r="D58" t="str" cm="1">
        <f t="array" aca="1" ref="D58" ca="1">INDEX(PriorityList,RANDBETWEEN(1,ROWS(PriorityList)))</f>
        <v>Low</v>
      </c>
      <c r="E58" t="str" cm="1">
        <f t="array" aca="1" ref="E58" ca="1">INDEX(SeverityList,RANDBETWEEN(1,ROWS(SeverityList)))</f>
        <v>Minor</v>
      </c>
      <c r="F58" t="str" cm="1">
        <f t="array" aca="1" ref="F58" ca="1">INDEX(RegionList,RANDBETWEEN(1,ROWS(RegionList)))</f>
        <v>East</v>
      </c>
      <c r="G58" t="str" cm="1">
        <f t="array" aca="1" ref="G58" ca="1">INDEX(DepartmentList,RANDBETWEEN(1,ROWS(DepartmentList)))</f>
        <v>Finance</v>
      </c>
      <c r="H58" s="1">
        <f t="shared" ca="1" si="2"/>
        <v>45083</v>
      </c>
      <c r="I58" s="4" t="str">
        <f ca="1">IF(IncidentTable[[#This Row],[Resolution Time (Days)]]="","",IncidentTable[[#This Row],[Created Date]]+IncidentTable[[#This Row],[Resolution Time (Days)]])</f>
        <v/>
      </c>
      <c r="J58" t="str">
        <f ca="1">IF(OR(IncidentTable[[#This Row],[Status]]="Resolved",IncidentTable[[#This Row],[Status]]="Closed"),RANDBETWEEN(1,120),"")</f>
        <v/>
      </c>
      <c r="K58" t="str">
        <f t="shared" ca="1" si="0"/>
        <v>Pending</v>
      </c>
      <c r="L58" t="str" cm="1">
        <f t="array" aca="1" ref="L58" ca="1">INDEX(AnalystList,RANDBETWEEN(1,ROWS(AnalystList)))</f>
        <v>Riley Wilson</v>
      </c>
      <c r="M58" t="str" cm="1">
        <f t="array" aca="1" ref="M58" ca="1">INDEX(RootCauseList,RANDBETWEEN(1,ROWS(RootCauseList)))</f>
        <v>Unknown</v>
      </c>
      <c r="N58">
        <f t="shared" ca="1" si="3"/>
        <v>751.19</v>
      </c>
      <c r="O58" t="str">
        <f ca="1">IF(OR(IncidentTable[[#This Row],[Status]]="Resolved",IncidentTable[[#This Row],[Status]]="Closed"),
ROUND(IncidentTable[[#This Row],[Estimated Impact ($)]]*(1+RANDBETWEEN(-15,25)/100)+RAND(),2),
"")</f>
        <v/>
      </c>
      <c r="P58" t="str">
        <f ca="1">IF(IncidentTable[[#This Row],[Actual Impact ($)]]="","",ROUND(IncidentTable[[#This Row],[Actual Impact ($)]]-IncidentTable[[#This Row],[Estimated Impact ($)]],2))</f>
        <v/>
      </c>
      <c r="Q58" s="2" t="str">
        <f ca="1">IF(IncidentTable[[#This Row],[Actual Impact ($)]]="","",(IncidentTable[[#This Row],[Actual Impact ($)]]-IncidentTable[[#This Row],[Estimated Impact ($)]]) / IncidentTable[[#This Row],[Estimated Impact ($)]])</f>
        <v/>
      </c>
      <c r="R58" s="3">
        <f ca="1">IF(IncidentTable[[#This Row],[Priority]]="Critical",1,
IF(IncidentTable[[#This Row],[Priority]]="High",3,
IF(IncidentTable[[#This Row],[Priority]]="Medium",5,
IF(IncidentTable[[#This Row],[Priority]]="Low",10,""))))</f>
        <v>10</v>
      </c>
      <c r="S58" t="str">
        <f ca="1">IF(IncidentTable[[#This Row],[Resolution Time (Days)]]="","",
IF(IncidentTable[[#This Row],[Resolution Time (Days)]]&lt;=IncidentTable[[#This Row],[SLA Target (Days)]],"Yes","No"))</f>
        <v/>
      </c>
    </row>
    <row r="59" spans="1:19" x14ac:dyDescent="0.25">
      <c r="A59" t="str">
        <f t="shared" ca="1" si="1"/>
        <v>INC206467</v>
      </c>
      <c r="B59" t="str" cm="1">
        <f t="array" aca="1" ref="B59" ca="1">INDEX(SystemList,RANDBETWEEN(1,ROWS(SystemList)))</f>
        <v>Policy Admin System</v>
      </c>
      <c r="C59" t="str" cm="1">
        <f t="array" aca="1" ref="C59" ca="1">INDEX(IssueTypeList,RANDBETWEEN(1,ROWS(IssueTypeList)))</f>
        <v>Integration Failure</v>
      </c>
      <c r="D59" t="str" cm="1">
        <f t="array" aca="1" ref="D59" ca="1">INDEX(PriorityList,RANDBETWEEN(1,ROWS(PriorityList)))</f>
        <v>High</v>
      </c>
      <c r="E59" t="str" cm="1">
        <f t="array" aca="1" ref="E59" ca="1">INDEX(SeverityList,RANDBETWEEN(1,ROWS(SeverityList)))</f>
        <v>Major</v>
      </c>
      <c r="F59" t="str" cm="1">
        <f t="array" aca="1" ref="F59" ca="1">INDEX(RegionList,RANDBETWEEN(1,ROWS(RegionList)))</f>
        <v>West</v>
      </c>
      <c r="G59" t="str" cm="1">
        <f t="array" aca="1" ref="G59" ca="1">INDEX(DepartmentList,RANDBETWEEN(1,ROWS(DepartmentList)))</f>
        <v>IT</v>
      </c>
      <c r="H59" s="1">
        <f t="shared" ca="1" si="2"/>
        <v>44970</v>
      </c>
      <c r="I59" s="4">
        <f ca="1">IF(IncidentTable[[#This Row],[Resolution Time (Days)]]="","",IncidentTable[[#This Row],[Created Date]]+IncidentTable[[#This Row],[Resolution Time (Days)]])</f>
        <v>45075</v>
      </c>
      <c r="J59">
        <f ca="1">IF(OR(IncidentTable[[#This Row],[Status]]="Resolved",IncidentTable[[#This Row],[Status]]="Closed"),RANDBETWEEN(1,120),"")</f>
        <v>105</v>
      </c>
      <c r="K59" t="str">
        <f t="shared" ca="1" si="0"/>
        <v>Closed</v>
      </c>
      <c r="L59" t="str" cm="1">
        <f t="array" aca="1" ref="L59" ca="1">INDEX(AnalystList,RANDBETWEEN(1,ROWS(AnalystList)))</f>
        <v>Alex Johnson</v>
      </c>
      <c r="M59" t="str" cm="1">
        <f t="array" aca="1" ref="M59" ca="1">INDEX(RootCauseList,RANDBETWEEN(1,ROWS(RootCauseList)))</f>
        <v>System Bug</v>
      </c>
      <c r="N59">
        <f t="shared" ca="1" si="3"/>
        <v>28738.48</v>
      </c>
      <c r="O59">
        <f ca="1">IF(OR(IncidentTable[[#This Row],[Status]]="Resolved",IncidentTable[[#This Row],[Status]]="Closed"),
ROUND(IncidentTable[[#This Row],[Estimated Impact ($)]]*(1+RANDBETWEEN(-15,25)/100)+RAND(),2),
"")</f>
        <v>35923.29</v>
      </c>
      <c r="P59">
        <f ca="1">IF(IncidentTable[[#This Row],[Actual Impact ($)]]="","",ROUND(IncidentTable[[#This Row],[Actual Impact ($)]]-IncidentTable[[#This Row],[Estimated Impact ($)]],2))</f>
        <v>7184.81</v>
      </c>
      <c r="Q59" s="2">
        <f ca="1">IF(IncidentTable[[#This Row],[Actual Impact ($)]]="","",(IncidentTable[[#This Row],[Actual Impact ($)]]-IncidentTable[[#This Row],[Estimated Impact ($)]]) / IncidentTable[[#This Row],[Estimated Impact ($)]])</f>
        <v>0.25000661134478935</v>
      </c>
      <c r="R59" s="3">
        <f ca="1">IF(IncidentTable[[#This Row],[Priority]]="Critical",1,
IF(IncidentTable[[#This Row],[Priority]]="High",3,
IF(IncidentTable[[#This Row],[Priority]]="Medium",5,
IF(IncidentTable[[#This Row],[Priority]]="Low",10,""))))</f>
        <v>3</v>
      </c>
      <c r="S59" t="str">
        <f ca="1">IF(IncidentTable[[#This Row],[Resolution Time (Days)]]="","",
IF(IncidentTable[[#This Row],[Resolution Time (Days)]]&lt;=IncidentTable[[#This Row],[SLA Target (Days)]],"Yes","No"))</f>
        <v>No</v>
      </c>
    </row>
    <row r="60" spans="1:19" x14ac:dyDescent="0.25">
      <c r="A60" t="str">
        <f t="shared" ca="1" si="1"/>
        <v>INC285940</v>
      </c>
      <c r="B60" t="str" cm="1">
        <f t="array" aca="1" ref="B60" ca="1">INDEX(SystemList,RANDBETWEEN(1,ROWS(SystemList)))</f>
        <v>Policy Admin System</v>
      </c>
      <c r="C60" t="str" cm="1">
        <f t="array" aca="1" ref="C60" ca="1">INDEX(IssueTypeList,RANDBETWEEN(1,ROWS(IssueTypeList)))</f>
        <v>Integration Failure</v>
      </c>
      <c r="D60" t="str" cm="1">
        <f t="array" aca="1" ref="D60" ca="1">INDEX(PriorityList,RANDBETWEEN(1,ROWS(PriorityList)))</f>
        <v>Critical</v>
      </c>
      <c r="E60" t="str" cm="1">
        <f t="array" aca="1" ref="E60" ca="1">INDEX(SeverityList,RANDBETWEEN(1,ROWS(SeverityList)))</f>
        <v>Major</v>
      </c>
      <c r="F60" t="str" cm="1">
        <f t="array" aca="1" ref="F60" ca="1">INDEX(RegionList,RANDBETWEEN(1,ROWS(RegionList)))</f>
        <v>West</v>
      </c>
      <c r="G60" t="str" cm="1">
        <f t="array" aca="1" ref="G60" ca="1">INDEX(DepartmentList,RANDBETWEEN(1,ROWS(DepartmentList)))</f>
        <v>Claims</v>
      </c>
      <c r="H60" s="1">
        <f t="shared" ca="1" si="2"/>
        <v>45022</v>
      </c>
      <c r="I60" s="4" t="str">
        <f ca="1">IF(IncidentTable[[#This Row],[Resolution Time (Days)]]="","",IncidentTable[[#This Row],[Created Date]]+IncidentTable[[#This Row],[Resolution Time (Days)]])</f>
        <v/>
      </c>
      <c r="J60" t="str">
        <f ca="1">IF(OR(IncidentTable[[#This Row],[Status]]="Resolved",IncidentTable[[#This Row],[Status]]="Closed"),RANDBETWEEN(1,120),"")</f>
        <v/>
      </c>
      <c r="K60" t="str">
        <f t="shared" ca="1" si="0"/>
        <v>Open</v>
      </c>
      <c r="L60" t="str" cm="1">
        <f t="array" aca="1" ref="L60" ca="1">INDEX(AnalystList,RANDBETWEEN(1,ROWS(AnalystList)))</f>
        <v>Casey Brown</v>
      </c>
      <c r="M60" t="str" cm="1">
        <f t="array" aca="1" ref="M60" ca="1">INDEX(RootCauseList,RANDBETWEEN(1,ROWS(RootCauseList)))</f>
        <v>Process Gap</v>
      </c>
      <c r="N60">
        <f t="shared" ca="1" si="3"/>
        <v>21179.93</v>
      </c>
      <c r="O60" t="str">
        <f ca="1">IF(OR(IncidentTable[[#This Row],[Status]]="Resolved",IncidentTable[[#This Row],[Status]]="Closed"),
ROUND(IncidentTable[[#This Row],[Estimated Impact ($)]]*(1+RANDBETWEEN(-15,25)/100)+RAND(),2),
"")</f>
        <v/>
      </c>
      <c r="P60" t="str">
        <f ca="1">IF(IncidentTable[[#This Row],[Actual Impact ($)]]="","",ROUND(IncidentTable[[#This Row],[Actual Impact ($)]]-IncidentTable[[#This Row],[Estimated Impact ($)]],2))</f>
        <v/>
      </c>
      <c r="Q60" s="2" t="str">
        <f ca="1">IF(IncidentTable[[#This Row],[Actual Impact ($)]]="","",(IncidentTable[[#This Row],[Actual Impact ($)]]-IncidentTable[[#This Row],[Estimated Impact ($)]]) / IncidentTable[[#This Row],[Estimated Impact ($)]])</f>
        <v/>
      </c>
      <c r="R60" s="3">
        <f ca="1">IF(IncidentTable[[#This Row],[Priority]]="Critical",1,
IF(IncidentTable[[#This Row],[Priority]]="High",3,
IF(IncidentTable[[#This Row],[Priority]]="Medium",5,
IF(IncidentTable[[#This Row],[Priority]]="Low",10,""))))</f>
        <v>1</v>
      </c>
      <c r="S60" t="str">
        <f ca="1">IF(IncidentTable[[#This Row],[Resolution Time (Days)]]="","",
IF(IncidentTable[[#This Row],[Resolution Time (Days)]]&lt;=IncidentTable[[#This Row],[SLA Target (Days)]],"Yes","No"))</f>
        <v/>
      </c>
    </row>
    <row r="61" spans="1:19" x14ac:dyDescent="0.25">
      <c r="A61" t="str">
        <f t="shared" ca="1" si="1"/>
        <v>INC347460</v>
      </c>
      <c r="B61" t="str" cm="1">
        <f t="array" aca="1" ref="B61" ca="1">INDEX(SystemList,RANDBETWEEN(1,ROWS(SystemList)))</f>
        <v>Customer Portal</v>
      </c>
      <c r="C61" t="str" cm="1">
        <f t="array" aca="1" ref="C61" ca="1">INDEX(IssueTypeList,RANDBETWEEN(1,ROWS(IssueTypeList)))</f>
        <v>Payment Failure</v>
      </c>
      <c r="D61" t="str" cm="1">
        <f t="array" aca="1" ref="D61" ca="1">INDEX(PriorityList,RANDBETWEEN(1,ROWS(PriorityList)))</f>
        <v>Low</v>
      </c>
      <c r="E61" t="str" cm="1">
        <f t="array" aca="1" ref="E61" ca="1">INDEX(SeverityList,RANDBETWEEN(1,ROWS(SeverityList)))</f>
        <v>Major</v>
      </c>
      <c r="F61" t="str" cm="1">
        <f t="array" aca="1" ref="F61" ca="1">INDEX(RegionList,RANDBETWEEN(1,ROWS(RegionList)))</f>
        <v>Central</v>
      </c>
      <c r="G61" t="str" cm="1">
        <f t="array" aca="1" ref="G61" ca="1">INDEX(DepartmentList,RANDBETWEEN(1,ROWS(DepartmentList)))</f>
        <v>Billing</v>
      </c>
      <c r="H61" s="1">
        <f t="shared" ca="1" si="2"/>
        <v>45149</v>
      </c>
      <c r="I61" s="4">
        <f ca="1">IF(IncidentTable[[#This Row],[Resolution Time (Days)]]="","",IncidentTable[[#This Row],[Created Date]]+IncidentTable[[#This Row],[Resolution Time (Days)]])</f>
        <v>45243</v>
      </c>
      <c r="J61">
        <f ca="1">IF(OR(IncidentTable[[#This Row],[Status]]="Resolved",IncidentTable[[#This Row],[Status]]="Closed"),RANDBETWEEN(1,120),"")</f>
        <v>94</v>
      </c>
      <c r="K61" t="str">
        <f t="shared" ca="1" si="0"/>
        <v>Resolved</v>
      </c>
      <c r="L61" t="str" cm="1">
        <f t="array" aca="1" ref="L61" ca="1">INDEX(AnalystList,RANDBETWEEN(1,ROWS(AnalystList)))</f>
        <v>Taylor Smith</v>
      </c>
      <c r="M61" t="str" cm="1">
        <f t="array" aca="1" ref="M61" ca="1">INDEX(RootCauseList,RANDBETWEEN(1,ROWS(RootCauseList)))</f>
        <v>Configuration Issue</v>
      </c>
      <c r="N61">
        <f t="shared" ca="1" si="3"/>
        <v>54.81</v>
      </c>
      <c r="O61">
        <f ca="1">IF(OR(IncidentTable[[#This Row],[Status]]="Resolved",IncidentTable[[#This Row],[Status]]="Closed"),
ROUND(IncidentTable[[#This Row],[Estimated Impact ($)]]*(1+RANDBETWEEN(-15,25)/100)+RAND(),2),
"")</f>
        <v>49.53</v>
      </c>
      <c r="P61">
        <f ca="1">IF(IncidentTable[[#This Row],[Actual Impact ($)]]="","",ROUND(IncidentTable[[#This Row],[Actual Impact ($)]]-IncidentTable[[#This Row],[Estimated Impact ($)]],2))</f>
        <v>-5.28</v>
      </c>
      <c r="Q61" s="2">
        <f ca="1">IF(IncidentTable[[#This Row],[Actual Impact ($)]]="","",(IncidentTable[[#This Row],[Actual Impact ($)]]-IncidentTable[[#This Row],[Estimated Impact ($)]]) / IncidentTable[[#This Row],[Estimated Impact ($)]])</f>
        <v>-9.6332785987958414E-2</v>
      </c>
      <c r="R61" s="3">
        <f ca="1">IF(IncidentTable[[#This Row],[Priority]]="Critical",1,
IF(IncidentTable[[#This Row],[Priority]]="High",3,
IF(IncidentTable[[#This Row],[Priority]]="Medium",5,
IF(IncidentTable[[#This Row],[Priority]]="Low",10,""))))</f>
        <v>10</v>
      </c>
      <c r="S61" t="str">
        <f ca="1">IF(IncidentTable[[#This Row],[Resolution Time (Days)]]="","",
IF(IncidentTable[[#This Row],[Resolution Time (Days)]]&lt;=IncidentTable[[#This Row],[SLA Target (Days)]],"Yes","No"))</f>
        <v>No</v>
      </c>
    </row>
    <row r="62" spans="1:19" x14ac:dyDescent="0.25">
      <c r="A62" t="str">
        <f t="shared" ca="1" si="1"/>
        <v>INC996906</v>
      </c>
      <c r="B62" t="str" cm="1">
        <f t="array" aca="1" ref="B62" ca="1">INDEX(SystemList,RANDBETWEEN(1,ROWS(SystemList)))</f>
        <v>Regulatory System</v>
      </c>
      <c r="C62" t="str" cm="1">
        <f t="array" aca="1" ref="C62" ca="1">INDEX(IssueTypeList,RANDBETWEEN(1,ROWS(IssueTypeList)))</f>
        <v>Performance Issue</v>
      </c>
      <c r="D62" t="str" cm="1">
        <f t="array" aca="1" ref="D62" ca="1">INDEX(PriorityList,RANDBETWEEN(1,ROWS(PriorityList)))</f>
        <v>Critical</v>
      </c>
      <c r="E62" t="str" cm="1">
        <f t="array" aca="1" ref="E62" ca="1">INDEX(SeverityList,RANDBETWEEN(1,ROWS(SeverityList)))</f>
        <v>Critical</v>
      </c>
      <c r="F62" t="str" cm="1">
        <f t="array" aca="1" ref="F62" ca="1">INDEX(RegionList,RANDBETWEEN(1,ROWS(RegionList)))</f>
        <v>Southeast</v>
      </c>
      <c r="G62" t="str" cm="1">
        <f t="array" aca="1" ref="G62" ca="1">INDEX(DepartmentList,RANDBETWEEN(1,ROWS(DepartmentList)))</f>
        <v>Finance</v>
      </c>
      <c r="H62" s="1">
        <f t="shared" ca="1" si="2"/>
        <v>45266</v>
      </c>
      <c r="I62" s="4">
        <f ca="1">IF(IncidentTable[[#This Row],[Resolution Time (Days)]]="","",IncidentTable[[#This Row],[Created Date]]+IncidentTable[[#This Row],[Resolution Time (Days)]])</f>
        <v>45338</v>
      </c>
      <c r="J62">
        <f ca="1">IF(OR(IncidentTable[[#This Row],[Status]]="Resolved",IncidentTable[[#This Row],[Status]]="Closed"),RANDBETWEEN(1,120),"")</f>
        <v>72</v>
      </c>
      <c r="K62" t="str">
        <f t="shared" ca="1" si="0"/>
        <v>Closed</v>
      </c>
      <c r="L62" t="str" cm="1">
        <f t="array" aca="1" ref="L62" ca="1">INDEX(AnalystList,RANDBETWEEN(1,ROWS(AnalystList)))</f>
        <v>Taylor Smith</v>
      </c>
      <c r="M62" t="str" cm="1">
        <f t="array" aca="1" ref="M62" ca="1">INDEX(RootCauseList,RANDBETWEEN(1,ROWS(RootCauseList)))</f>
        <v>Unknown</v>
      </c>
      <c r="N62">
        <f t="shared" ca="1" si="3"/>
        <v>10538.21</v>
      </c>
      <c r="O62">
        <f ca="1">IF(OR(IncidentTable[[#This Row],[Status]]="Resolved",IncidentTable[[#This Row],[Status]]="Closed"),
ROUND(IncidentTable[[#This Row],[Estimated Impact ($)]]*(1+RANDBETWEEN(-15,25)/100)+RAND(),2),
"")</f>
        <v>12225.1</v>
      </c>
      <c r="P62">
        <f ca="1">IF(IncidentTable[[#This Row],[Actual Impact ($)]]="","",ROUND(IncidentTable[[#This Row],[Actual Impact ($)]]-IncidentTable[[#This Row],[Estimated Impact ($)]],2))</f>
        <v>1686.89</v>
      </c>
      <c r="Q62" s="2">
        <f ca="1">IF(IncidentTable[[#This Row],[Actual Impact ($)]]="","",(IncidentTable[[#This Row],[Actual Impact ($)]]-IncidentTable[[#This Row],[Estimated Impact ($)]]) / IncidentTable[[#This Row],[Estimated Impact ($)]])</f>
        <v>0.16007367475121501</v>
      </c>
      <c r="R62" s="3">
        <f ca="1">IF(IncidentTable[[#This Row],[Priority]]="Critical",1,
IF(IncidentTable[[#This Row],[Priority]]="High",3,
IF(IncidentTable[[#This Row],[Priority]]="Medium",5,
IF(IncidentTable[[#This Row],[Priority]]="Low",10,""))))</f>
        <v>1</v>
      </c>
      <c r="S62" t="str">
        <f ca="1">IF(IncidentTable[[#This Row],[Resolution Time (Days)]]="","",
IF(IncidentTable[[#This Row],[Resolution Time (Days)]]&lt;=IncidentTable[[#This Row],[SLA Target (Days)]],"Yes","No"))</f>
        <v>No</v>
      </c>
    </row>
    <row r="63" spans="1:19" x14ac:dyDescent="0.25">
      <c r="A63" t="str">
        <f t="shared" ca="1" si="1"/>
        <v>INC282678</v>
      </c>
      <c r="B63" t="str" cm="1">
        <f t="array" aca="1" ref="B63" ca="1">INDEX(SystemList,RANDBETWEEN(1,ROWS(SystemList)))</f>
        <v>Billing System</v>
      </c>
      <c r="C63" t="str" cm="1">
        <f t="array" aca="1" ref="C63" ca="1">INDEX(IssueTypeList,RANDBETWEEN(1,ROWS(IssueTypeList)))</f>
        <v>Data Issue</v>
      </c>
      <c r="D63" t="str" cm="1">
        <f t="array" aca="1" ref="D63" ca="1">INDEX(PriorityList,RANDBETWEEN(1,ROWS(PriorityList)))</f>
        <v>Medium</v>
      </c>
      <c r="E63" t="str" cm="1">
        <f t="array" aca="1" ref="E63" ca="1">INDEX(SeverityList,RANDBETWEEN(1,ROWS(SeverityList)))</f>
        <v>Critical</v>
      </c>
      <c r="F63" t="str" cm="1">
        <f t="array" aca="1" ref="F63" ca="1">INDEX(RegionList,RANDBETWEEN(1,ROWS(RegionList)))</f>
        <v>Central</v>
      </c>
      <c r="G63" t="str" cm="1">
        <f t="array" aca="1" ref="G63" ca="1">INDEX(DepartmentList,RANDBETWEEN(1,ROWS(DepartmentList)))</f>
        <v>Compliance</v>
      </c>
      <c r="H63" s="1">
        <f t="shared" ca="1" si="2"/>
        <v>45022</v>
      </c>
      <c r="I63" s="4" t="str">
        <f ca="1">IF(IncidentTable[[#This Row],[Resolution Time (Days)]]="","",IncidentTable[[#This Row],[Created Date]]+IncidentTable[[#This Row],[Resolution Time (Days)]])</f>
        <v/>
      </c>
      <c r="J63" t="str">
        <f ca="1">IF(OR(IncidentTable[[#This Row],[Status]]="Resolved",IncidentTable[[#This Row],[Status]]="Closed"),RANDBETWEEN(1,120),"")</f>
        <v/>
      </c>
      <c r="K63" t="str">
        <f t="shared" ca="1" si="0"/>
        <v>Open</v>
      </c>
      <c r="L63" t="str" cm="1">
        <f t="array" aca="1" ref="L63" ca="1">INDEX(AnalystList,RANDBETWEEN(1,ROWS(AnalystList)))</f>
        <v>Casey Brown</v>
      </c>
      <c r="M63" t="str" cm="1">
        <f t="array" aca="1" ref="M63" ca="1">INDEX(RootCauseList,RANDBETWEEN(1,ROWS(RootCauseList)))</f>
        <v>Configuration Issue</v>
      </c>
      <c r="N63">
        <f t="shared" ca="1" si="3"/>
        <v>6214.86</v>
      </c>
      <c r="O63" t="str">
        <f ca="1">IF(OR(IncidentTable[[#This Row],[Status]]="Resolved",IncidentTable[[#This Row],[Status]]="Closed"),
ROUND(IncidentTable[[#This Row],[Estimated Impact ($)]]*(1+RANDBETWEEN(-15,25)/100)+RAND(),2),
"")</f>
        <v/>
      </c>
      <c r="P63" t="str">
        <f ca="1">IF(IncidentTable[[#This Row],[Actual Impact ($)]]="","",ROUND(IncidentTable[[#This Row],[Actual Impact ($)]]-IncidentTable[[#This Row],[Estimated Impact ($)]],2))</f>
        <v/>
      </c>
      <c r="Q63" s="2" t="str">
        <f ca="1">IF(IncidentTable[[#This Row],[Actual Impact ($)]]="","",(IncidentTable[[#This Row],[Actual Impact ($)]]-IncidentTable[[#This Row],[Estimated Impact ($)]]) / IncidentTable[[#This Row],[Estimated Impact ($)]])</f>
        <v/>
      </c>
      <c r="R63" s="3">
        <f ca="1">IF(IncidentTable[[#This Row],[Priority]]="Critical",1,
IF(IncidentTable[[#This Row],[Priority]]="High",3,
IF(IncidentTable[[#This Row],[Priority]]="Medium",5,
IF(IncidentTable[[#This Row],[Priority]]="Low",10,""))))</f>
        <v>5</v>
      </c>
      <c r="S63" t="str">
        <f ca="1">IF(IncidentTable[[#This Row],[Resolution Time (Days)]]="","",
IF(IncidentTable[[#This Row],[Resolution Time (Days)]]&lt;=IncidentTable[[#This Row],[SLA Target (Days)]],"Yes","No"))</f>
        <v/>
      </c>
    </row>
    <row r="64" spans="1:19" x14ac:dyDescent="0.25">
      <c r="A64" t="str">
        <f t="shared" ca="1" si="1"/>
        <v>INC359451</v>
      </c>
      <c r="B64" t="str" cm="1">
        <f t="array" aca="1" ref="B64" ca="1">INDEX(SystemList,RANDBETWEEN(1,ROWS(SystemList)))</f>
        <v>Claims System</v>
      </c>
      <c r="C64" t="str" cm="1">
        <f t="array" aca="1" ref="C64" ca="1">INDEX(IssueTypeList,RANDBETWEEN(1,ROWS(IssueTypeList)))</f>
        <v>Data Issue</v>
      </c>
      <c r="D64" t="str" cm="1">
        <f t="array" aca="1" ref="D64" ca="1">INDEX(PriorityList,RANDBETWEEN(1,ROWS(PriorityList)))</f>
        <v>Low</v>
      </c>
      <c r="E64" t="str" cm="1">
        <f t="array" aca="1" ref="E64" ca="1">INDEX(SeverityList,RANDBETWEEN(1,ROWS(SeverityList)))</f>
        <v>Minor</v>
      </c>
      <c r="F64" t="str" cm="1">
        <f t="array" aca="1" ref="F64" ca="1">INDEX(RegionList,RANDBETWEEN(1,ROWS(RegionList)))</f>
        <v>Midwest</v>
      </c>
      <c r="G64" t="str" cm="1">
        <f t="array" aca="1" ref="G64" ca="1">INDEX(DepartmentList,RANDBETWEEN(1,ROWS(DepartmentList)))</f>
        <v>Billing</v>
      </c>
      <c r="H64" s="1">
        <f t="shared" ca="1" si="2"/>
        <v>45470</v>
      </c>
      <c r="I64" s="4" t="str">
        <f ca="1">IF(IncidentTable[[#This Row],[Resolution Time (Days)]]="","",IncidentTable[[#This Row],[Created Date]]+IncidentTable[[#This Row],[Resolution Time (Days)]])</f>
        <v/>
      </c>
      <c r="J64" t="str">
        <f ca="1">IF(OR(IncidentTable[[#This Row],[Status]]="Resolved",IncidentTable[[#This Row],[Status]]="Closed"),RANDBETWEEN(1,120),"")</f>
        <v/>
      </c>
      <c r="K64" t="str">
        <f t="shared" ca="1" si="0"/>
        <v>In Progress</v>
      </c>
      <c r="L64" t="str" cm="1">
        <f t="array" aca="1" ref="L64" ca="1">INDEX(AnalystList,RANDBETWEEN(1,ROWS(AnalystList)))</f>
        <v>Taylor Smith</v>
      </c>
      <c r="M64" t="str" cm="1">
        <f t="array" aca="1" ref="M64" ca="1">INDEX(RootCauseList,RANDBETWEEN(1,ROWS(RootCauseList)))</f>
        <v>System Bug</v>
      </c>
      <c r="N64">
        <f t="shared" ca="1" si="3"/>
        <v>10.4</v>
      </c>
      <c r="O64" t="str">
        <f ca="1">IF(OR(IncidentTable[[#This Row],[Status]]="Resolved",IncidentTable[[#This Row],[Status]]="Closed"),
ROUND(IncidentTable[[#This Row],[Estimated Impact ($)]]*(1+RANDBETWEEN(-15,25)/100)+RAND(),2),
"")</f>
        <v/>
      </c>
      <c r="P64" t="str">
        <f ca="1">IF(IncidentTable[[#This Row],[Actual Impact ($)]]="","",ROUND(IncidentTable[[#This Row],[Actual Impact ($)]]-IncidentTable[[#This Row],[Estimated Impact ($)]],2))</f>
        <v/>
      </c>
      <c r="Q64" s="2" t="str">
        <f ca="1">IF(IncidentTable[[#This Row],[Actual Impact ($)]]="","",(IncidentTable[[#This Row],[Actual Impact ($)]]-IncidentTable[[#This Row],[Estimated Impact ($)]]) / IncidentTable[[#This Row],[Estimated Impact ($)]])</f>
        <v/>
      </c>
      <c r="R64" s="3">
        <f ca="1">IF(IncidentTable[[#This Row],[Priority]]="Critical",1,
IF(IncidentTable[[#This Row],[Priority]]="High",3,
IF(IncidentTable[[#This Row],[Priority]]="Medium",5,
IF(IncidentTable[[#This Row],[Priority]]="Low",10,""))))</f>
        <v>10</v>
      </c>
      <c r="S64" t="str">
        <f ca="1">IF(IncidentTable[[#This Row],[Resolution Time (Days)]]="","",
IF(IncidentTable[[#This Row],[Resolution Time (Days)]]&lt;=IncidentTable[[#This Row],[SLA Target (Days)]],"Yes","No"))</f>
        <v/>
      </c>
    </row>
    <row r="65" spans="1:19" x14ac:dyDescent="0.25">
      <c r="A65" t="str">
        <f t="shared" ca="1" si="1"/>
        <v>INC561925</v>
      </c>
      <c r="B65" t="str" cm="1">
        <f t="array" aca="1" ref="B65" ca="1">INDEX(SystemList,RANDBETWEEN(1,ROWS(SystemList)))</f>
        <v>Claims System</v>
      </c>
      <c r="C65" t="str" cm="1">
        <f t="array" aca="1" ref="C65" ca="1">INDEX(IssueTypeList,RANDBETWEEN(1,ROWS(IssueTypeList)))</f>
        <v>Integration Failure</v>
      </c>
      <c r="D65" t="str" cm="1">
        <f t="array" aca="1" ref="D65" ca="1">INDEX(PriorityList,RANDBETWEEN(1,ROWS(PriorityList)))</f>
        <v>Critical</v>
      </c>
      <c r="E65" t="str" cm="1">
        <f t="array" aca="1" ref="E65" ca="1">INDEX(SeverityList,RANDBETWEEN(1,ROWS(SeverityList)))</f>
        <v>Moderate</v>
      </c>
      <c r="F65" t="str" cm="1">
        <f t="array" aca="1" ref="F65" ca="1">INDEX(RegionList,RANDBETWEEN(1,ROWS(RegionList)))</f>
        <v>Southeast</v>
      </c>
      <c r="G65" t="str" cm="1">
        <f t="array" aca="1" ref="G65" ca="1">INDEX(DepartmentList,RANDBETWEEN(1,ROWS(DepartmentList)))</f>
        <v>Compliance</v>
      </c>
      <c r="H65" s="1">
        <f t="shared" ca="1" si="2"/>
        <v>45360</v>
      </c>
      <c r="I65" s="4" t="str">
        <f ca="1">IF(IncidentTable[[#This Row],[Resolution Time (Days)]]="","",IncidentTable[[#This Row],[Created Date]]+IncidentTable[[#This Row],[Resolution Time (Days)]])</f>
        <v/>
      </c>
      <c r="J65" t="str">
        <f ca="1">IF(OR(IncidentTable[[#This Row],[Status]]="Resolved",IncidentTable[[#This Row],[Status]]="Closed"),RANDBETWEEN(1,120),"")</f>
        <v/>
      </c>
      <c r="K65" t="str">
        <f t="shared" ca="1" si="0"/>
        <v>In Progress</v>
      </c>
      <c r="L65" t="str" cm="1">
        <f t="array" aca="1" ref="L65" ca="1">INDEX(AnalystList,RANDBETWEEN(1,ROWS(AnalystList)))</f>
        <v>Riley Wilson</v>
      </c>
      <c r="M65" t="str" cm="1">
        <f t="array" aca="1" ref="M65" ca="1">INDEX(RootCauseList,RANDBETWEEN(1,ROWS(RootCauseList)))</f>
        <v>System Bug</v>
      </c>
      <c r="N65">
        <f t="shared" ca="1" si="3"/>
        <v>5.0599999999999996</v>
      </c>
      <c r="O65" t="str">
        <f ca="1">IF(OR(IncidentTable[[#This Row],[Status]]="Resolved",IncidentTable[[#This Row],[Status]]="Closed"),
ROUND(IncidentTable[[#This Row],[Estimated Impact ($)]]*(1+RANDBETWEEN(-15,25)/100)+RAND(),2),
"")</f>
        <v/>
      </c>
      <c r="P65" t="str">
        <f ca="1">IF(IncidentTable[[#This Row],[Actual Impact ($)]]="","",ROUND(IncidentTable[[#This Row],[Actual Impact ($)]]-IncidentTable[[#This Row],[Estimated Impact ($)]],2))</f>
        <v/>
      </c>
      <c r="Q65" s="2" t="str">
        <f ca="1">IF(IncidentTable[[#This Row],[Actual Impact ($)]]="","",(IncidentTable[[#This Row],[Actual Impact ($)]]-IncidentTable[[#This Row],[Estimated Impact ($)]]) / IncidentTable[[#This Row],[Estimated Impact ($)]])</f>
        <v/>
      </c>
      <c r="R65" s="3">
        <f ca="1">IF(IncidentTable[[#This Row],[Priority]]="Critical",1,
IF(IncidentTable[[#This Row],[Priority]]="High",3,
IF(IncidentTable[[#This Row],[Priority]]="Medium",5,
IF(IncidentTable[[#This Row],[Priority]]="Low",10,""))))</f>
        <v>1</v>
      </c>
      <c r="S65" t="str">
        <f ca="1">IF(IncidentTable[[#This Row],[Resolution Time (Days)]]="","",
IF(IncidentTable[[#This Row],[Resolution Time (Days)]]&lt;=IncidentTable[[#This Row],[SLA Target (Days)]],"Yes","No"))</f>
        <v/>
      </c>
    </row>
    <row r="66" spans="1:19" x14ac:dyDescent="0.25">
      <c r="A66" t="str">
        <f t="shared" ca="1" si="1"/>
        <v>INC345789</v>
      </c>
      <c r="B66" t="str" cm="1">
        <f t="array" aca="1" ref="B66" ca="1">INDEX(SystemList,RANDBETWEEN(1,ROWS(SystemList)))</f>
        <v>Reporting System</v>
      </c>
      <c r="C66" t="str" cm="1">
        <f t="array" aca="1" ref="C66" ca="1">INDEX(IssueTypeList,RANDBETWEEN(1,ROWS(IssueTypeList)))</f>
        <v>Data Issue</v>
      </c>
      <c r="D66" t="str" cm="1">
        <f t="array" aca="1" ref="D66" ca="1">INDEX(PriorityList,RANDBETWEEN(1,ROWS(PriorityList)))</f>
        <v>Low</v>
      </c>
      <c r="E66" t="str" cm="1">
        <f t="array" aca="1" ref="E66" ca="1">INDEX(SeverityList,RANDBETWEEN(1,ROWS(SeverityList)))</f>
        <v>Minor</v>
      </c>
      <c r="F66" t="str" cm="1">
        <f t="array" aca="1" ref="F66" ca="1">INDEX(RegionList,RANDBETWEEN(1,ROWS(RegionList)))</f>
        <v>East</v>
      </c>
      <c r="G66" t="str" cm="1">
        <f t="array" aca="1" ref="G66" ca="1">INDEX(DepartmentList,RANDBETWEEN(1,ROWS(DepartmentList)))</f>
        <v>IT</v>
      </c>
      <c r="H66" s="1">
        <f t="shared" ca="1" si="2"/>
        <v>45165</v>
      </c>
      <c r="I66" s="4" t="str">
        <f ca="1">IF(IncidentTable[[#This Row],[Resolution Time (Days)]]="","",IncidentTable[[#This Row],[Created Date]]+IncidentTable[[#This Row],[Resolution Time (Days)]])</f>
        <v/>
      </c>
      <c r="J66" t="str">
        <f ca="1">IF(OR(IncidentTable[[#This Row],[Status]]="Resolved",IncidentTable[[#This Row],[Status]]="Closed"),RANDBETWEEN(1,120),"")</f>
        <v/>
      </c>
      <c r="K66" t="str">
        <f t="shared" ref="K66:K129" ca="1" si="4">CHOOSE(RANDBETWEEN(1,5),"Open","In Progress","Pending","Resolved","Closed")</f>
        <v>Pending</v>
      </c>
      <c r="L66" t="str" cm="1">
        <f t="array" aca="1" ref="L66" ca="1">INDEX(AnalystList,RANDBETWEEN(1,ROWS(AnalystList)))</f>
        <v>Taylor Smith</v>
      </c>
      <c r="M66" t="str" cm="1">
        <f t="array" aca="1" ref="M66" ca="1">INDEX(RootCauseList,RANDBETWEEN(1,ROWS(RootCauseList)))</f>
        <v>System Bug</v>
      </c>
      <c r="N66">
        <f t="shared" ca="1" si="3"/>
        <v>52.67</v>
      </c>
      <c r="O66" t="str">
        <f ca="1">IF(OR(IncidentTable[[#This Row],[Status]]="Resolved",IncidentTable[[#This Row],[Status]]="Closed"),
ROUND(IncidentTable[[#This Row],[Estimated Impact ($)]]*(1+RANDBETWEEN(-15,25)/100)+RAND(),2),
"")</f>
        <v/>
      </c>
      <c r="P66" t="str">
        <f ca="1">IF(IncidentTable[[#This Row],[Actual Impact ($)]]="","",ROUND(IncidentTable[[#This Row],[Actual Impact ($)]]-IncidentTable[[#This Row],[Estimated Impact ($)]],2))</f>
        <v/>
      </c>
      <c r="Q66" s="2" t="str">
        <f ca="1">IF(IncidentTable[[#This Row],[Actual Impact ($)]]="","",(IncidentTable[[#This Row],[Actual Impact ($)]]-IncidentTable[[#This Row],[Estimated Impact ($)]]) / IncidentTable[[#This Row],[Estimated Impact ($)]])</f>
        <v/>
      </c>
      <c r="R66" s="3">
        <f ca="1">IF(IncidentTable[[#This Row],[Priority]]="Critical",1,
IF(IncidentTable[[#This Row],[Priority]]="High",3,
IF(IncidentTable[[#This Row],[Priority]]="Medium",5,
IF(IncidentTable[[#This Row],[Priority]]="Low",10,""))))</f>
        <v>10</v>
      </c>
      <c r="S66" t="str">
        <f ca="1">IF(IncidentTable[[#This Row],[Resolution Time (Days)]]="","",
IF(IncidentTable[[#This Row],[Resolution Time (Days)]]&lt;=IncidentTable[[#This Row],[SLA Target (Days)]],"Yes","No"))</f>
        <v/>
      </c>
    </row>
    <row r="67" spans="1:19" x14ac:dyDescent="0.25">
      <c r="A67" t="str">
        <f t="shared" ref="A67:A130" ca="1" si="5">"INC"&amp;TEXT(RANDBETWEEN(100000,999999),"000000")</f>
        <v>INC366465</v>
      </c>
      <c r="B67" t="str" cm="1">
        <f t="array" aca="1" ref="B67" ca="1">INDEX(SystemList,RANDBETWEEN(1,ROWS(SystemList)))</f>
        <v>Payment Processing</v>
      </c>
      <c r="C67" t="str" cm="1">
        <f t="array" aca="1" ref="C67" ca="1">INDEX(IssueTypeList,RANDBETWEEN(1,ROWS(IssueTypeList)))</f>
        <v>Payment Failure</v>
      </c>
      <c r="D67" t="str" cm="1">
        <f t="array" aca="1" ref="D67" ca="1">INDEX(PriorityList,RANDBETWEEN(1,ROWS(PriorityList)))</f>
        <v>High</v>
      </c>
      <c r="E67" t="str" cm="1">
        <f t="array" aca="1" ref="E67" ca="1">INDEX(SeverityList,RANDBETWEEN(1,ROWS(SeverityList)))</f>
        <v>Major</v>
      </c>
      <c r="F67" t="str" cm="1">
        <f t="array" aca="1" ref="F67" ca="1">INDEX(RegionList,RANDBETWEEN(1,ROWS(RegionList)))</f>
        <v>Central</v>
      </c>
      <c r="G67" t="str" cm="1">
        <f t="array" aca="1" ref="G67" ca="1">INDEX(DepartmentList,RANDBETWEEN(1,ROWS(DepartmentList)))</f>
        <v>IT</v>
      </c>
      <c r="H67" s="1">
        <f t="shared" ref="H67:H130" ca="1" si="6">DATE(2023,1,1)+RANDBETWEEN(0,545)</f>
        <v>45238</v>
      </c>
      <c r="I67" s="4" t="str">
        <f ca="1">IF(IncidentTable[[#This Row],[Resolution Time (Days)]]="","",IncidentTable[[#This Row],[Created Date]]+IncidentTable[[#This Row],[Resolution Time (Days)]])</f>
        <v/>
      </c>
      <c r="J67" t="str">
        <f ca="1">IF(OR(IncidentTable[[#This Row],[Status]]="Resolved",IncidentTable[[#This Row],[Status]]="Closed"),RANDBETWEEN(1,120),"")</f>
        <v/>
      </c>
      <c r="K67" t="str">
        <f t="shared" ca="1" si="4"/>
        <v>Open</v>
      </c>
      <c r="L67" t="str" cm="1">
        <f t="array" aca="1" ref="L67" ca="1">INDEX(AnalystList,RANDBETWEEN(1,ROWS(AnalystList)))</f>
        <v>Alex Johnson</v>
      </c>
      <c r="M67" t="str" cm="1">
        <f t="array" aca="1" ref="M67" ca="1">INDEX(RootCauseList,RANDBETWEEN(1,ROWS(RootCauseList)))</f>
        <v>Configuration Issue</v>
      </c>
      <c r="N67">
        <f t="shared" ref="N67:N130" ca="1" si="7">ROUND(RANDBETWEEN(500,50000)*(RAND()^3),2)</f>
        <v>37.43</v>
      </c>
      <c r="O67" t="str">
        <f ca="1">IF(OR(IncidentTable[[#This Row],[Status]]="Resolved",IncidentTable[[#This Row],[Status]]="Closed"),
ROUND(IncidentTable[[#This Row],[Estimated Impact ($)]]*(1+RANDBETWEEN(-15,25)/100)+RAND(),2),
"")</f>
        <v/>
      </c>
      <c r="P67" t="str">
        <f ca="1">IF(IncidentTable[[#This Row],[Actual Impact ($)]]="","",ROUND(IncidentTable[[#This Row],[Actual Impact ($)]]-IncidentTable[[#This Row],[Estimated Impact ($)]],2))</f>
        <v/>
      </c>
      <c r="Q67" s="2" t="str">
        <f ca="1">IF(IncidentTable[[#This Row],[Actual Impact ($)]]="","",(IncidentTable[[#This Row],[Actual Impact ($)]]-IncidentTable[[#This Row],[Estimated Impact ($)]]) / IncidentTable[[#This Row],[Estimated Impact ($)]])</f>
        <v/>
      </c>
      <c r="R67" s="3">
        <f ca="1">IF(IncidentTable[[#This Row],[Priority]]="Critical",1,
IF(IncidentTable[[#This Row],[Priority]]="High",3,
IF(IncidentTable[[#This Row],[Priority]]="Medium",5,
IF(IncidentTable[[#This Row],[Priority]]="Low",10,""))))</f>
        <v>3</v>
      </c>
      <c r="S67" t="str">
        <f ca="1">IF(IncidentTable[[#This Row],[Resolution Time (Days)]]="","",
IF(IncidentTable[[#This Row],[Resolution Time (Days)]]&lt;=IncidentTable[[#This Row],[SLA Target (Days)]],"Yes","No"))</f>
        <v/>
      </c>
    </row>
    <row r="68" spans="1:19" x14ac:dyDescent="0.25">
      <c r="A68" t="str">
        <f t="shared" ca="1" si="5"/>
        <v>INC503306</v>
      </c>
      <c r="B68" t="str" cm="1">
        <f t="array" aca="1" ref="B68" ca="1">INDEX(SystemList,RANDBETWEEN(1,ROWS(SystemList)))</f>
        <v>Customer Portal</v>
      </c>
      <c r="C68" t="str" cm="1">
        <f t="array" aca="1" ref="C68" ca="1">INDEX(IssueTypeList,RANDBETWEEN(1,ROWS(IssueTypeList)))</f>
        <v>Complaint</v>
      </c>
      <c r="D68" t="str" cm="1">
        <f t="array" aca="1" ref="D68" ca="1">INDEX(PriorityList,RANDBETWEEN(1,ROWS(PriorityList)))</f>
        <v>Critical</v>
      </c>
      <c r="E68" t="str" cm="1">
        <f t="array" aca="1" ref="E68" ca="1">INDEX(SeverityList,RANDBETWEEN(1,ROWS(SeverityList)))</f>
        <v>Critical</v>
      </c>
      <c r="F68" t="str" cm="1">
        <f t="array" aca="1" ref="F68" ca="1">INDEX(RegionList,RANDBETWEEN(1,ROWS(RegionList)))</f>
        <v>East</v>
      </c>
      <c r="G68" t="str" cm="1">
        <f t="array" aca="1" ref="G68" ca="1">INDEX(DepartmentList,RANDBETWEEN(1,ROWS(DepartmentList)))</f>
        <v>Claims</v>
      </c>
      <c r="H68" s="1">
        <f t="shared" ca="1" si="6"/>
        <v>45393</v>
      </c>
      <c r="I68" s="4" t="str">
        <f ca="1">IF(IncidentTable[[#This Row],[Resolution Time (Days)]]="","",IncidentTable[[#This Row],[Created Date]]+IncidentTable[[#This Row],[Resolution Time (Days)]])</f>
        <v/>
      </c>
      <c r="J68" t="str">
        <f ca="1">IF(OR(IncidentTable[[#This Row],[Status]]="Resolved",IncidentTable[[#This Row],[Status]]="Closed"),RANDBETWEEN(1,120),"")</f>
        <v/>
      </c>
      <c r="K68" t="str">
        <f t="shared" ca="1" si="4"/>
        <v>Pending</v>
      </c>
      <c r="L68" t="str" cm="1">
        <f t="array" aca="1" ref="L68" ca="1">INDEX(AnalystList,RANDBETWEEN(1,ROWS(AnalystList)))</f>
        <v>Taylor Smith</v>
      </c>
      <c r="M68" t="str" cm="1">
        <f t="array" aca="1" ref="M68" ca="1">INDEX(RootCauseList,RANDBETWEEN(1,ROWS(RootCauseList)))</f>
        <v>System Bug</v>
      </c>
      <c r="N68">
        <f t="shared" ca="1" si="7"/>
        <v>2581.4499999999998</v>
      </c>
      <c r="O68" t="str">
        <f ca="1">IF(OR(IncidentTable[[#This Row],[Status]]="Resolved",IncidentTable[[#This Row],[Status]]="Closed"),
ROUND(IncidentTable[[#This Row],[Estimated Impact ($)]]*(1+RANDBETWEEN(-15,25)/100)+RAND(),2),
"")</f>
        <v/>
      </c>
      <c r="P68" t="str">
        <f ca="1">IF(IncidentTable[[#This Row],[Actual Impact ($)]]="","",ROUND(IncidentTable[[#This Row],[Actual Impact ($)]]-IncidentTable[[#This Row],[Estimated Impact ($)]],2))</f>
        <v/>
      </c>
      <c r="Q68" s="2" t="str">
        <f ca="1">IF(IncidentTable[[#This Row],[Actual Impact ($)]]="","",(IncidentTable[[#This Row],[Actual Impact ($)]]-IncidentTable[[#This Row],[Estimated Impact ($)]]) / IncidentTable[[#This Row],[Estimated Impact ($)]])</f>
        <v/>
      </c>
      <c r="R68" s="3">
        <f ca="1">IF(IncidentTable[[#This Row],[Priority]]="Critical",1,
IF(IncidentTable[[#This Row],[Priority]]="High",3,
IF(IncidentTable[[#This Row],[Priority]]="Medium",5,
IF(IncidentTable[[#This Row],[Priority]]="Low",10,""))))</f>
        <v>1</v>
      </c>
      <c r="S68" t="str">
        <f ca="1">IF(IncidentTable[[#This Row],[Resolution Time (Days)]]="","",
IF(IncidentTable[[#This Row],[Resolution Time (Days)]]&lt;=IncidentTable[[#This Row],[SLA Target (Days)]],"Yes","No"))</f>
        <v/>
      </c>
    </row>
    <row r="69" spans="1:19" x14ac:dyDescent="0.25">
      <c r="A69" t="str">
        <f t="shared" ca="1" si="5"/>
        <v>INC527379</v>
      </c>
      <c r="B69" t="str" cm="1">
        <f t="array" aca="1" ref="B69" ca="1">INDEX(SystemList,RANDBETWEEN(1,ROWS(SystemList)))</f>
        <v>Customer Portal</v>
      </c>
      <c r="C69" t="str" cm="1">
        <f t="array" aca="1" ref="C69" ca="1">INDEX(IssueTypeList,RANDBETWEEN(1,ROWS(IssueTypeList)))</f>
        <v>Integration Failure</v>
      </c>
      <c r="D69" t="str" cm="1">
        <f t="array" aca="1" ref="D69" ca="1">INDEX(PriorityList,RANDBETWEEN(1,ROWS(PriorityList)))</f>
        <v>Critical</v>
      </c>
      <c r="E69" t="str" cm="1">
        <f t="array" aca="1" ref="E69" ca="1">INDEX(SeverityList,RANDBETWEEN(1,ROWS(SeverityList)))</f>
        <v>Minor</v>
      </c>
      <c r="F69" t="str" cm="1">
        <f t="array" aca="1" ref="F69" ca="1">INDEX(RegionList,RANDBETWEEN(1,ROWS(RegionList)))</f>
        <v>Central</v>
      </c>
      <c r="G69" t="str" cm="1">
        <f t="array" aca="1" ref="G69" ca="1">INDEX(DepartmentList,RANDBETWEEN(1,ROWS(DepartmentList)))</f>
        <v>IT</v>
      </c>
      <c r="H69" s="1">
        <f t="shared" ca="1" si="6"/>
        <v>44976</v>
      </c>
      <c r="I69" s="4">
        <f ca="1">IF(IncidentTable[[#This Row],[Resolution Time (Days)]]="","",IncidentTable[[#This Row],[Created Date]]+IncidentTable[[#This Row],[Resolution Time (Days)]])</f>
        <v>45002</v>
      </c>
      <c r="J69">
        <f ca="1">IF(OR(IncidentTable[[#This Row],[Status]]="Resolved",IncidentTable[[#This Row],[Status]]="Closed"),RANDBETWEEN(1,120),"")</f>
        <v>26</v>
      </c>
      <c r="K69" t="str">
        <f t="shared" ca="1" si="4"/>
        <v>Resolved</v>
      </c>
      <c r="L69" t="str" cm="1">
        <f t="array" aca="1" ref="L69" ca="1">INDEX(AnalystList,RANDBETWEEN(1,ROWS(AnalystList)))</f>
        <v>Jordan Lee</v>
      </c>
      <c r="M69" t="str" cm="1">
        <f t="array" aca="1" ref="M69" ca="1">INDEX(RootCauseList,RANDBETWEEN(1,ROWS(RootCauseList)))</f>
        <v>Network Failure</v>
      </c>
      <c r="N69">
        <f t="shared" ca="1" si="7"/>
        <v>17702.62</v>
      </c>
      <c r="O69">
        <f ca="1">IF(OR(IncidentTable[[#This Row],[Status]]="Resolved",IncidentTable[[#This Row],[Status]]="Closed"),
ROUND(IncidentTable[[#This Row],[Estimated Impact ($)]]*(1+RANDBETWEEN(-15,25)/100)+RAND(),2),
"")</f>
        <v>18057.560000000001</v>
      </c>
      <c r="P69">
        <f ca="1">IF(IncidentTable[[#This Row],[Actual Impact ($)]]="","",ROUND(IncidentTable[[#This Row],[Actual Impact ($)]]-IncidentTable[[#This Row],[Estimated Impact ($)]],2))</f>
        <v>354.94</v>
      </c>
      <c r="Q69" s="2">
        <f ca="1">IF(IncidentTable[[#This Row],[Actual Impact ($)]]="","",(IncidentTable[[#This Row],[Actual Impact ($)]]-IncidentTable[[#This Row],[Estimated Impact ($)]]) / IncidentTable[[#This Row],[Estimated Impact ($)]])</f>
        <v>2.0050139470880714E-2</v>
      </c>
      <c r="R69" s="3">
        <f ca="1">IF(IncidentTable[[#This Row],[Priority]]="Critical",1,
IF(IncidentTable[[#This Row],[Priority]]="High",3,
IF(IncidentTable[[#This Row],[Priority]]="Medium",5,
IF(IncidentTable[[#This Row],[Priority]]="Low",10,""))))</f>
        <v>1</v>
      </c>
      <c r="S69" t="str">
        <f ca="1">IF(IncidentTable[[#This Row],[Resolution Time (Days)]]="","",
IF(IncidentTable[[#This Row],[Resolution Time (Days)]]&lt;=IncidentTable[[#This Row],[SLA Target (Days)]],"Yes","No"))</f>
        <v>No</v>
      </c>
    </row>
    <row r="70" spans="1:19" x14ac:dyDescent="0.25">
      <c r="A70" t="str">
        <f t="shared" ca="1" si="5"/>
        <v>INC373978</v>
      </c>
      <c r="B70" t="str" cm="1">
        <f t="array" aca="1" ref="B70" ca="1">INDEX(SystemList,RANDBETWEEN(1,ROWS(SystemList)))</f>
        <v>Reporting System</v>
      </c>
      <c r="C70" t="str" cm="1">
        <f t="array" aca="1" ref="C70" ca="1">INDEX(IssueTypeList,RANDBETWEEN(1,ROWS(IssueTypeList)))</f>
        <v>Data Issue</v>
      </c>
      <c r="D70" t="str" cm="1">
        <f t="array" aca="1" ref="D70" ca="1">INDEX(PriorityList,RANDBETWEEN(1,ROWS(PriorityList)))</f>
        <v>Medium</v>
      </c>
      <c r="E70" t="str" cm="1">
        <f t="array" aca="1" ref="E70" ca="1">INDEX(SeverityList,RANDBETWEEN(1,ROWS(SeverityList)))</f>
        <v>Minor</v>
      </c>
      <c r="F70" t="str" cm="1">
        <f t="array" aca="1" ref="F70" ca="1">INDEX(RegionList,RANDBETWEEN(1,ROWS(RegionList)))</f>
        <v>West</v>
      </c>
      <c r="G70" t="str" cm="1">
        <f t="array" aca="1" ref="G70" ca="1">INDEX(DepartmentList,RANDBETWEEN(1,ROWS(DepartmentList)))</f>
        <v>Compliance</v>
      </c>
      <c r="H70" s="1">
        <f t="shared" ca="1" si="6"/>
        <v>45405</v>
      </c>
      <c r="I70" s="4">
        <f ca="1">IF(IncidentTable[[#This Row],[Resolution Time (Days)]]="","",IncidentTable[[#This Row],[Created Date]]+IncidentTable[[#This Row],[Resolution Time (Days)]])</f>
        <v>45477</v>
      </c>
      <c r="J70">
        <f ca="1">IF(OR(IncidentTable[[#This Row],[Status]]="Resolved",IncidentTable[[#This Row],[Status]]="Closed"),RANDBETWEEN(1,120),"")</f>
        <v>72</v>
      </c>
      <c r="K70" t="str">
        <f t="shared" ca="1" si="4"/>
        <v>Resolved</v>
      </c>
      <c r="L70" t="str" cm="1">
        <f t="array" aca="1" ref="L70" ca="1">INDEX(AnalystList,RANDBETWEEN(1,ROWS(AnalystList)))</f>
        <v>Taylor Smith</v>
      </c>
      <c r="M70" t="str" cm="1">
        <f t="array" aca="1" ref="M70" ca="1">INDEX(RootCauseList,RANDBETWEEN(1,ROWS(RootCauseList)))</f>
        <v>Unknown</v>
      </c>
      <c r="N70">
        <f t="shared" ca="1" si="7"/>
        <v>3651.01</v>
      </c>
      <c r="O70">
        <f ca="1">IF(OR(IncidentTable[[#This Row],[Status]]="Resolved",IncidentTable[[#This Row],[Status]]="Closed"),
ROUND(IncidentTable[[#This Row],[Estimated Impact ($)]]*(1+RANDBETWEEN(-15,25)/100)+RAND(),2),
"")</f>
        <v>4199.1899999999996</v>
      </c>
      <c r="P70">
        <f ca="1">IF(IncidentTable[[#This Row],[Actual Impact ($)]]="","",ROUND(IncidentTable[[#This Row],[Actual Impact ($)]]-IncidentTable[[#This Row],[Estimated Impact ($)]],2))</f>
        <v>548.17999999999995</v>
      </c>
      <c r="Q70" s="2">
        <f ca="1">IF(IncidentTable[[#This Row],[Actual Impact ($)]]="","",(IncidentTable[[#This Row],[Actual Impact ($)]]-IncidentTable[[#This Row],[Estimated Impact ($)]]) / IncidentTable[[#This Row],[Estimated Impact ($)]])</f>
        <v>0.15014475446520259</v>
      </c>
      <c r="R70" s="3">
        <f ca="1">IF(IncidentTable[[#This Row],[Priority]]="Critical",1,
IF(IncidentTable[[#This Row],[Priority]]="High",3,
IF(IncidentTable[[#This Row],[Priority]]="Medium",5,
IF(IncidentTable[[#This Row],[Priority]]="Low",10,""))))</f>
        <v>5</v>
      </c>
      <c r="S70" t="str">
        <f ca="1">IF(IncidentTable[[#This Row],[Resolution Time (Days)]]="","",
IF(IncidentTable[[#This Row],[Resolution Time (Days)]]&lt;=IncidentTable[[#This Row],[SLA Target (Days)]],"Yes","No"))</f>
        <v>No</v>
      </c>
    </row>
    <row r="71" spans="1:19" x14ac:dyDescent="0.25">
      <c r="A71" t="str">
        <f t="shared" ca="1" si="5"/>
        <v>INC722039</v>
      </c>
      <c r="B71" t="str" cm="1">
        <f t="array" aca="1" ref="B71" ca="1">INDEX(SystemList,RANDBETWEEN(1,ROWS(SystemList)))</f>
        <v>Billing System</v>
      </c>
      <c r="C71" t="str" cm="1">
        <f t="array" aca="1" ref="C71" ca="1">INDEX(IssueTypeList,RANDBETWEEN(1,ROWS(IssueTypeList)))</f>
        <v>User Access Issue</v>
      </c>
      <c r="D71" t="str" cm="1">
        <f t="array" aca="1" ref="D71" ca="1">INDEX(PriorityList,RANDBETWEEN(1,ROWS(PriorityList)))</f>
        <v>Medium</v>
      </c>
      <c r="E71" t="str" cm="1">
        <f t="array" aca="1" ref="E71" ca="1">INDEX(SeverityList,RANDBETWEEN(1,ROWS(SeverityList)))</f>
        <v>Major</v>
      </c>
      <c r="F71" t="str" cm="1">
        <f t="array" aca="1" ref="F71" ca="1">INDEX(RegionList,RANDBETWEEN(1,ROWS(RegionList)))</f>
        <v>Central</v>
      </c>
      <c r="G71" t="str" cm="1">
        <f t="array" aca="1" ref="G71" ca="1">INDEX(DepartmentList,RANDBETWEEN(1,ROWS(DepartmentList)))</f>
        <v>Billing</v>
      </c>
      <c r="H71" s="1">
        <f t="shared" ca="1" si="6"/>
        <v>45194</v>
      </c>
      <c r="I71" s="4">
        <f ca="1">IF(IncidentTable[[#This Row],[Resolution Time (Days)]]="","",IncidentTable[[#This Row],[Created Date]]+IncidentTable[[#This Row],[Resolution Time (Days)]])</f>
        <v>45235</v>
      </c>
      <c r="J71">
        <f ca="1">IF(OR(IncidentTable[[#This Row],[Status]]="Resolved",IncidentTable[[#This Row],[Status]]="Closed"),RANDBETWEEN(1,120),"")</f>
        <v>41</v>
      </c>
      <c r="K71" t="str">
        <f t="shared" ca="1" si="4"/>
        <v>Resolved</v>
      </c>
      <c r="L71" t="str" cm="1">
        <f t="array" aca="1" ref="L71" ca="1">INDEX(AnalystList,RANDBETWEEN(1,ROWS(AnalystList)))</f>
        <v>Jordan Lee</v>
      </c>
      <c r="M71" t="str" cm="1">
        <f t="array" aca="1" ref="M71" ca="1">INDEX(RootCauseList,RANDBETWEEN(1,ROWS(RootCauseList)))</f>
        <v>Unknown</v>
      </c>
      <c r="N71">
        <f t="shared" ca="1" si="7"/>
        <v>35267.03</v>
      </c>
      <c r="O71">
        <f ca="1">IF(OR(IncidentTable[[#This Row],[Status]]="Resolved",IncidentTable[[#This Row],[Status]]="Closed"),
ROUND(IncidentTable[[#This Row],[Estimated Impact ($)]]*(1+RANDBETWEEN(-15,25)/100)+RAND(),2),
"")</f>
        <v>30682.9</v>
      </c>
      <c r="P71">
        <f ca="1">IF(IncidentTable[[#This Row],[Actual Impact ($)]]="","",ROUND(IncidentTable[[#This Row],[Actual Impact ($)]]-IncidentTable[[#This Row],[Estimated Impact ($)]],2))</f>
        <v>-4584.13</v>
      </c>
      <c r="Q71" s="2">
        <f ca="1">IF(IncidentTable[[#This Row],[Actual Impact ($)]]="","",(IncidentTable[[#This Row],[Actual Impact ($)]]-IncidentTable[[#This Row],[Estimated Impact ($)]]) / IncidentTable[[#This Row],[Estimated Impact ($)]])</f>
        <v>-0.12998344345979793</v>
      </c>
      <c r="R71" s="3">
        <f ca="1">IF(IncidentTable[[#This Row],[Priority]]="Critical",1,
IF(IncidentTable[[#This Row],[Priority]]="High",3,
IF(IncidentTable[[#This Row],[Priority]]="Medium",5,
IF(IncidentTable[[#This Row],[Priority]]="Low",10,""))))</f>
        <v>5</v>
      </c>
      <c r="S71" t="str">
        <f ca="1">IF(IncidentTable[[#This Row],[Resolution Time (Days)]]="","",
IF(IncidentTable[[#This Row],[Resolution Time (Days)]]&lt;=IncidentTable[[#This Row],[SLA Target (Days)]],"Yes","No"))</f>
        <v>No</v>
      </c>
    </row>
    <row r="72" spans="1:19" x14ac:dyDescent="0.25">
      <c r="A72" t="str">
        <f t="shared" ca="1" si="5"/>
        <v>INC524123</v>
      </c>
      <c r="B72" t="str" cm="1">
        <f t="array" aca="1" ref="B72" ca="1">INDEX(SystemList,RANDBETWEEN(1,ROWS(SystemList)))</f>
        <v>Policy Admin System</v>
      </c>
      <c r="C72" t="str" cm="1">
        <f t="array" aca="1" ref="C72" ca="1">INDEX(IssueTypeList,RANDBETWEEN(1,ROWS(IssueTypeList)))</f>
        <v>Data Issue</v>
      </c>
      <c r="D72" t="str" cm="1">
        <f t="array" aca="1" ref="D72" ca="1">INDEX(PriorityList,RANDBETWEEN(1,ROWS(PriorityList)))</f>
        <v>High</v>
      </c>
      <c r="E72" t="str" cm="1">
        <f t="array" aca="1" ref="E72" ca="1">INDEX(SeverityList,RANDBETWEEN(1,ROWS(SeverityList)))</f>
        <v>Major</v>
      </c>
      <c r="F72" t="str" cm="1">
        <f t="array" aca="1" ref="F72" ca="1">INDEX(RegionList,RANDBETWEEN(1,ROWS(RegionList)))</f>
        <v>West</v>
      </c>
      <c r="G72" t="str" cm="1">
        <f t="array" aca="1" ref="G72" ca="1">INDEX(DepartmentList,RANDBETWEEN(1,ROWS(DepartmentList)))</f>
        <v>Compliance</v>
      </c>
      <c r="H72" s="1">
        <f t="shared" ca="1" si="6"/>
        <v>45457</v>
      </c>
      <c r="I72" s="4">
        <f ca="1">IF(IncidentTable[[#This Row],[Resolution Time (Days)]]="","",IncidentTable[[#This Row],[Created Date]]+IncidentTable[[#This Row],[Resolution Time (Days)]])</f>
        <v>45561</v>
      </c>
      <c r="J72">
        <f ca="1">IF(OR(IncidentTable[[#This Row],[Status]]="Resolved",IncidentTable[[#This Row],[Status]]="Closed"),RANDBETWEEN(1,120),"")</f>
        <v>104</v>
      </c>
      <c r="K72" t="str">
        <f t="shared" ca="1" si="4"/>
        <v>Resolved</v>
      </c>
      <c r="L72" t="str" cm="1">
        <f t="array" aca="1" ref="L72" ca="1">INDEX(AnalystList,RANDBETWEEN(1,ROWS(AnalystList)))</f>
        <v>Jordan Lee</v>
      </c>
      <c r="M72" t="str" cm="1">
        <f t="array" aca="1" ref="M72" ca="1">INDEX(RootCauseList,RANDBETWEEN(1,ROWS(RootCauseList)))</f>
        <v>Integration Failure</v>
      </c>
      <c r="N72">
        <f t="shared" ca="1" si="7"/>
        <v>7235.49</v>
      </c>
      <c r="O72">
        <f ca="1">IF(OR(IncidentTable[[#This Row],[Status]]="Resolved",IncidentTable[[#This Row],[Status]]="Closed"),
ROUND(IncidentTable[[#This Row],[Estimated Impact ($)]]*(1+RANDBETWEEN(-15,25)/100)+RAND(),2),
"")</f>
        <v>6802.04</v>
      </c>
      <c r="P72">
        <f ca="1">IF(IncidentTable[[#This Row],[Actual Impact ($)]]="","",ROUND(IncidentTable[[#This Row],[Actual Impact ($)]]-IncidentTable[[#This Row],[Estimated Impact ($)]],2))</f>
        <v>-433.45</v>
      </c>
      <c r="Q72" s="2">
        <f ca="1">IF(IncidentTable[[#This Row],[Actual Impact ($)]]="","",(IncidentTable[[#This Row],[Actual Impact ($)]]-IncidentTable[[#This Row],[Estimated Impact ($)]]) / IncidentTable[[#This Row],[Estimated Impact ($)]])</f>
        <v>-5.9906101729115764E-2</v>
      </c>
      <c r="R72" s="3">
        <f ca="1">IF(IncidentTable[[#This Row],[Priority]]="Critical",1,
IF(IncidentTable[[#This Row],[Priority]]="High",3,
IF(IncidentTable[[#This Row],[Priority]]="Medium",5,
IF(IncidentTable[[#This Row],[Priority]]="Low",10,""))))</f>
        <v>3</v>
      </c>
      <c r="S72" t="str">
        <f ca="1">IF(IncidentTable[[#This Row],[Resolution Time (Days)]]="","",
IF(IncidentTable[[#This Row],[Resolution Time (Days)]]&lt;=IncidentTable[[#This Row],[SLA Target (Days)]],"Yes","No"))</f>
        <v>No</v>
      </c>
    </row>
    <row r="73" spans="1:19" x14ac:dyDescent="0.25">
      <c r="A73" t="str">
        <f t="shared" ca="1" si="5"/>
        <v>INC770983</v>
      </c>
      <c r="B73" t="str" cm="1">
        <f t="array" aca="1" ref="B73" ca="1">INDEX(SystemList,RANDBETWEEN(1,ROWS(SystemList)))</f>
        <v>Payment Processing</v>
      </c>
      <c r="C73" t="str" cm="1">
        <f t="array" aca="1" ref="C73" ca="1">INDEX(IssueTypeList,RANDBETWEEN(1,ROWS(IssueTypeList)))</f>
        <v>Data Issue</v>
      </c>
      <c r="D73" t="str" cm="1">
        <f t="array" aca="1" ref="D73" ca="1">INDEX(PriorityList,RANDBETWEEN(1,ROWS(PriorityList)))</f>
        <v>Low</v>
      </c>
      <c r="E73" t="str" cm="1">
        <f t="array" aca="1" ref="E73" ca="1">INDEX(SeverityList,RANDBETWEEN(1,ROWS(SeverityList)))</f>
        <v>Minor</v>
      </c>
      <c r="F73" t="str" cm="1">
        <f t="array" aca="1" ref="F73" ca="1">INDEX(RegionList,RANDBETWEEN(1,ROWS(RegionList)))</f>
        <v>East</v>
      </c>
      <c r="G73" t="str" cm="1">
        <f t="array" aca="1" ref="G73" ca="1">INDEX(DepartmentList,RANDBETWEEN(1,ROWS(DepartmentList)))</f>
        <v>Customer Service</v>
      </c>
      <c r="H73" s="1">
        <f t="shared" ca="1" si="6"/>
        <v>45199</v>
      </c>
      <c r="I73" s="4" t="str">
        <f ca="1">IF(IncidentTable[[#This Row],[Resolution Time (Days)]]="","",IncidentTable[[#This Row],[Created Date]]+IncidentTable[[#This Row],[Resolution Time (Days)]])</f>
        <v/>
      </c>
      <c r="J73" t="str">
        <f ca="1">IF(OR(IncidentTable[[#This Row],[Status]]="Resolved",IncidentTable[[#This Row],[Status]]="Closed"),RANDBETWEEN(1,120),"")</f>
        <v/>
      </c>
      <c r="K73" t="str">
        <f t="shared" ca="1" si="4"/>
        <v>In Progress</v>
      </c>
      <c r="L73" t="str" cm="1">
        <f t="array" aca="1" ref="L73" ca="1">INDEX(AnalystList,RANDBETWEEN(1,ROWS(AnalystList)))</f>
        <v>Jordan Lee</v>
      </c>
      <c r="M73" t="str" cm="1">
        <f t="array" aca="1" ref="M73" ca="1">INDEX(RootCauseList,RANDBETWEEN(1,ROWS(RootCauseList)))</f>
        <v>Unknown</v>
      </c>
      <c r="N73">
        <f t="shared" ca="1" si="7"/>
        <v>1896.31</v>
      </c>
      <c r="O73" t="str">
        <f ca="1">IF(OR(IncidentTable[[#This Row],[Status]]="Resolved",IncidentTable[[#This Row],[Status]]="Closed"),
ROUND(IncidentTable[[#This Row],[Estimated Impact ($)]]*(1+RANDBETWEEN(-15,25)/100)+RAND(),2),
"")</f>
        <v/>
      </c>
      <c r="P73" t="str">
        <f ca="1">IF(IncidentTable[[#This Row],[Actual Impact ($)]]="","",ROUND(IncidentTable[[#This Row],[Actual Impact ($)]]-IncidentTable[[#This Row],[Estimated Impact ($)]],2))</f>
        <v/>
      </c>
      <c r="Q73" s="2" t="str">
        <f ca="1">IF(IncidentTable[[#This Row],[Actual Impact ($)]]="","",(IncidentTable[[#This Row],[Actual Impact ($)]]-IncidentTable[[#This Row],[Estimated Impact ($)]]) / IncidentTable[[#This Row],[Estimated Impact ($)]])</f>
        <v/>
      </c>
      <c r="R73" s="3">
        <f ca="1">IF(IncidentTable[[#This Row],[Priority]]="Critical",1,
IF(IncidentTable[[#This Row],[Priority]]="High",3,
IF(IncidentTable[[#This Row],[Priority]]="Medium",5,
IF(IncidentTable[[#This Row],[Priority]]="Low",10,""))))</f>
        <v>10</v>
      </c>
      <c r="S73" t="str">
        <f ca="1">IF(IncidentTable[[#This Row],[Resolution Time (Days)]]="","",
IF(IncidentTable[[#This Row],[Resolution Time (Days)]]&lt;=IncidentTable[[#This Row],[SLA Target (Days)]],"Yes","No"))</f>
        <v/>
      </c>
    </row>
    <row r="74" spans="1:19" x14ac:dyDescent="0.25">
      <c r="A74" t="str">
        <f t="shared" ca="1" si="5"/>
        <v>INC517999</v>
      </c>
      <c r="B74" t="str" cm="1">
        <f t="array" aca="1" ref="B74" ca="1">INDEX(SystemList,RANDBETWEEN(1,ROWS(SystemList)))</f>
        <v>Claims System</v>
      </c>
      <c r="C74" t="str" cm="1">
        <f t="array" aca="1" ref="C74" ca="1">INDEX(IssueTypeList,RANDBETWEEN(1,ROWS(IssueTypeList)))</f>
        <v>Processing Delay</v>
      </c>
      <c r="D74" t="str" cm="1">
        <f t="array" aca="1" ref="D74" ca="1">INDEX(PriorityList,RANDBETWEEN(1,ROWS(PriorityList)))</f>
        <v>Medium</v>
      </c>
      <c r="E74" t="str" cm="1">
        <f t="array" aca="1" ref="E74" ca="1">INDEX(SeverityList,RANDBETWEEN(1,ROWS(SeverityList)))</f>
        <v>Moderate</v>
      </c>
      <c r="F74" t="str" cm="1">
        <f t="array" aca="1" ref="F74" ca="1">INDEX(RegionList,RANDBETWEEN(1,ROWS(RegionList)))</f>
        <v>Southeast</v>
      </c>
      <c r="G74" t="str" cm="1">
        <f t="array" aca="1" ref="G74" ca="1">INDEX(DepartmentList,RANDBETWEEN(1,ROWS(DepartmentList)))</f>
        <v>IT</v>
      </c>
      <c r="H74" s="1">
        <f t="shared" ca="1" si="6"/>
        <v>44968</v>
      </c>
      <c r="I74" s="4">
        <f ca="1">IF(IncidentTable[[#This Row],[Resolution Time (Days)]]="","",IncidentTable[[#This Row],[Created Date]]+IncidentTable[[#This Row],[Resolution Time (Days)]])</f>
        <v>45043</v>
      </c>
      <c r="J74">
        <f ca="1">IF(OR(IncidentTable[[#This Row],[Status]]="Resolved",IncidentTable[[#This Row],[Status]]="Closed"),RANDBETWEEN(1,120),"")</f>
        <v>75</v>
      </c>
      <c r="K74" t="str">
        <f t="shared" ca="1" si="4"/>
        <v>Closed</v>
      </c>
      <c r="L74" t="str" cm="1">
        <f t="array" aca="1" ref="L74" ca="1">INDEX(AnalystList,RANDBETWEEN(1,ROWS(AnalystList)))</f>
        <v>Jordan Lee</v>
      </c>
      <c r="M74" t="str" cm="1">
        <f t="array" aca="1" ref="M74" ca="1">INDEX(RootCauseList,RANDBETWEEN(1,ROWS(RootCauseList)))</f>
        <v>User Error</v>
      </c>
      <c r="N74">
        <f t="shared" ca="1" si="7"/>
        <v>11027.7</v>
      </c>
      <c r="O74">
        <f ca="1">IF(OR(IncidentTable[[#This Row],[Status]]="Resolved",IncidentTable[[#This Row],[Status]]="Closed"),
ROUND(IncidentTable[[#This Row],[Estimated Impact ($)]]*(1+RANDBETWEEN(-15,25)/100)+RAND(),2),
"")</f>
        <v>9594.74</v>
      </c>
      <c r="P74">
        <f ca="1">IF(IncidentTable[[#This Row],[Actual Impact ($)]]="","",ROUND(IncidentTable[[#This Row],[Actual Impact ($)]]-IncidentTable[[#This Row],[Estimated Impact ($)]],2))</f>
        <v>-1432.96</v>
      </c>
      <c r="Q74" s="2">
        <f ca="1">IF(IncidentTable[[#This Row],[Actual Impact ($)]]="","",(IncidentTable[[#This Row],[Actual Impact ($)]]-IncidentTable[[#This Row],[Estimated Impact ($)]]) / IncidentTable[[#This Row],[Estimated Impact ($)]])</f>
        <v>-0.12994187364545651</v>
      </c>
      <c r="R74" s="3">
        <f ca="1">IF(IncidentTable[[#This Row],[Priority]]="Critical",1,
IF(IncidentTable[[#This Row],[Priority]]="High",3,
IF(IncidentTable[[#This Row],[Priority]]="Medium",5,
IF(IncidentTable[[#This Row],[Priority]]="Low",10,""))))</f>
        <v>5</v>
      </c>
      <c r="S74" t="str">
        <f ca="1">IF(IncidentTable[[#This Row],[Resolution Time (Days)]]="","",
IF(IncidentTable[[#This Row],[Resolution Time (Days)]]&lt;=IncidentTable[[#This Row],[SLA Target (Days)]],"Yes","No"))</f>
        <v>No</v>
      </c>
    </row>
    <row r="75" spans="1:19" x14ac:dyDescent="0.25">
      <c r="A75" t="str">
        <f t="shared" ca="1" si="5"/>
        <v>INC778919</v>
      </c>
      <c r="B75" t="str" cm="1">
        <f t="array" aca="1" ref="B75" ca="1">INDEX(SystemList,RANDBETWEEN(1,ROWS(SystemList)))</f>
        <v>Billing System</v>
      </c>
      <c r="C75" t="str" cm="1">
        <f t="array" aca="1" ref="C75" ca="1">INDEX(IssueTypeList,RANDBETWEEN(1,ROWS(IssueTypeList)))</f>
        <v>User Access Issue</v>
      </c>
      <c r="D75" t="str" cm="1">
        <f t="array" aca="1" ref="D75" ca="1">INDEX(PriorityList,RANDBETWEEN(1,ROWS(PriorityList)))</f>
        <v>Medium</v>
      </c>
      <c r="E75" t="str" cm="1">
        <f t="array" aca="1" ref="E75" ca="1">INDEX(SeverityList,RANDBETWEEN(1,ROWS(SeverityList)))</f>
        <v>Major</v>
      </c>
      <c r="F75" t="str" cm="1">
        <f t="array" aca="1" ref="F75" ca="1">INDEX(RegionList,RANDBETWEEN(1,ROWS(RegionList)))</f>
        <v>Central</v>
      </c>
      <c r="G75" t="str" cm="1">
        <f t="array" aca="1" ref="G75" ca="1">INDEX(DepartmentList,RANDBETWEEN(1,ROWS(DepartmentList)))</f>
        <v>Claims</v>
      </c>
      <c r="H75" s="1">
        <f t="shared" ca="1" si="6"/>
        <v>45349</v>
      </c>
      <c r="I75" s="4" t="str">
        <f ca="1">IF(IncidentTable[[#This Row],[Resolution Time (Days)]]="","",IncidentTable[[#This Row],[Created Date]]+IncidentTable[[#This Row],[Resolution Time (Days)]])</f>
        <v/>
      </c>
      <c r="J75" t="str">
        <f ca="1">IF(OR(IncidentTable[[#This Row],[Status]]="Resolved",IncidentTable[[#This Row],[Status]]="Closed"),RANDBETWEEN(1,120),"")</f>
        <v/>
      </c>
      <c r="K75" t="str">
        <f t="shared" ca="1" si="4"/>
        <v>In Progress</v>
      </c>
      <c r="L75" t="str" cm="1">
        <f t="array" aca="1" ref="L75" ca="1">INDEX(AnalystList,RANDBETWEEN(1,ROWS(AnalystList)))</f>
        <v>Taylor Smith</v>
      </c>
      <c r="M75" t="str" cm="1">
        <f t="array" aca="1" ref="M75" ca="1">INDEX(RootCauseList,RANDBETWEEN(1,ROWS(RootCauseList)))</f>
        <v>Unknown</v>
      </c>
      <c r="N75">
        <f t="shared" ca="1" si="7"/>
        <v>4207.2299999999996</v>
      </c>
      <c r="O75" t="str">
        <f ca="1">IF(OR(IncidentTable[[#This Row],[Status]]="Resolved",IncidentTable[[#This Row],[Status]]="Closed"),
ROUND(IncidentTable[[#This Row],[Estimated Impact ($)]]*(1+RANDBETWEEN(-15,25)/100)+RAND(),2),
"")</f>
        <v/>
      </c>
      <c r="P75" t="str">
        <f ca="1">IF(IncidentTable[[#This Row],[Actual Impact ($)]]="","",ROUND(IncidentTable[[#This Row],[Actual Impact ($)]]-IncidentTable[[#This Row],[Estimated Impact ($)]],2))</f>
        <v/>
      </c>
      <c r="Q75" s="2" t="str">
        <f ca="1">IF(IncidentTable[[#This Row],[Actual Impact ($)]]="","",(IncidentTable[[#This Row],[Actual Impact ($)]]-IncidentTable[[#This Row],[Estimated Impact ($)]]) / IncidentTable[[#This Row],[Estimated Impact ($)]])</f>
        <v/>
      </c>
      <c r="R75" s="3">
        <f ca="1">IF(IncidentTable[[#This Row],[Priority]]="Critical",1,
IF(IncidentTable[[#This Row],[Priority]]="High",3,
IF(IncidentTable[[#This Row],[Priority]]="Medium",5,
IF(IncidentTable[[#This Row],[Priority]]="Low",10,""))))</f>
        <v>5</v>
      </c>
      <c r="S75" t="str">
        <f ca="1">IF(IncidentTable[[#This Row],[Resolution Time (Days)]]="","",
IF(IncidentTable[[#This Row],[Resolution Time (Days)]]&lt;=IncidentTable[[#This Row],[SLA Target (Days)]],"Yes","No"))</f>
        <v/>
      </c>
    </row>
    <row r="76" spans="1:19" x14ac:dyDescent="0.25">
      <c r="A76" t="str">
        <f t="shared" ca="1" si="5"/>
        <v>INC644416</v>
      </c>
      <c r="B76" t="str" cm="1">
        <f t="array" aca="1" ref="B76" ca="1">INDEX(SystemList,RANDBETWEEN(1,ROWS(SystemList)))</f>
        <v>Payment Processing</v>
      </c>
      <c r="C76" t="str" cm="1">
        <f t="array" aca="1" ref="C76" ca="1">INDEX(IssueTypeList,RANDBETWEEN(1,ROWS(IssueTypeList)))</f>
        <v>Integration Failure</v>
      </c>
      <c r="D76" t="str" cm="1">
        <f t="array" aca="1" ref="D76" ca="1">INDEX(PriorityList,RANDBETWEEN(1,ROWS(PriorityList)))</f>
        <v>Low</v>
      </c>
      <c r="E76" t="str" cm="1">
        <f t="array" aca="1" ref="E76" ca="1">INDEX(SeverityList,RANDBETWEEN(1,ROWS(SeverityList)))</f>
        <v>Minor</v>
      </c>
      <c r="F76" t="str" cm="1">
        <f t="array" aca="1" ref="F76" ca="1">INDEX(RegionList,RANDBETWEEN(1,ROWS(RegionList)))</f>
        <v>East</v>
      </c>
      <c r="G76" t="str" cm="1">
        <f t="array" aca="1" ref="G76" ca="1">INDEX(DepartmentList,RANDBETWEEN(1,ROWS(DepartmentList)))</f>
        <v>Billing</v>
      </c>
      <c r="H76" s="1">
        <f t="shared" ca="1" si="6"/>
        <v>45004</v>
      </c>
      <c r="I76" s="4" t="str">
        <f ca="1">IF(IncidentTable[[#This Row],[Resolution Time (Days)]]="","",IncidentTable[[#This Row],[Created Date]]+IncidentTable[[#This Row],[Resolution Time (Days)]])</f>
        <v/>
      </c>
      <c r="J76" t="str">
        <f ca="1">IF(OR(IncidentTable[[#This Row],[Status]]="Resolved",IncidentTable[[#This Row],[Status]]="Closed"),RANDBETWEEN(1,120),"")</f>
        <v/>
      </c>
      <c r="K76" t="str">
        <f t="shared" ca="1" si="4"/>
        <v>Pending</v>
      </c>
      <c r="L76" t="str" cm="1">
        <f t="array" aca="1" ref="L76" ca="1">INDEX(AnalystList,RANDBETWEEN(1,ROWS(AnalystList)))</f>
        <v>Casey Brown</v>
      </c>
      <c r="M76" t="str" cm="1">
        <f t="array" aca="1" ref="M76" ca="1">INDEX(RootCauseList,RANDBETWEEN(1,ROWS(RootCauseList)))</f>
        <v>Unknown</v>
      </c>
      <c r="N76">
        <f t="shared" ca="1" si="7"/>
        <v>3192.03</v>
      </c>
      <c r="O76" t="str">
        <f ca="1">IF(OR(IncidentTable[[#This Row],[Status]]="Resolved",IncidentTable[[#This Row],[Status]]="Closed"),
ROUND(IncidentTable[[#This Row],[Estimated Impact ($)]]*(1+RANDBETWEEN(-15,25)/100)+RAND(),2),
"")</f>
        <v/>
      </c>
      <c r="P76" t="str">
        <f ca="1">IF(IncidentTable[[#This Row],[Actual Impact ($)]]="","",ROUND(IncidentTable[[#This Row],[Actual Impact ($)]]-IncidentTable[[#This Row],[Estimated Impact ($)]],2))</f>
        <v/>
      </c>
      <c r="Q76" s="2" t="str">
        <f ca="1">IF(IncidentTable[[#This Row],[Actual Impact ($)]]="","",(IncidentTable[[#This Row],[Actual Impact ($)]]-IncidentTable[[#This Row],[Estimated Impact ($)]]) / IncidentTable[[#This Row],[Estimated Impact ($)]])</f>
        <v/>
      </c>
      <c r="R76" s="3">
        <f ca="1">IF(IncidentTable[[#This Row],[Priority]]="Critical",1,
IF(IncidentTable[[#This Row],[Priority]]="High",3,
IF(IncidentTable[[#This Row],[Priority]]="Medium",5,
IF(IncidentTable[[#This Row],[Priority]]="Low",10,""))))</f>
        <v>10</v>
      </c>
      <c r="S76" t="str">
        <f ca="1">IF(IncidentTable[[#This Row],[Resolution Time (Days)]]="","",
IF(IncidentTable[[#This Row],[Resolution Time (Days)]]&lt;=IncidentTable[[#This Row],[SLA Target (Days)]],"Yes","No"))</f>
        <v/>
      </c>
    </row>
    <row r="77" spans="1:19" x14ac:dyDescent="0.25">
      <c r="A77" t="str">
        <f t="shared" ca="1" si="5"/>
        <v>INC514360</v>
      </c>
      <c r="B77" t="str" cm="1">
        <f t="array" aca="1" ref="B77" ca="1">INDEX(SystemList,RANDBETWEEN(1,ROWS(SystemList)))</f>
        <v>Policy Admin System</v>
      </c>
      <c r="C77" t="str" cm="1">
        <f t="array" aca="1" ref="C77" ca="1">INDEX(IssueTypeList,RANDBETWEEN(1,ROWS(IssueTypeList)))</f>
        <v>User Access Issue</v>
      </c>
      <c r="D77" t="str" cm="1">
        <f t="array" aca="1" ref="D77" ca="1">INDEX(PriorityList,RANDBETWEEN(1,ROWS(PriorityList)))</f>
        <v>High</v>
      </c>
      <c r="E77" t="str" cm="1">
        <f t="array" aca="1" ref="E77" ca="1">INDEX(SeverityList,RANDBETWEEN(1,ROWS(SeverityList)))</f>
        <v>Major</v>
      </c>
      <c r="F77" t="str" cm="1">
        <f t="array" aca="1" ref="F77" ca="1">INDEX(RegionList,RANDBETWEEN(1,ROWS(RegionList)))</f>
        <v>West</v>
      </c>
      <c r="G77" t="str" cm="1">
        <f t="array" aca="1" ref="G77" ca="1">INDEX(DepartmentList,RANDBETWEEN(1,ROWS(DepartmentList)))</f>
        <v>Billing</v>
      </c>
      <c r="H77" s="1">
        <f t="shared" ca="1" si="6"/>
        <v>45262</v>
      </c>
      <c r="I77" s="4">
        <f ca="1">IF(IncidentTable[[#This Row],[Resolution Time (Days)]]="","",IncidentTable[[#This Row],[Created Date]]+IncidentTable[[#This Row],[Resolution Time (Days)]])</f>
        <v>45329</v>
      </c>
      <c r="J77">
        <f ca="1">IF(OR(IncidentTable[[#This Row],[Status]]="Resolved",IncidentTable[[#This Row],[Status]]="Closed"),RANDBETWEEN(1,120),"")</f>
        <v>67</v>
      </c>
      <c r="K77" t="str">
        <f t="shared" ca="1" si="4"/>
        <v>Resolved</v>
      </c>
      <c r="L77" t="str" cm="1">
        <f t="array" aca="1" ref="L77" ca="1">INDEX(AnalystList,RANDBETWEEN(1,ROWS(AnalystList)))</f>
        <v>Morgan Davis</v>
      </c>
      <c r="M77" t="str" cm="1">
        <f t="array" aca="1" ref="M77" ca="1">INDEX(RootCauseList,RANDBETWEEN(1,ROWS(RootCauseList)))</f>
        <v>User Error</v>
      </c>
      <c r="N77">
        <f t="shared" ca="1" si="7"/>
        <v>6581.33</v>
      </c>
      <c r="O77">
        <f ca="1">IF(OR(IncidentTable[[#This Row],[Status]]="Resolved",IncidentTable[[#This Row],[Status]]="Closed"),
ROUND(IncidentTable[[#This Row],[Estimated Impact ($)]]*(1+RANDBETWEEN(-15,25)/100)+RAND(),2),
"")</f>
        <v>7108.55</v>
      </c>
      <c r="P77">
        <f ca="1">IF(IncidentTable[[#This Row],[Actual Impact ($)]]="","",ROUND(IncidentTable[[#This Row],[Actual Impact ($)]]-IncidentTable[[#This Row],[Estimated Impact ($)]],2))</f>
        <v>527.22</v>
      </c>
      <c r="Q77" s="2">
        <f ca="1">IF(IncidentTable[[#This Row],[Actual Impact ($)]]="","",(IncidentTable[[#This Row],[Actual Impact ($)]]-IncidentTable[[#This Row],[Estimated Impact ($)]]) / IncidentTable[[#This Row],[Estimated Impact ($)]])</f>
        <v>8.0108427931740278E-2</v>
      </c>
      <c r="R77" s="3">
        <f ca="1">IF(IncidentTable[[#This Row],[Priority]]="Critical",1,
IF(IncidentTable[[#This Row],[Priority]]="High",3,
IF(IncidentTable[[#This Row],[Priority]]="Medium",5,
IF(IncidentTable[[#This Row],[Priority]]="Low",10,""))))</f>
        <v>3</v>
      </c>
      <c r="S77" t="str">
        <f ca="1">IF(IncidentTable[[#This Row],[Resolution Time (Days)]]="","",
IF(IncidentTable[[#This Row],[Resolution Time (Days)]]&lt;=IncidentTable[[#This Row],[SLA Target (Days)]],"Yes","No"))</f>
        <v>No</v>
      </c>
    </row>
    <row r="78" spans="1:19" x14ac:dyDescent="0.25">
      <c r="A78" t="str">
        <f t="shared" ca="1" si="5"/>
        <v>INC223285</v>
      </c>
      <c r="B78" t="str" cm="1">
        <f t="array" aca="1" ref="B78" ca="1">INDEX(SystemList,RANDBETWEEN(1,ROWS(SystemList)))</f>
        <v>Payment Processing</v>
      </c>
      <c r="C78" t="str" cm="1">
        <f t="array" aca="1" ref="C78" ca="1">INDEX(IssueTypeList,RANDBETWEEN(1,ROWS(IssueTypeList)))</f>
        <v>Integration Failure</v>
      </c>
      <c r="D78" t="str" cm="1">
        <f t="array" aca="1" ref="D78" ca="1">INDEX(PriorityList,RANDBETWEEN(1,ROWS(PriorityList)))</f>
        <v>High</v>
      </c>
      <c r="E78" t="str" cm="1">
        <f t="array" aca="1" ref="E78" ca="1">INDEX(SeverityList,RANDBETWEEN(1,ROWS(SeverityList)))</f>
        <v>Minor</v>
      </c>
      <c r="F78" t="str" cm="1">
        <f t="array" aca="1" ref="F78" ca="1">INDEX(RegionList,RANDBETWEEN(1,ROWS(RegionList)))</f>
        <v>Midwest</v>
      </c>
      <c r="G78" t="str" cm="1">
        <f t="array" aca="1" ref="G78" ca="1">INDEX(DepartmentList,RANDBETWEEN(1,ROWS(DepartmentList)))</f>
        <v>Customer Service</v>
      </c>
      <c r="H78" s="1">
        <f t="shared" ca="1" si="6"/>
        <v>45271</v>
      </c>
      <c r="I78" s="4" t="str">
        <f ca="1">IF(IncidentTable[[#This Row],[Resolution Time (Days)]]="","",IncidentTable[[#This Row],[Created Date]]+IncidentTable[[#This Row],[Resolution Time (Days)]])</f>
        <v/>
      </c>
      <c r="J78" t="str">
        <f ca="1">IF(OR(IncidentTable[[#This Row],[Status]]="Resolved",IncidentTable[[#This Row],[Status]]="Closed"),RANDBETWEEN(1,120),"")</f>
        <v/>
      </c>
      <c r="K78" t="str">
        <f t="shared" ca="1" si="4"/>
        <v>Open</v>
      </c>
      <c r="L78" t="str" cm="1">
        <f t="array" aca="1" ref="L78" ca="1">INDEX(AnalystList,RANDBETWEEN(1,ROWS(AnalystList)))</f>
        <v>Morgan Davis</v>
      </c>
      <c r="M78" t="str" cm="1">
        <f t="array" aca="1" ref="M78" ca="1">INDEX(RootCauseList,RANDBETWEEN(1,ROWS(RootCauseList)))</f>
        <v>System Bug</v>
      </c>
      <c r="N78">
        <f t="shared" ca="1" si="7"/>
        <v>16638.38</v>
      </c>
      <c r="O78" t="str">
        <f ca="1">IF(OR(IncidentTable[[#This Row],[Status]]="Resolved",IncidentTable[[#This Row],[Status]]="Closed"),
ROUND(IncidentTable[[#This Row],[Estimated Impact ($)]]*(1+RANDBETWEEN(-15,25)/100)+RAND(),2),
"")</f>
        <v/>
      </c>
      <c r="P78" t="str">
        <f ca="1">IF(IncidentTable[[#This Row],[Actual Impact ($)]]="","",ROUND(IncidentTable[[#This Row],[Actual Impact ($)]]-IncidentTable[[#This Row],[Estimated Impact ($)]],2))</f>
        <v/>
      </c>
      <c r="Q78" s="2" t="str">
        <f ca="1">IF(IncidentTable[[#This Row],[Actual Impact ($)]]="","",(IncidentTable[[#This Row],[Actual Impact ($)]]-IncidentTable[[#This Row],[Estimated Impact ($)]]) / IncidentTable[[#This Row],[Estimated Impact ($)]])</f>
        <v/>
      </c>
      <c r="R78" s="3">
        <f ca="1">IF(IncidentTable[[#This Row],[Priority]]="Critical",1,
IF(IncidentTable[[#This Row],[Priority]]="High",3,
IF(IncidentTable[[#This Row],[Priority]]="Medium",5,
IF(IncidentTable[[#This Row],[Priority]]="Low",10,""))))</f>
        <v>3</v>
      </c>
      <c r="S78" t="str">
        <f ca="1">IF(IncidentTable[[#This Row],[Resolution Time (Days)]]="","",
IF(IncidentTable[[#This Row],[Resolution Time (Days)]]&lt;=IncidentTable[[#This Row],[SLA Target (Days)]],"Yes","No"))</f>
        <v/>
      </c>
    </row>
    <row r="79" spans="1:19" x14ac:dyDescent="0.25">
      <c r="A79" t="str">
        <f t="shared" ca="1" si="5"/>
        <v>INC156924</v>
      </c>
      <c r="B79" t="str" cm="1">
        <f t="array" aca="1" ref="B79" ca="1">INDEX(SystemList,RANDBETWEEN(1,ROWS(SystemList)))</f>
        <v>Reporting System</v>
      </c>
      <c r="C79" t="str" cm="1">
        <f t="array" aca="1" ref="C79" ca="1">INDEX(IssueTypeList,RANDBETWEEN(1,ROWS(IssueTypeList)))</f>
        <v>User Access Issue</v>
      </c>
      <c r="D79" t="str" cm="1">
        <f t="array" aca="1" ref="D79" ca="1">INDEX(PriorityList,RANDBETWEEN(1,ROWS(PriorityList)))</f>
        <v>Critical</v>
      </c>
      <c r="E79" t="str" cm="1">
        <f t="array" aca="1" ref="E79" ca="1">INDEX(SeverityList,RANDBETWEEN(1,ROWS(SeverityList)))</f>
        <v>Minor</v>
      </c>
      <c r="F79" t="str" cm="1">
        <f t="array" aca="1" ref="F79" ca="1">INDEX(RegionList,RANDBETWEEN(1,ROWS(RegionList)))</f>
        <v>Southeast</v>
      </c>
      <c r="G79" t="str" cm="1">
        <f t="array" aca="1" ref="G79" ca="1">INDEX(DepartmentList,RANDBETWEEN(1,ROWS(DepartmentList)))</f>
        <v>IT</v>
      </c>
      <c r="H79" s="1">
        <f t="shared" ca="1" si="6"/>
        <v>45034</v>
      </c>
      <c r="I79" s="4" t="str">
        <f ca="1">IF(IncidentTable[[#This Row],[Resolution Time (Days)]]="","",IncidentTable[[#This Row],[Created Date]]+IncidentTable[[#This Row],[Resolution Time (Days)]])</f>
        <v/>
      </c>
      <c r="J79" t="str">
        <f ca="1">IF(OR(IncidentTable[[#This Row],[Status]]="Resolved",IncidentTable[[#This Row],[Status]]="Closed"),RANDBETWEEN(1,120),"")</f>
        <v/>
      </c>
      <c r="K79" t="str">
        <f t="shared" ca="1" si="4"/>
        <v>Pending</v>
      </c>
      <c r="L79" t="str" cm="1">
        <f t="array" aca="1" ref="L79" ca="1">INDEX(AnalystList,RANDBETWEEN(1,ROWS(AnalystList)))</f>
        <v>Riley Wilson</v>
      </c>
      <c r="M79" t="str" cm="1">
        <f t="array" aca="1" ref="M79" ca="1">INDEX(RootCauseList,RANDBETWEEN(1,ROWS(RootCauseList)))</f>
        <v>Configuration Issue</v>
      </c>
      <c r="N79">
        <f t="shared" ca="1" si="7"/>
        <v>873.52</v>
      </c>
      <c r="O79" t="str">
        <f ca="1">IF(OR(IncidentTable[[#This Row],[Status]]="Resolved",IncidentTable[[#This Row],[Status]]="Closed"),
ROUND(IncidentTable[[#This Row],[Estimated Impact ($)]]*(1+RANDBETWEEN(-15,25)/100)+RAND(),2),
"")</f>
        <v/>
      </c>
      <c r="P79" t="str">
        <f ca="1">IF(IncidentTable[[#This Row],[Actual Impact ($)]]="","",ROUND(IncidentTable[[#This Row],[Actual Impact ($)]]-IncidentTable[[#This Row],[Estimated Impact ($)]],2))</f>
        <v/>
      </c>
      <c r="Q79" s="2" t="str">
        <f ca="1">IF(IncidentTable[[#This Row],[Actual Impact ($)]]="","",(IncidentTable[[#This Row],[Actual Impact ($)]]-IncidentTable[[#This Row],[Estimated Impact ($)]]) / IncidentTable[[#This Row],[Estimated Impact ($)]])</f>
        <v/>
      </c>
      <c r="R79" s="3">
        <f ca="1">IF(IncidentTable[[#This Row],[Priority]]="Critical",1,
IF(IncidentTable[[#This Row],[Priority]]="High",3,
IF(IncidentTable[[#This Row],[Priority]]="Medium",5,
IF(IncidentTable[[#This Row],[Priority]]="Low",10,""))))</f>
        <v>1</v>
      </c>
      <c r="S79" t="str">
        <f ca="1">IF(IncidentTable[[#This Row],[Resolution Time (Days)]]="","",
IF(IncidentTable[[#This Row],[Resolution Time (Days)]]&lt;=IncidentTable[[#This Row],[SLA Target (Days)]],"Yes","No"))</f>
        <v/>
      </c>
    </row>
    <row r="80" spans="1:19" x14ac:dyDescent="0.25">
      <c r="A80" t="str">
        <f t="shared" ca="1" si="5"/>
        <v>INC391119</v>
      </c>
      <c r="B80" t="str" cm="1">
        <f t="array" aca="1" ref="B80" ca="1">INDEX(SystemList,RANDBETWEEN(1,ROWS(SystemList)))</f>
        <v>Payment Processing</v>
      </c>
      <c r="C80" t="str" cm="1">
        <f t="array" aca="1" ref="C80" ca="1">INDEX(IssueTypeList,RANDBETWEEN(1,ROWS(IssueTypeList)))</f>
        <v>Complaint</v>
      </c>
      <c r="D80" t="str" cm="1">
        <f t="array" aca="1" ref="D80" ca="1">INDEX(PriorityList,RANDBETWEEN(1,ROWS(PriorityList)))</f>
        <v>Medium</v>
      </c>
      <c r="E80" t="str" cm="1">
        <f t="array" aca="1" ref="E80" ca="1">INDEX(SeverityList,RANDBETWEEN(1,ROWS(SeverityList)))</f>
        <v>Minor</v>
      </c>
      <c r="F80" t="str" cm="1">
        <f t="array" aca="1" ref="F80" ca="1">INDEX(RegionList,RANDBETWEEN(1,ROWS(RegionList)))</f>
        <v>East</v>
      </c>
      <c r="G80" t="str" cm="1">
        <f t="array" aca="1" ref="G80" ca="1">INDEX(DepartmentList,RANDBETWEEN(1,ROWS(DepartmentList)))</f>
        <v>Compliance</v>
      </c>
      <c r="H80" s="1">
        <f t="shared" ca="1" si="6"/>
        <v>45343</v>
      </c>
      <c r="I80" s="4">
        <f ca="1">IF(IncidentTable[[#This Row],[Resolution Time (Days)]]="","",IncidentTable[[#This Row],[Created Date]]+IncidentTable[[#This Row],[Resolution Time (Days)]])</f>
        <v>45381</v>
      </c>
      <c r="J80">
        <f ca="1">IF(OR(IncidentTable[[#This Row],[Status]]="Resolved",IncidentTable[[#This Row],[Status]]="Closed"),RANDBETWEEN(1,120),"")</f>
        <v>38</v>
      </c>
      <c r="K80" t="str">
        <f t="shared" ca="1" si="4"/>
        <v>Closed</v>
      </c>
      <c r="L80" t="str" cm="1">
        <f t="array" aca="1" ref="L80" ca="1">INDEX(AnalystList,RANDBETWEEN(1,ROWS(AnalystList)))</f>
        <v>Casey Brown</v>
      </c>
      <c r="M80" t="str" cm="1">
        <f t="array" aca="1" ref="M80" ca="1">INDEX(RootCauseList,RANDBETWEEN(1,ROWS(RootCauseList)))</f>
        <v>Configuration Issue</v>
      </c>
      <c r="N80">
        <f t="shared" ca="1" si="7"/>
        <v>123.88</v>
      </c>
      <c r="O80">
        <f ca="1">IF(OR(IncidentTable[[#This Row],[Status]]="Resolved",IncidentTable[[#This Row],[Status]]="Closed"),
ROUND(IncidentTable[[#This Row],[Estimated Impact ($)]]*(1+RANDBETWEEN(-15,25)/100)+RAND(),2),
"")</f>
        <v>123.97</v>
      </c>
      <c r="P80">
        <f ca="1">IF(IncidentTable[[#This Row],[Actual Impact ($)]]="","",ROUND(IncidentTable[[#This Row],[Actual Impact ($)]]-IncidentTable[[#This Row],[Estimated Impact ($)]],2))</f>
        <v>0.09</v>
      </c>
      <c r="Q80" s="2">
        <f ca="1">IF(IncidentTable[[#This Row],[Actual Impact ($)]]="","",(IncidentTable[[#This Row],[Actual Impact ($)]]-IncidentTable[[#This Row],[Estimated Impact ($)]]) / IncidentTable[[#This Row],[Estimated Impact ($)]])</f>
        <v>7.2650952534713761E-4</v>
      </c>
      <c r="R80" s="3">
        <f ca="1">IF(IncidentTable[[#This Row],[Priority]]="Critical",1,
IF(IncidentTable[[#This Row],[Priority]]="High",3,
IF(IncidentTable[[#This Row],[Priority]]="Medium",5,
IF(IncidentTable[[#This Row],[Priority]]="Low",10,""))))</f>
        <v>5</v>
      </c>
      <c r="S80" t="str">
        <f ca="1">IF(IncidentTable[[#This Row],[Resolution Time (Days)]]="","",
IF(IncidentTable[[#This Row],[Resolution Time (Days)]]&lt;=IncidentTable[[#This Row],[SLA Target (Days)]],"Yes","No"))</f>
        <v>No</v>
      </c>
    </row>
    <row r="81" spans="1:19" x14ac:dyDescent="0.25">
      <c r="A81" t="str">
        <f t="shared" ca="1" si="5"/>
        <v>INC346759</v>
      </c>
      <c r="B81" t="str" cm="1">
        <f t="array" aca="1" ref="B81" ca="1">INDEX(SystemList,RANDBETWEEN(1,ROWS(SystemList)))</f>
        <v>Customer Portal</v>
      </c>
      <c r="C81" t="str" cm="1">
        <f t="array" aca="1" ref="C81" ca="1">INDEX(IssueTypeList,RANDBETWEEN(1,ROWS(IssueTypeList)))</f>
        <v>Payment Failure</v>
      </c>
      <c r="D81" t="str" cm="1">
        <f t="array" aca="1" ref="D81" ca="1">INDEX(PriorityList,RANDBETWEEN(1,ROWS(PriorityList)))</f>
        <v>Medium</v>
      </c>
      <c r="E81" t="str" cm="1">
        <f t="array" aca="1" ref="E81" ca="1">INDEX(SeverityList,RANDBETWEEN(1,ROWS(SeverityList)))</f>
        <v>Minor</v>
      </c>
      <c r="F81" t="str" cm="1">
        <f t="array" aca="1" ref="F81" ca="1">INDEX(RegionList,RANDBETWEEN(1,ROWS(RegionList)))</f>
        <v>East</v>
      </c>
      <c r="G81" t="str" cm="1">
        <f t="array" aca="1" ref="G81" ca="1">INDEX(DepartmentList,RANDBETWEEN(1,ROWS(DepartmentList)))</f>
        <v>Billing</v>
      </c>
      <c r="H81" s="1">
        <f t="shared" ca="1" si="6"/>
        <v>44987</v>
      </c>
      <c r="I81" s="4" t="str">
        <f ca="1">IF(IncidentTable[[#This Row],[Resolution Time (Days)]]="","",IncidentTable[[#This Row],[Created Date]]+IncidentTable[[#This Row],[Resolution Time (Days)]])</f>
        <v/>
      </c>
      <c r="J81" t="str">
        <f ca="1">IF(OR(IncidentTable[[#This Row],[Status]]="Resolved",IncidentTable[[#This Row],[Status]]="Closed"),RANDBETWEEN(1,120),"")</f>
        <v/>
      </c>
      <c r="K81" t="str">
        <f t="shared" ca="1" si="4"/>
        <v>Pending</v>
      </c>
      <c r="L81" t="str" cm="1">
        <f t="array" aca="1" ref="L81" ca="1">INDEX(AnalystList,RANDBETWEEN(1,ROWS(AnalystList)))</f>
        <v>Jordan Lee</v>
      </c>
      <c r="M81" t="str" cm="1">
        <f t="array" aca="1" ref="M81" ca="1">INDEX(RootCauseList,RANDBETWEEN(1,ROWS(RootCauseList)))</f>
        <v>Integration Failure</v>
      </c>
      <c r="N81">
        <f t="shared" ca="1" si="7"/>
        <v>9420.34</v>
      </c>
      <c r="O81" t="str">
        <f ca="1">IF(OR(IncidentTable[[#This Row],[Status]]="Resolved",IncidentTable[[#This Row],[Status]]="Closed"),
ROUND(IncidentTable[[#This Row],[Estimated Impact ($)]]*(1+RANDBETWEEN(-15,25)/100)+RAND(),2),
"")</f>
        <v/>
      </c>
      <c r="P81" t="str">
        <f ca="1">IF(IncidentTable[[#This Row],[Actual Impact ($)]]="","",ROUND(IncidentTable[[#This Row],[Actual Impact ($)]]-IncidentTable[[#This Row],[Estimated Impact ($)]],2))</f>
        <v/>
      </c>
      <c r="Q81" s="2" t="str">
        <f ca="1">IF(IncidentTable[[#This Row],[Actual Impact ($)]]="","",(IncidentTable[[#This Row],[Actual Impact ($)]]-IncidentTable[[#This Row],[Estimated Impact ($)]]) / IncidentTable[[#This Row],[Estimated Impact ($)]])</f>
        <v/>
      </c>
      <c r="R81" s="3">
        <f ca="1">IF(IncidentTable[[#This Row],[Priority]]="Critical",1,
IF(IncidentTable[[#This Row],[Priority]]="High",3,
IF(IncidentTable[[#This Row],[Priority]]="Medium",5,
IF(IncidentTable[[#This Row],[Priority]]="Low",10,""))))</f>
        <v>5</v>
      </c>
      <c r="S81" t="str">
        <f ca="1">IF(IncidentTable[[#This Row],[Resolution Time (Days)]]="","",
IF(IncidentTable[[#This Row],[Resolution Time (Days)]]&lt;=IncidentTable[[#This Row],[SLA Target (Days)]],"Yes","No"))</f>
        <v/>
      </c>
    </row>
    <row r="82" spans="1:19" x14ac:dyDescent="0.25">
      <c r="A82" t="str">
        <f t="shared" ca="1" si="5"/>
        <v>INC259471</v>
      </c>
      <c r="B82" t="str" cm="1">
        <f t="array" aca="1" ref="B82" ca="1">INDEX(SystemList,RANDBETWEEN(1,ROWS(SystemList)))</f>
        <v>Billing System</v>
      </c>
      <c r="C82" t="str" cm="1">
        <f t="array" aca="1" ref="C82" ca="1">INDEX(IssueTypeList,RANDBETWEEN(1,ROWS(IssueTypeList)))</f>
        <v>User Access Issue</v>
      </c>
      <c r="D82" t="str" cm="1">
        <f t="array" aca="1" ref="D82" ca="1">INDEX(PriorityList,RANDBETWEEN(1,ROWS(PriorityList)))</f>
        <v>Medium</v>
      </c>
      <c r="E82" t="str" cm="1">
        <f t="array" aca="1" ref="E82" ca="1">INDEX(SeverityList,RANDBETWEEN(1,ROWS(SeverityList)))</f>
        <v>Minor</v>
      </c>
      <c r="F82" t="str" cm="1">
        <f t="array" aca="1" ref="F82" ca="1">INDEX(RegionList,RANDBETWEEN(1,ROWS(RegionList)))</f>
        <v>West</v>
      </c>
      <c r="G82" t="str" cm="1">
        <f t="array" aca="1" ref="G82" ca="1">INDEX(DepartmentList,RANDBETWEEN(1,ROWS(DepartmentList)))</f>
        <v>Compliance</v>
      </c>
      <c r="H82" s="1">
        <f t="shared" ca="1" si="6"/>
        <v>45066</v>
      </c>
      <c r="I82" s="4">
        <f ca="1">IF(IncidentTable[[#This Row],[Resolution Time (Days)]]="","",IncidentTable[[#This Row],[Created Date]]+IncidentTable[[#This Row],[Resolution Time (Days)]])</f>
        <v>45069</v>
      </c>
      <c r="J82">
        <f ca="1">IF(OR(IncidentTable[[#This Row],[Status]]="Resolved",IncidentTable[[#This Row],[Status]]="Closed"),RANDBETWEEN(1,120),"")</f>
        <v>3</v>
      </c>
      <c r="K82" t="str">
        <f t="shared" ca="1" si="4"/>
        <v>Resolved</v>
      </c>
      <c r="L82" t="str" cm="1">
        <f t="array" aca="1" ref="L82" ca="1">INDEX(AnalystList,RANDBETWEEN(1,ROWS(AnalystList)))</f>
        <v>Jordan Lee</v>
      </c>
      <c r="M82" t="str" cm="1">
        <f t="array" aca="1" ref="M82" ca="1">INDEX(RootCauseList,RANDBETWEEN(1,ROWS(RootCauseList)))</f>
        <v>Unknown</v>
      </c>
      <c r="N82">
        <f t="shared" ca="1" si="7"/>
        <v>34927.949999999997</v>
      </c>
      <c r="O82">
        <f ca="1">IF(OR(IncidentTable[[#This Row],[Status]]="Resolved",IncidentTable[[#This Row],[Status]]="Closed"),
ROUND(IncidentTable[[#This Row],[Estimated Impact ($)]]*(1+RANDBETWEEN(-15,25)/100)+RAND(),2),
"")</f>
        <v>33531</v>
      </c>
      <c r="P82">
        <f ca="1">IF(IncidentTable[[#This Row],[Actual Impact ($)]]="","",ROUND(IncidentTable[[#This Row],[Actual Impact ($)]]-IncidentTable[[#This Row],[Estimated Impact ($)]],2))</f>
        <v>-1396.95</v>
      </c>
      <c r="Q82" s="2">
        <f ca="1">IF(IncidentTable[[#This Row],[Actual Impact ($)]]="","",(IncidentTable[[#This Row],[Actual Impact ($)]]-IncidentTable[[#This Row],[Estimated Impact ($)]]) / IncidentTable[[#This Row],[Estimated Impact ($)]])</f>
        <v>-3.9995190098474062E-2</v>
      </c>
      <c r="R82" s="3">
        <f ca="1">IF(IncidentTable[[#This Row],[Priority]]="Critical",1,
IF(IncidentTable[[#This Row],[Priority]]="High",3,
IF(IncidentTable[[#This Row],[Priority]]="Medium",5,
IF(IncidentTable[[#This Row],[Priority]]="Low",10,""))))</f>
        <v>5</v>
      </c>
      <c r="S82" t="str">
        <f ca="1">IF(IncidentTable[[#This Row],[Resolution Time (Days)]]="","",
IF(IncidentTable[[#This Row],[Resolution Time (Days)]]&lt;=IncidentTable[[#This Row],[SLA Target (Days)]],"Yes","No"))</f>
        <v>Yes</v>
      </c>
    </row>
    <row r="83" spans="1:19" x14ac:dyDescent="0.25">
      <c r="A83" t="str">
        <f t="shared" ca="1" si="5"/>
        <v>INC757176</v>
      </c>
      <c r="B83" t="str" cm="1">
        <f t="array" aca="1" ref="B83" ca="1">INDEX(SystemList,RANDBETWEEN(1,ROWS(SystemList)))</f>
        <v>Regulatory System</v>
      </c>
      <c r="C83" t="str" cm="1">
        <f t="array" aca="1" ref="C83" ca="1">INDEX(IssueTypeList,RANDBETWEEN(1,ROWS(IssueTypeList)))</f>
        <v>System Error</v>
      </c>
      <c r="D83" t="str" cm="1">
        <f t="array" aca="1" ref="D83" ca="1">INDEX(PriorityList,RANDBETWEEN(1,ROWS(PriorityList)))</f>
        <v>Low</v>
      </c>
      <c r="E83" t="str" cm="1">
        <f t="array" aca="1" ref="E83" ca="1">INDEX(SeverityList,RANDBETWEEN(1,ROWS(SeverityList)))</f>
        <v>Major</v>
      </c>
      <c r="F83" t="str" cm="1">
        <f t="array" aca="1" ref="F83" ca="1">INDEX(RegionList,RANDBETWEEN(1,ROWS(RegionList)))</f>
        <v>Southeast</v>
      </c>
      <c r="G83" t="str" cm="1">
        <f t="array" aca="1" ref="G83" ca="1">INDEX(DepartmentList,RANDBETWEEN(1,ROWS(DepartmentList)))</f>
        <v>IT</v>
      </c>
      <c r="H83" s="1">
        <f t="shared" ca="1" si="6"/>
        <v>45416</v>
      </c>
      <c r="I83" s="4">
        <f ca="1">IF(IncidentTable[[#This Row],[Resolution Time (Days)]]="","",IncidentTable[[#This Row],[Created Date]]+IncidentTable[[#This Row],[Resolution Time (Days)]])</f>
        <v>45497</v>
      </c>
      <c r="J83">
        <f ca="1">IF(OR(IncidentTable[[#This Row],[Status]]="Resolved",IncidentTable[[#This Row],[Status]]="Closed"),RANDBETWEEN(1,120),"")</f>
        <v>81</v>
      </c>
      <c r="K83" t="str">
        <f t="shared" ca="1" si="4"/>
        <v>Closed</v>
      </c>
      <c r="L83" t="str" cm="1">
        <f t="array" aca="1" ref="L83" ca="1">INDEX(AnalystList,RANDBETWEEN(1,ROWS(AnalystList)))</f>
        <v>Alex Johnson</v>
      </c>
      <c r="M83" t="str" cm="1">
        <f t="array" aca="1" ref="M83" ca="1">INDEX(RootCauseList,RANDBETWEEN(1,ROWS(RootCauseList)))</f>
        <v>Unknown</v>
      </c>
      <c r="N83">
        <f t="shared" ca="1" si="7"/>
        <v>10888.99</v>
      </c>
      <c r="O83">
        <f ca="1">IF(OR(IncidentTable[[#This Row],[Status]]="Resolved",IncidentTable[[#This Row],[Status]]="Closed"),
ROUND(IncidentTable[[#This Row],[Estimated Impact ($)]]*(1+RANDBETWEEN(-15,25)/100)+RAND(),2),
"")</f>
        <v>13393.88</v>
      </c>
      <c r="P83">
        <f ca="1">IF(IncidentTable[[#This Row],[Actual Impact ($)]]="","",ROUND(IncidentTable[[#This Row],[Actual Impact ($)]]-IncidentTable[[#This Row],[Estimated Impact ($)]],2))</f>
        <v>2504.89</v>
      </c>
      <c r="Q83" s="2">
        <f ca="1">IF(IncidentTable[[#This Row],[Actual Impact ($)]]="","",(IncidentTable[[#This Row],[Actual Impact ($)]]-IncidentTable[[#This Row],[Estimated Impact ($)]]) / IncidentTable[[#This Row],[Estimated Impact ($)]])</f>
        <v>0.23003878229293989</v>
      </c>
      <c r="R83" s="3">
        <f ca="1">IF(IncidentTable[[#This Row],[Priority]]="Critical",1,
IF(IncidentTable[[#This Row],[Priority]]="High",3,
IF(IncidentTable[[#This Row],[Priority]]="Medium",5,
IF(IncidentTable[[#This Row],[Priority]]="Low",10,""))))</f>
        <v>10</v>
      </c>
      <c r="S83" t="str">
        <f ca="1">IF(IncidentTable[[#This Row],[Resolution Time (Days)]]="","",
IF(IncidentTable[[#This Row],[Resolution Time (Days)]]&lt;=IncidentTable[[#This Row],[SLA Target (Days)]],"Yes","No"))</f>
        <v>No</v>
      </c>
    </row>
    <row r="84" spans="1:19" x14ac:dyDescent="0.25">
      <c r="A84" t="str">
        <f t="shared" ca="1" si="5"/>
        <v>INC643701</v>
      </c>
      <c r="B84" t="str" cm="1">
        <f t="array" aca="1" ref="B84" ca="1">INDEX(SystemList,RANDBETWEEN(1,ROWS(SystemList)))</f>
        <v>Customer Portal</v>
      </c>
      <c r="C84" t="str" cm="1">
        <f t="array" aca="1" ref="C84" ca="1">INDEX(IssueTypeList,RANDBETWEEN(1,ROWS(IssueTypeList)))</f>
        <v>Complaint</v>
      </c>
      <c r="D84" t="str" cm="1">
        <f t="array" aca="1" ref="D84" ca="1">INDEX(PriorityList,RANDBETWEEN(1,ROWS(PriorityList)))</f>
        <v>Critical</v>
      </c>
      <c r="E84" t="str" cm="1">
        <f t="array" aca="1" ref="E84" ca="1">INDEX(SeverityList,RANDBETWEEN(1,ROWS(SeverityList)))</f>
        <v>Minor</v>
      </c>
      <c r="F84" t="str" cm="1">
        <f t="array" aca="1" ref="F84" ca="1">INDEX(RegionList,RANDBETWEEN(1,ROWS(RegionList)))</f>
        <v>East</v>
      </c>
      <c r="G84" t="str" cm="1">
        <f t="array" aca="1" ref="G84" ca="1">INDEX(DepartmentList,RANDBETWEEN(1,ROWS(DepartmentList)))</f>
        <v>Claims</v>
      </c>
      <c r="H84" s="1">
        <f t="shared" ca="1" si="6"/>
        <v>45449</v>
      </c>
      <c r="I84" s="4" t="str">
        <f ca="1">IF(IncidentTable[[#This Row],[Resolution Time (Days)]]="","",IncidentTable[[#This Row],[Created Date]]+IncidentTable[[#This Row],[Resolution Time (Days)]])</f>
        <v/>
      </c>
      <c r="J84" t="str">
        <f ca="1">IF(OR(IncidentTable[[#This Row],[Status]]="Resolved",IncidentTable[[#This Row],[Status]]="Closed"),RANDBETWEEN(1,120),"")</f>
        <v/>
      </c>
      <c r="K84" t="str">
        <f t="shared" ca="1" si="4"/>
        <v>In Progress</v>
      </c>
      <c r="L84" t="str" cm="1">
        <f t="array" aca="1" ref="L84" ca="1">INDEX(AnalystList,RANDBETWEEN(1,ROWS(AnalystList)))</f>
        <v>Taylor Smith</v>
      </c>
      <c r="M84" t="str" cm="1">
        <f t="array" aca="1" ref="M84" ca="1">INDEX(RootCauseList,RANDBETWEEN(1,ROWS(RootCauseList)))</f>
        <v>User Error</v>
      </c>
      <c r="N84">
        <f t="shared" ca="1" si="7"/>
        <v>93.24</v>
      </c>
      <c r="O84" t="str">
        <f ca="1">IF(OR(IncidentTable[[#This Row],[Status]]="Resolved",IncidentTable[[#This Row],[Status]]="Closed"),
ROUND(IncidentTable[[#This Row],[Estimated Impact ($)]]*(1+RANDBETWEEN(-15,25)/100)+RAND(),2),
"")</f>
        <v/>
      </c>
      <c r="P84" t="str">
        <f ca="1">IF(IncidentTable[[#This Row],[Actual Impact ($)]]="","",ROUND(IncidentTable[[#This Row],[Actual Impact ($)]]-IncidentTable[[#This Row],[Estimated Impact ($)]],2))</f>
        <v/>
      </c>
      <c r="Q84" s="2" t="str">
        <f ca="1">IF(IncidentTable[[#This Row],[Actual Impact ($)]]="","",(IncidentTable[[#This Row],[Actual Impact ($)]]-IncidentTable[[#This Row],[Estimated Impact ($)]]) / IncidentTable[[#This Row],[Estimated Impact ($)]])</f>
        <v/>
      </c>
      <c r="R84" s="3">
        <f ca="1">IF(IncidentTable[[#This Row],[Priority]]="Critical",1,
IF(IncidentTable[[#This Row],[Priority]]="High",3,
IF(IncidentTable[[#This Row],[Priority]]="Medium",5,
IF(IncidentTable[[#This Row],[Priority]]="Low",10,""))))</f>
        <v>1</v>
      </c>
      <c r="S84" t="str">
        <f ca="1">IF(IncidentTable[[#This Row],[Resolution Time (Days)]]="","",
IF(IncidentTable[[#This Row],[Resolution Time (Days)]]&lt;=IncidentTable[[#This Row],[SLA Target (Days)]],"Yes","No"))</f>
        <v/>
      </c>
    </row>
    <row r="85" spans="1:19" x14ac:dyDescent="0.25">
      <c r="A85" t="str">
        <f t="shared" ca="1" si="5"/>
        <v>INC867409</v>
      </c>
      <c r="B85" t="str" cm="1">
        <f t="array" aca="1" ref="B85" ca="1">INDEX(SystemList,RANDBETWEEN(1,ROWS(SystemList)))</f>
        <v>Claims System</v>
      </c>
      <c r="C85" t="str" cm="1">
        <f t="array" aca="1" ref="C85" ca="1">INDEX(IssueTypeList,RANDBETWEEN(1,ROWS(IssueTypeList)))</f>
        <v>Performance Issue</v>
      </c>
      <c r="D85" t="str" cm="1">
        <f t="array" aca="1" ref="D85" ca="1">INDEX(PriorityList,RANDBETWEEN(1,ROWS(PriorityList)))</f>
        <v>Low</v>
      </c>
      <c r="E85" t="str" cm="1">
        <f t="array" aca="1" ref="E85" ca="1">INDEX(SeverityList,RANDBETWEEN(1,ROWS(SeverityList)))</f>
        <v>Minor</v>
      </c>
      <c r="F85" t="str" cm="1">
        <f t="array" aca="1" ref="F85" ca="1">INDEX(RegionList,RANDBETWEEN(1,ROWS(RegionList)))</f>
        <v>East</v>
      </c>
      <c r="G85" t="str" cm="1">
        <f t="array" aca="1" ref="G85" ca="1">INDEX(DepartmentList,RANDBETWEEN(1,ROWS(DepartmentList)))</f>
        <v>IT</v>
      </c>
      <c r="H85" s="1">
        <f t="shared" ca="1" si="6"/>
        <v>45232</v>
      </c>
      <c r="I85" s="4" t="str">
        <f ca="1">IF(IncidentTable[[#This Row],[Resolution Time (Days)]]="","",IncidentTable[[#This Row],[Created Date]]+IncidentTable[[#This Row],[Resolution Time (Days)]])</f>
        <v/>
      </c>
      <c r="J85" t="str">
        <f ca="1">IF(OR(IncidentTable[[#This Row],[Status]]="Resolved",IncidentTable[[#This Row],[Status]]="Closed"),RANDBETWEEN(1,120),"")</f>
        <v/>
      </c>
      <c r="K85" t="str">
        <f t="shared" ca="1" si="4"/>
        <v>Open</v>
      </c>
      <c r="L85" t="str" cm="1">
        <f t="array" aca="1" ref="L85" ca="1">INDEX(AnalystList,RANDBETWEEN(1,ROWS(AnalystList)))</f>
        <v>Morgan Davis</v>
      </c>
      <c r="M85" t="str" cm="1">
        <f t="array" aca="1" ref="M85" ca="1">INDEX(RootCauseList,RANDBETWEEN(1,ROWS(RootCauseList)))</f>
        <v>Process Gap</v>
      </c>
      <c r="N85">
        <f t="shared" ca="1" si="7"/>
        <v>5544.72</v>
      </c>
      <c r="O85" t="str">
        <f ca="1">IF(OR(IncidentTable[[#This Row],[Status]]="Resolved",IncidentTable[[#This Row],[Status]]="Closed"),
ROUND(IncidentTable[[#This Row],[Estimated Impact ($)]]*(1+RANDBETWEEN(-15,25)/100)+RAND(),2),
"")</f>
        <v/>
      </c>
      <c r="P85" t="str">
        <f ca="1">IF(IncidentTable[[#This Row],[Actual Impact ($)]]="","",ROUND(IncidentTable[[#This Row],[Actual Impact ($)]]-IncidentTable[[#This Row],[Estimated Impact ($)]],2))</f>
        <v/>
      </c>
      <c r="Q85" s="2" t="str">
        <f ca="1">IF(IncidentTable[[#This Row],[Actual Impact ($)]]="","",(IncidentTable[[#This Row],[Actual Impact ($)]]-IncidentTable[[#This Row],[Estimated Impact ($)]]) / IncidentTable[[#This Row],[Estimated Impact ($)]])</f>
        <v/>
      </c>
      <c r="R85" s="3">
        <f ca="1">IF(IncidentTable[[#This Row],[Priority]]="Critical",1,
IF(IncidentTable[[#This Row],[Priority]]="High",3,
IF(IncidentTable[[#This Row],[Priority]]="Medium",5,
IF(IncidentTable[[#This Row],[Priority]]="Low",10,""))))</f>
        <v>10</v>
      </c>
      <c r="S85" t="str">
        <f ca="1">IF(IncidentTable[[#This Row],[Resolution Time (Days)]]="","",
IF(IncidentTable[[#This Row],[Resolution Time (Days)]]&lt;=IncidentTable[[#This Row],[SLA Target (Days)]],"Yes","No"))</f>
        <v/>
      </c>
    </row>
    <row r="86" spans="1:19" x14ac:dyDescent="0.25">
      <c r="A86" t="str">
        <f t="shared" ca="1" si="5"/>
        <v>INC886871</v>
      </c>
      <c r="B86" t="str" cm="1">
        <f t="array" aca="1" ref="B86" ca="1">INDEX(SystemList,RANDBETWEEN(1,ROWS(SystemList)))</f>
        <v>Claims System</v>
      </c>
      <c r="C86" t="str" cm="1">
        <f t="array" aca="1" ref="C86" ca="1">INDEX(IssueTypeList,RANDBETWEEN(1,ROWS(IssueTypeList)))</f>
        <v>Processing Delay</v>
      </c>
      <c r="D86" t="str" cm="1">
        <f t="array" aca="1" ref="D86" ca="1">INDEX(PriorityList,RANDBETWEEN(1,ROWS(PriorityList)))</f>
        <v>Medium</v>
      </c>
      <c r="E86" t="str" cm="1">
        <f t="array" aca="1" ref="E86" ca="1">INDEX(SeverityList,RANDBETWEEN(1,ROWS(SeverityList)))</f>
        <v>Minor</v>
      </c>
      <c r="F86" t="str" cm="1">
        <f t="array" aca="1" ref="F86" ca="1">INDEX(RegionList,RANDBETWEEN(1,ROWS(RegionList)))</f>
        <v>East</v>
      </c>
      <c r="G86" t="str" cm="1">
        <f t="array" aca="1" ref="G86" ca="1">INDEX(DepartmentList,RANDBETWEEN(1,ROWS(DepartmentList)))</f>
        <v>Compliance</v>
      </c>
      <c r="H86" s="1">
        <f t="shared" ca="1" si="6"/>
        <v>45406</v>
      </c>
      <c r="I86" s="4">
        <f ca="1">IF(IncidentTable[[#This Row],[Resolution Time (Days)]]="","",IncidentTable[[#This Row],[Created Date]]+IncidentTable[[#This Row],[Resolution Time (Days)]])</f>
        <v>45489</v>
      </c>
      <c r="J86">
        <f ca="1">IF(OR(IncidentTable[[#This Row],[Status]]="Resolved",IncidentTable[[#This Row],[Status]]="Closed"),RANDBETWEEN(1,120),"")</f>
        <v>83</v>
      </c>
      <c r="K86" t="str">
        <f t="shared" ca="1" si="4"/>
        <v>Closed</v>
      </c>
      <c r="L86" t="str" cm="1">
        <f t="array" aca="1" ref="L86" ca="1">INDEX(AnalystList,RANDBETWEEN(1,ROWS(AnalystList)))</f>
        <v>Casey Brown</v>
      </c>
      <c r="M86" t="str" cm="1">
        <f t="array" aca="1" ref="M86" ca="1">INDEX(RootCauseList,RANDBETWEEN(1,ROWS(RootCauseList)))</f>
        <v>System Bug</v>
      </c>
      <c r="N86">
        <f t="shared" ca="1" si="7"/>
        <v>4.88</v>
      </c>
      <c r="O86">
        <f ca="1">IF(OR(IncidentTable[[#This Row],[Status]]="Resolved",IncidentTable[[#This Row],[Status]]="Closed"),
ROUND(IncidentTable[[#This Row],[Estimated Impact ($)]]*(1+RANDBETWEEN(-15,25)/100)+RAND(),2),
"")</f>
        <v>6.36</v>
      </c>
      <c r="P86">
        <f ca="1">IF(IncidentTable[[#This Row],[Actual Impact ($)]]="","",ROUND(IncidentTable[[#This Row],[Actual Impact ($)]]-IncidentTable[[#This Row],[Estimated Impact ($)]],2))</f>
        <v>1.48</v>
      </c>
      <c r="Q86" s="2">
        <f ca="1">IF(IncidentTable[[#This Row],[Actual Impact ($)]]="","",(IncidentTable[[#This Row],[Actual Impact ($)]]-IncidentTable[[#This Row],[Estimated Impact ($)]]) / IncidentTable[[#This Row],[Estimated Impact ($)]])</f>
        <v>0.30327868852459028</v>
      </c>
      <c r="R86" s="3">
        <f ca="1">IF(IncidentTable[[#This Row],[Priority]]="Critical",1,
IF(IncidentTable[[#This Row],[Priority]]="High",3,
IF(IncidentTable[[#This Row],[Priority]]="Medium",5,
IF(IncidentTable[[#This Row],[Priority]]="Low",10,""))))</f>
        <v>5</v>
      </c>
      <c r="S86" t="str">
        <f ca="1">IF(IncidentTable[[#This Row],[Resolution Time (Days)]]="","",
IF(IncidentTable[[#This Row],[Resolution Time (Days)]]&lt;=IncidentTable[[#This Row],[SLA Target (Days)]],"Yes","No"))</f>
        <v>No</v>
      </c>
    </row>
    <row r="87" spans="1:19" x14ac:dyDescent="0.25">
      <c r="A87" t="str">
        <f t="shared" ca="1" si="5"/>
        <v>INC486783</v>
      </c>
      <c r="B87" t="str" cm="1">
        <f t="array" aca="1" ref="B87" ca="1">INDEX(SystemList,RANDBETWEEN(1,ROWS(SystemList)))</f>
        <v>Policy Admin System</v>
      </c>
      <c r="C87" t="str" cm="1">
        <f t="array" aca="1" ref="C87" ca="1">INDEX(IssueTypeList,RANDBETWEEN(1,ROWS(IssueTypeList)))</f>
        <v>System Error</v>
      </c>
      <c r="D87" t="str" cm="1">
        <f t="array" aca="1" ref="D87" ca="1">INDEX(PriorityList,RANDBETWEEN(1,ROWS(PriorityList)))</f>
        <v>High</v>
      </c>
      <c r="E87" t="str" cm="1">
        <f t="array" aca="1" ref="E87" ca="1">INDEX(SeverityList,RANDBETWEEN(1,ROWS(SeverityList)))</f>
        <v>Moderate</v>
      </c>
      <c r="F87" t="str" cm="1">
        <f t="array" aca="1" ref="F87" ca="1">INDEX(RegionList,RANDBETWEEN(1,ROWS(RegionList)))</f>
        <v>Midwest</v>
      </c>
      <c r="G87" t="str" cm="1">
        <f t="array" aca="1" ref="G87" ca="1">INDEX(DepartmentList,RANDBETWEEN(1,ROWS(DepartmentList)))</f>
        <v>IT</v>
      </c>
      <c r="H87" s="1">
        <f t="shared" ca="1" si="6"/>
        <v>45441</v>
      </c>
      <c r="I87" s="4">
        <f ca="1">IF(IncidentTable[[#This Row],[Resolution Time (Days)]]="","",IncidentTable[[#This Row],[Created Date]]+IncidentTable[[#This Row],[Resolution Time (Days)]])</f>
        <v>45552</v>
      </c>
      <c r="J87">
        <f ca="1">IF(OR(IncidentTable[[#This Row],[Status]]="Resolved",IncidentTable[[#This Row],[Status]]="Closed"),RANDBETWEEN(1,120),"")</f>
        <v>111</v>
      </c>
      <c r="K87" t="str">
        <f t="shared" ca="1" si="4"/>
        <v>Closed</v>
      </c>
      <c r="L87" t="str" cm="1">
        <f t="array" aca="1" ref="L87" ca="1">INDEX(AnalystList,RANDBETWEEN(1,ROWS(AnalystList)))</f>
        <v>Morgan Davis</v>
      </c>
      <c r="M87" t="str" cm="1">
        <f t="array" aca="1" ref="M87" ca="1">INDEX(RootCauseList,RANDBETWEEN(1,ROWS(RootCauseList)))</f>
        <v>System Bug</v>
      </c>
      <c r="N87">
        <f t="shared" ca="1" si="7"/>
        <v>1272.74</v>
      </c>
      <c r="O87">
        <f ca="1">IF(OR(IncidentTable[[#This Row],[Status]]="Resolved",IncidentTable[[#This Row],[Status]]="Closed"),
ROUND(IncidentTable[[#This Row],[Estimated Impact ($)]]*(1+RANDBETWEEN(-15,25)/100)+RAND(),2),
"")</f>
        <v>1337.18</v>
      </c>
      <c r="P87">
        <f ca="1">IF(IncidentTable[[#This Row],[Actual Impact ($)]]="","",ROUND(IncidentTable[[#This Row],[Actual Impact ($)]]-IncidentTable[[#This Row],[Estimated Impact ($)]],2))</f>
        <v>64.44</v>
      </c>
      <c r="Q87" s="2">
        <f ca="1">IF(IncidentTable[[#This Row],[Actual Impact ($)]]="","",(IncidentTable[[#This Row],[Actual Impact ($)]]-IncidentTable[[#This Row],[Estimated Impact ($)]]) / IncidentTable[[#This Row],[Estimated Impact ($)]])</f>
        <v>5.0630922262205995E-2</v>
      </c>
      <c r="R87" s="3">
        <f ca="1">IF(IncidentTable[[#This Row],[Priority]]="Critical",1,
IF(IncidentTable[[#This Row],[Priority]]="High",3,
IF(IncidentTable[[#This Row],[Priority]]="Medium",5,
IF(IncidentTable[[#This Row],[Priority]]="Low",10,""))))</f>
        <v>3</v>
      </c>
      <c r="S87" t="str">
        <f ca="1">IF(IncidentTable[[#This Row],[Resolution Time (Days)]]="","",
IF(IncidentTable[[#This Row],[Resolution Time (Days)]]&lt;=IncidentTable[[#This Row],[SLA Target (Days)]],"Yes","No"))</f>
        <v>No</v>
      </c>
    </row>
    <row r="88" spans="1:19" x14ac:dyDescent="0.25">
      <c r="A88" t="str">
        <f t="shared" ca="1" si="5"/>
        <v>INC565583</v>
      </c>
      <c r="B88" t="str" cm="1">
        <f t="array" aca="1" ref="B88" ca="1">INDEX(SystemList,RANDBETWEEN(1,ROWS(SystemList)))</f>
        <v>Payment Processing</v>
      </c>
      <c r="C88" t="str" cm="1">
        <f t="array" aca="1" ref="C88" ca="1">INDEX(IssueTypeList,RANDBETWEEN(1,ROWS(IssueTypeList)))</f>
        <v>Complaint</v>
      </c>
      <c r="D88" t="str" cm="1">
        <f t="array" aca="1" ref="D88" ca="1">INDEX(PriorityList,RANDBETWEEN(1,ROWS(PriorityList)))</f>
        <v>Critical</v>
      </c>
      <c r="E88" t="str" cm="1">
        <f t="array" aca="1" ref="E88" ca="1">INDEX(SeverityList,RANDBETWEEN(1,ROWS(SeverityList)))</f>
        <v>Minor</v>
      </c>
      <c r="F88" t="str" cm="1">
        <f t="array" aca="1" ref="F88" ca="1">INDEX(RegionList,RANDBETWEEN(1,ROWS(RegionList)))</f>
        <v>Southeast</v>
      </c>
      <c r="G88" t="str" cm="1">
        <f t="array" aca="1" ref="G88" ca="1">INDEX(DepartmentList,RANDBETWEEN(1,ROWS(DepartmentList)))</f>
        <v>Compliance</v>
      </c>
      <c r="H88" s="1">
        <f t="shared" ca="1" si="6"/>
        <v>45197</v>
      </c>
      <c r="I88" s="4" t="str">
        <f ca="1">IF(IncidentTable[[#This Row],[Resolution Time (Days)]]="","",IncidentTable[[#This Row],[Created Date]]+IncidentTable[[#This Row],[Resolution Time (Days)]])</f>
        <v/>
      </c>
      <c r="J88" t="str">
        <f ca="1">IF(OR(IncidentTable[[#This Row],[Status]]="Resolved",IncidentTable[[#This Row],[Status]]="Closed"),RANDBETWEEN(1,120),"")</f>
        <v/>
      </c>
      <c r="K88" t="str">
        <f t="shared" ca="1" si="4"/>
        <v>Pending</v>
      </c>
      <c r="L88" t="str" cm="1">
        <f t="array" aca="1" ref="L88" ca="1">INDEX(AnalystList,RANDBETWEEN(1,ROWS(AnalystList)))</f>
        <v>Casey Brown</v>
      </c>
      <c r="M88" t="str" cm="1">
        <f t="array" aca="1" ref="M88" ca="1">INDEX(RootCauseList,RANDBETWEEN(1,ROWS(RootCauseList)))</f>
        <v>Network Failure</v>
      </c>
      <c r="N88">
        <f t="shared" ca="1" si="7"/>
        <v>934.38</v>
      </c>
      <c r="O88" t="str">
        <f ca="1">IF(OR(IncidentTable[[#This Row],[Status]]="Resolved",IncidentTable[[#This Row],[Status]]="Closed"),
ROUND(IncidentTable[[#This Row],[Estimated Impact ($)]]*(1+RANDBETWEEN(-15,25)/100)+RAND(),2),
"")</f>
        <v/>
      </c>
      <c r="P88" t="str">
        <f ca="1">IF(IncidentTable[[#This Row],[Actual Impact ($)]]="","",ROUND(IncidentTable[[#This Row],[Actual Impact ($)]]-IncidentTable[[#This Row],[Estimated Impact ($)]],2))</f>
        <v/>
      </c>
      <c r="Q88" s="2" t="str">
        <f ca="1">IF(IncidentTable[[#This Row],[Actual Impact ($)]]="","",(IncidentTable[[#This Row],[Actual Impact ($)]]-IncidentTable[[#This Row],[Estimated Impact ($)]]) / IncidentTable[[#This Row],[Estimated Impact ($)]])</f>
        <v/>
      </c>
      <c r="R88" s="3">
        <f ca="1">IF(IncidentTable[[#This Row],[Priority]]="Critical",1,
IF(IncidentTable[[#This Row],[Priority]]="High",3,
IF(IncidentTable[[#This Row],[Priority]]="Medium",5,
IF(IncidentTable[[#This Row],[Priority]]="Low",10,""))))</f>
        <v>1</v>
      </c>
      <c r="S88" t="str">
        <f ca="1">IF(IncidentTable[[#This Row],[Resolution Time (Days)]]="","",
IF(IncidentTable[[#This Row],[Resolution Time (Days)]]&lt;=IncidentTable[[#This Row],[SLA Target (Days)]],"Yes","No"))</f>
        <v/>
      </c>
    </row>
    <row r="89" spans="1:19" x14ac:dyDescent="0.25">
      <c r="A89" t="str">
        <f t="shared" ca="1" si="5"/>
        <v>INC910631</v>
      </c>
      <c r="B89" t="str" cm="1">
        <f t="array" aca="1" ref="B89" ca="1">INDEX(SystemList,RANDBETWEEN(1,ROWS(SystemList)))</f>
        <v>Reporting System</v>
      </c>
      <c r="C89" t="str" cm="1">
        <f t="array" aca="1" ref="C89" ca="1">INDEX(IssueTypeList,RANDBETWEEN(1,ROWS(IssueTypeList)))</f>
        <v>Data Issue</v>
      </c>
      <c r="D89" t="str" cm="1">
        <f t="array" aca="1" ref="D89" ca="1">INDEX(PriorityList,RANDBETWEEN(1,ROWS(PriorityList)))</f>
        <v>High</v>
      </c>
      <c r="E89" t="str" cm="1">
        <f t="array" aca="1" ref="E89" ca="1">INDEX(SeverityList,RANDBETWEEN(1,ROWS(SeverityList)))</f>
        <v>Major</v>
      </c>
      <c r="F89" t="str" cm="1">
        <f t="array" aca="1" ref="F89" ca="1">INDEX(RegionList,RANDBETWEEN(1,ROWS(RegionList)))</f>
        <v>East</v>
      </c>
      <c r="G89" t="str" cm="1">
        <f t="array" aca="1" ref="G89" ca="1">INDEX(DepartmentList,RANDBETWEEN(1,ROWS(DepartmentList)))</f>
        <v>Billing</v>
      </c>
      <c r="H89" s="1">
        <f t="shared" ca="1" si="6"/>
        <v>45225</v>
      </c>
      <c r="I89" s="4" t="str">
        <f ca="1">IF(IncidentTable[[#This Row],[Resolution Time (Days)]]="","",IncidentTable[[#This Row],[Created Date]]+IncidentTable[[#This Row],[Resolution Time (Days)]])</f>
        <v/>
      </c>
      <c r="J89" t="str">
        <f ca="1">IF(OR(IncidentTable[[#This Row],[Status]]="Resolved",IncidentTable[[#This Row],[Status]]="Closed"),RANDBETWEEN(1,120),"")</f>
        <v/>
      </c>
      <c r="K89" t="str">
        <f t="shared" ca="1" si="4"/>
        <v>In Progress</v>
      </c>
      <c r="L89" t="str" cm="1">
        <f t="array" aca="1" ref="L89" ca="1">INDEX(AnalystList,RANDBETWEEN(1,ROWS(AnalystList)))</f>
        <v>Riley Wilson</v>
      </c>
      <c r="M89" t="str" cm="1">
        <f t="array" aca="1" ref="M89" ca="1">INDEX(RootCauseList,RANDBETWEEN(1,ROWS(RootCauseList)))</f>
        <v>Unknown</v>
      </c>
      <c r="N89">
        <f t="shared" ca="1" si="7"/>
        <v>15816.47</v>
      </c>
      <c r="O89" t="str">
        <f ca="1">IF(OR(IncidentTable[[#This Row],[Status]]="Resolved",IncidentTable[[#This Row],[Status]]="Closed"),
ROUND(IncidentTable[[#This Row],[Estimated Impact ($)]]*(1+RANDBETWEEN(-15,25)/100)+RAND(),2),
"")</f>
        <v/>
      </c>
      <c r="P89" t="str">
        <f ca="1">IF(IncidentTable[[#This Row],[Actual Impact ($)]]="","",ROUND(IncidentTable[[#This Row],[Actual Impact ($)]]-IncidentTable[[#This Row],[Estimated Impact ($)]],2))</f>
        <v/>
      </c>
      <c r="Q89" s="2" t="str">
        <f ca="1">IF(IncidentTable[[#This Row],[Actual Impact ($)]]="","",(IncidentTable[[#This Row],[Actual Impact ($)]]-IncidentTable[[#This Row],[Estimated Impact ($)]]) / IncidentTable[[#This Row],[Estimated Impact ($)]])</f>
        <v/>
      </c>
      <c r="R89" s="3">
        <f ca="1">IF(IncidentTable[[#This Row],[Priority]]="Critical",1,
IF(IncidentTable[[#This Row],[Priority]]="High",3,
IF(IncidentTable[[#This Row],[Priority]]="Medium",5,
IF(IncidentTable[[#This Row],[Priority]]="Low",10,""))))</f>
        <v>3</v>
      </c>
      <c r="S89" t="str">
        <f ca="1">IF(IncidentTable[[#This Row],[Resolution Time (Days)]]="","",
IF(IncidentTable[[#This Row],[Resolution Time (Days)]]&lt;=IncidentTable[[#This Row],[SLA Target (Days)]],"Yes","No"))</f>
        <v/>
      </c>
    </row>
    <row r="90" spans="1:19" x14ac:dyDescent="0.25">
      <c r="A90" t="str">
        <f t="shared" ca="1" si="5"/>
        <v>INC793614</v>
      </c>
      <c r="B90" t="str" cm="1">
        <f t="array" aca="1" ref="B90" ca="1">INDEX(SystemList,RANDBETWEEN(1,ROWS(SystemList)))</f>
        <v>Claims System</v>
      </c>
      <c r="C90" t="str" cm="1">
        <f t="array" aca="1" ref="C90" ca="1">INDEX(IssueTypeList,RANDBETWEEN(1,ROWS(IssueTypeList)))</f>
        <v>Complaint</v>
      </c>
      <c r="D90" t="str" cm="1">
        <f t="array" aca="1" ref="D90" ca="1">INDEX(PriorityList,RANDBETWEEN(1,ROWS(PriorityList)))</f>
        <v>High</v>
      </c>
      <c r="E90" t="str" cm="1">
        <f t="array" aca="1" ref="E90" ca="1">INDEX(SeverityList,RANDBETWEEN(1,ROWS(SeverityList)))</f>
        <v>Moderate</v>
      </c>
      <c r="F90" t="str" cm="1">
        <f t="array" aca="1" ref="F90" ca="1">INDEX(RegionList,RANDBETWEEN(1,ROWS(RegionList)))</f>
        <v>Southeast</v>
      </c>
      <c r="G90" t="str" cm="1">
        <f t="array" aca="1" ref="G90" ca="1">INDEX(DepartmentList,RANDBETWEEN(1,ROWS(DepartmentList)))</f>
        <v>Claims</v>
      </c>
      <c r="H90" s="1">
        <f t="shared" ca="1" si="6"/>
        <v>45071</v>
      </c>
      <c r="I90" s="4">
        <f ca="1">IF(IncidentTable[[#This Row],[Resolution Time (Days)]]="","",IncidentTable[[#This Row],[Created Date]]+IncidentTable[[#This Row],[Resolution Time (Days)]])</f>
        <v>45145</v>
      </c>
      <c r="J90">
        <f ca="1">IF(OR(IncidentTable[[#This Row],[Status]]="Resolved",IncidentTable[[#This Row],[Status]]="Closed"),RANDBETWEEN(1,120),"")</f>
        <v>74</v>
      </c>
      <c r="K90" t="str">
        <f t="shared" ca="1" si="4"/>
        <v>Closed</v>
      </c>
      <c r="L90" t="str" cm="1">
        <f t="array" aca="1" ref="L90" ca="1">INDEX(AnalystList,RANDBETWEEN(1,ROWS(AnalystList)))</f>
        <v>Taylor Smith</v>
      </c>
      <c r="M90" t="str" cm="1">
        <f t="array" aca="1" ref="M90" ca="1">INDEX(RootCauseList,RANDBETWEEN(1,ROWS(RootCauseList)))</f>
        <v>Data Error</v>
      </c>
      <c r="N90">
        <f t="shared" ca="1" si="7"/>
        <v>3195.45</v>
      </c>
      <c r="O90">
        <f ca="1">IF(OR(IncidentTable[[#This Row],[Status]]="Resolved",IncidentTable[[#This Row],[Status]]="Closed"),
ROUND(IncidentTable[[#This Row],[Estimated Impact ($)]]*(1+RANDBETWEEN(-15,25)/100)+RAND(),2),
"")</f>
        <v>2844.59</v>
      </c>
      <c r="P90">
        <f ca="1">IF(IncidentTable[[#This Row],[Actual Impact ($)]]="","",ROUND(IncidentTable[[#This Row],[Actual Impact ($)]]-IncidentTable[[#This Row],[Estimated Impact ($)]],2))</f>
        <v>-350.86</v>
      </c>
      <c r="Q90" s="2">
        <f ca="1">IF(IncidentTable[[#This Row],[Actual Impact ($)]]="","",(IncidentTable[[#This Row],[Actual Impact ($)]]-IncidentTable[[#This Row],[Estimated Impact ($)]]) / IncidentTable[[#This Row],[Estimated Impact ($)]])</f>
        <v>-0.10979987169256276</v>
      </c>
      <c r="R90" s="3">
        <f ca="1">IF(IncidentTable[[#This Row],[Priority]]="Critical",1,
IF(IncidentTable[[#This Row],[Priority]]="High",3,
IF(IncidentTable[[#This Row],[Priority]]="Medium",5,
IF(IncidentTable[[#This Row],[Priority]]="Low",10,""))))</f>
        <v>3</v>
      </c>
      <c r="S90" t="str">
        <f ca="1">IF(IncidentTable[[#This Row],[Resolution Time (Days)]]="","",
IF(IncidentTable[[#This Row],[Resolution Time (Days)]]&lt;=IncidentTable[[#This Row],[SLA Target (Days)]],"Yes","No"))</f>
        <v>No</v>
      </c>
    </row>
    <row r="91" spans="1:19" x14ac:dyDescent="0.25">
      <c r="A91" t="str">
        <f t="shared" ca="1" si="5"/>
        <v>INC445436</v>
      </c>
      <c r="B91" t="str" cm="1">
        <f t="array" aca="1" ref="B91" ca="1">INDEX(SystemList,RANDBETWEEN(1,ROWS(SystemList)))</f>
        <v>Payment Processing</v>
      </c>
      <c r="C91" t="str" cm="1">
        <f t="array" aca="1" ref="C91" ca="1">INDEX(IssueTypeList,RANDBETWEEN(1,ROWS(IssueTypeList)))</f>
        <v>User Access Issue</v>
      </c>
      <c r="D91" t="str" cm="1">
        <f t="array" aca="1" ref="D91" ca="1">INDEX(PriorityList,RANDBETWEEN(1,ROWS(PriorityList)))</f>
        <v>High</v>
      </c>
      <c r="E91" t="str" cm="1">
        <f t="array" aca="1" ref="E91" ca="1">INDEX(SeverityList,RANDBETWEEN(1,ROWS(SeverityList)))</f>
        <v>Major</v>
      </c>
      <c r="F91" t="str" cm="1">
        <f t="array" aca="1" ref="F91" ca="1">INDEX(RegionList,RANDBETWEEN(1,ROWS(RegionList)))</f>
        <v>West</v>
      </c>
      <c r="G91" t="str" cm="1">
        <f t="array" aca="1" ref="G91" ca="1">INDEX(DepartmentList,RANDBETWEEN(1,ROWS(DepartmentList)))</f>
        <v>Customer Service</v>
      </c>
      <c r="H91" s="1">
        <f t="shared" ca="1" si="6"/>
        <v>45338</v>
      </c>
      <c r="I91" s="4" t="str">
        <f ca="1">IF(IncidentTable[[#This Row],[Resolution Time (Days)]]="","",IncidentTable[[#This Row],[Created Date]]+IncidentTable[[#This Row],[Resolution Time (Days)]])</f>
        <v/>
      </c>
      <c r="J91" t="str">
        <f ca="1">IF(OR(IncidentTable[[#This Row],[Status]]="Resolved",IncidentTable[[#This Row],[Status]]="Closed"),RANDBETWEEN(1,120),"")</f>
        <v/>
      </c>
      <c r="K91" t="str">
        <f t="shared" ca="1" si="4"/>
        <v>In Progress</v>
      </c>
      <c r="L91" t="str" cm="1">
        <f t="array" aca="1" ref="L91" ca="1">INDEX(AnalystList,RANDBETWEEN(1,ROWS(AnalystList)))</f>
        <v>Morgan Davis</v>
      </c>
      <c r="M91" t="str" cm="1">
        <f t="array" aca="1" ref="M91" ca="1">INDEX(RootCauseList,RANDBETWEEN(1,ROWS(RootCauseList)))</f>
        <v>User Error</v>
      </c>
      <c r="N91">
        <f t="shared" ca="1" si="7"/>
        <v>2271.3200000000002</v>
      </c>
      <c r="O91" t="str">
        <f ca="1">IF(OR(IncidentTable[[#This Row],[Status]]="Resolved",IncidentTable[[#This Row],[Status]]="Closed"),
ROUND(IncidentTable[[#This Row],[Estimated Impact ($)]]*(1+RANDBETWEEN(-15,25)/100)+RAND(),2),
"")</f>
        <v/>
      </c>
      <c r="P91" t="str">
        <f ca="1">IF(IncidentTable[[#This Row],[Actual Impact ($)]]="","",ROUND(IncidentTable[[#This Row],[Actual Impact ($)]]-IncidentTable[[#This Row],[Estimated Impact ($)]],2))</f>
        <v/>
      </c>
      <c r="Q91" s="2" t="str">
        <f ca="1">IF(IncidentTable[[#This Row],[Actual Impact ($)]]="","",(IncidentTable[[#This Row],[Actual Impact ($)]]-IncidentTable[[#This Row],[Estimated Impact ($)]]) / IncidentTable[[#This Row],[Estimated Impact ($)]])</f>
        <v/>
      </c>
      <c r="R91" s="3">
        <f ca="1">IF(IncidentTable[[#This Row],[Priority]]="Critical",1,
IF(IncidentTable[[#This Row],[Priority]]="High",3,
IF(IncidentTable[[#This Row],[Priority]]="Medium",5,
IF(IncidentTable[[#This Row],[Priority]]="Low",10,""))))</f>
        <v>3</v>
      </c>
      <c r="S91" t="str">
        <f ca="1">IF(IncidentTable[[#This Row],[Resolution Time (Days)]]="","",
IF(IncidentTable[[#This Row],[Resolution Time (Days)]]&lt;=IncidentTable[[#This Row],[SLA Target (Days)]],"Yes","No"))</f>
        <v/>
      </c>
    </row>
    <row r="92" spans="1:19" x14ac:dyDescent="0.25">
      <c r="A92" t="str">
        <f t="shared" ca="1" si="5"/>
        <v>INC835076</v>
      </c>
      <c r="B92" t="str" cm="1">
        <f t="array" aca="1" ref="B92" ca="1">INDEX(SystemList,RANDBETWEEN(1,ROWS(SystemList)))</f>
        <v>Customer Portal</v>
      </c>
      <c r="C92" t="str" cm="1">
        <f t="array" aca="1" ref="C92" ca="1">INDEX(IssueTypeList,RANDBETWEEN(1,ROWS(IssueTypeList)))</f>
        <v>Data Issue</v>
      </c>
      <c r="D92" t="str" cm="1">
        <f t="array" aca="1" ref="D92" ca="1">INDEX(PriorityList,RANDBETWEEN(1,ROWS(PriorityList)))</f>
        <v>Critical</v>
      </c>
      <c r="E92" t="str" cm="1">
        <f t="array" aca="1" ref="E92" ca="1">INDEX(SeverityList,RANDBETWEEN(1,ROWS(SeverityList)))</f>
        <v>Minor</v>
      </c>
      <c r="F92" t="str" cm="1">
        <f t="array" aca="1" ref="F92" ca="1">INDEX(RegionList,RANDBETWEEN(1,ROWS(RegionList)))</f>
        <v>Southeast</v>
      </c>
      <c r="G92" t="str" cm="1">
        <f t="array" aca="1" ref="G92" ca="1">INDEX(DepartmentList,RANDBETWEEN(1,ROWS(DepartmentList)))</f>
        <v>Customer Service</v>
      </c>
      <c r="H92" s="1">
        <f t="shared" ca="1" si="6"/>
        <v>45230</v>
      </c>
      <c r="I92" s="4">
        <f ca="1">IF(IncidentTable[[#This Row],[Resolution Time (Days)]]="","",IncidentTable[[#This Row],[Created Date]]+IncidentTable[[#This Row],[Resolution Time (Days)]])</f>
        <v>45305</v>
      </c>
      <c r="J92">
        <f ca="1">IF(OR(IncidentTable[[#This Row],[Status]]="Resolved",IncidentTable[[#This Row],[Status]]="Closed"),RANDBETWEEN(1,120),"")</f>
        <v>75</v>
      </c>
      <c r="K92" t="str">
        <f t="shared" ca="1" si="4"/>
        <v>Closed</v>
      </c>
      <c r="L92" t="str" cm="1">
        <f t="array" aca="1" ref="L92" ca="1">INDEX(AnalystList,RANDBETWEEN(1,ROWS(AnalystList)))</f>
        <v>Alex Johnson</v>
      </c>
      <c r="M92" t="str" cm="1">
        <f t="array" aca="1" ref="M92" ca="1">INDEX(RootCauseList,RANDBETWEEN(1,ROWS(RootCauseList)))</f>
        <v>Unknown</v>
      </c>
      <c r="N92">
        <f t="shared" ca="1" si="7"/>
        <v>1857.26</v>
      </c>
      <c r="O92">
        <f ca="1">IF(OR(IncidentTable[[#This Row],[Status]]="Resolved",IncidentTable[[#This Row],[Status]]="Closed"),
ROUND(IncidentTable[[#This Row],[Estimated Impact ($)]]*(1+RANDBETWEEN(-15,25)/100)+RAND(),2),
"")</f>
        <v>2228.7199999999998</v>
      </c>
      <c r="P92">
        <f ca="1">IF(IncidentTable[[#This Row],[Actual Impact ($)]]="","",ROUND(IncidentTable[[#This Row],[Actual Impact ($)]]-IncidentTable[[#This Row],[Estimated Impact ($)]],2))</f>
        <v>371.46</v>
      </c>
      <c r="Q92" s="2">
        <f ca="1">IF(IncidentTable[[#This Row],[Actual Impact ($)]]="","",(IncidentTable[[#This Row],[Actual Impact ($)]]-IncidentTable[[#This Row],[Estimated Impact ($)]]) / IncidentTable[[#This Row],[Estimated Impact ($)]])</f>
        <v>0.20000430742060876</v>
      </c>
      <c r="R92" s="3">
        <f ca="1">IF(IncidentTable[[#This Row],[Priority]]="Critical",1,
IF(IncidentTable[[#This Row],[Priority]]="High",3,
IF(IncidentTable[[#This Row],[Priority]]="Medium",5,
IF(IncidentTable[[#This Row],[Priority]]="Low",10,""))))</f>
        <v>1</v>
      </c>
      <c r="S92" t="str">
        <f ca="1">IF(IncidentTable[[#This Row],[Resolution Time (Days)]]="","",
IF(IncidentTable[[#This Row],[Resolution Time (Days)]]&lt;=IncidentTable[[#This Row],[SLA Target (Days)]],"Yes","No"))</f>
        <v>No</v>
      </c>
    </row>
    <row r="93" spans="1:19" x14ac:dyDescent="0.25">
      <c r="A93" t="str">
        <f t="shared" ca="1" si="5"/>
        <v>INC192033</v>
      </c>
      <c r="B93" t="str" cm="1">
        <f t="array" aca="1" ref="B93" ca="1">INDEX(SystemList,RANDBETWEEN(1,ROWS(SystemList)))</f>
        <v>Billing System</v>
      </c>
      <c r="C93" t="str" cm="1">
        <f t="array" aca="1" ref="C93" ca="1">INDEX(IssueTypeList,RANDBETWEEN(1,ROWS(IssueTypeList)))</f>
        <v>Complaint</v>
      </c>
      <c r="D93" t="str" cm="1">
        <f t="array" aca="1" ref="D93" ca="1">INDEX(PriorityList,RANDBETWEEN(1,ROWS(PriorityList)))</f>
        <v>Critical</v>
      </c>
      <c r="E93" t="str" cm="1">
        <f t="array" aca="1" ref="E93" ca="1">INDEX(SeverityList,RANDBETWEEN(1,ROWS(SeverityList)))</f>
        <v>Moderate</v>
      </c>
      <c r="F93" t="str" cm="1">
        <f t="array" aca="1" ref="F93" ca="1">INDEX(RegionList,RANDBETWEEN(1,ROWS(RegionList)))</f>
        <v>Midwest</v>
      </c>
      <c r="G93" t="str" cm="1">
        <f t="array" aca="1" ref="G93" ca="1">INDEX(DepartmentList,RANDBETWEEN(1,ROWS(DepartmentList)))</f>
        <v>Billing</v>
      </c>
      <c r="H93" s="1">
        <f t="shared" ca="1" si="6"/>
        <v>44955</v>
      </c>
      <c r="I93" s="4" t="str">
        <f ca="1">IF(IncidentTable[[#This Row],[Resolution Time (Days)]]="","",IncidentTable[[#This Row],[Created Date]]+IncidentTable[[#This Row],[Resolution Time (Days)]])</f>
        <v/>
      </c>
      <c r="J93" t="str">
        <f ca="1">IF(OR(IncidentTable[[#This Row],[Status]]="Resolved",IncidentTable[[#This Row],[Status]]="Closed"),RANDBETWEEN(1,120),"")</f>
        <v/>
      </c>
      <c r="K93" t="str">
        <f t="shared" ca="1" si="4"/>
        <v>Pending</v>
      </c>
      <c r="L93" t="str" cm="1">
        <f t="array" aca="1" ref="L93" ca="1">INDEX(AnalystList,RANDBETWEEN(1,ROWS(AnalystList)))</f>
        <v>Taylor Smith</v>
      </c>
      <c r="M93" t="str" cm="1">
        <f t="array" aca="1" ref="M93" ca="1">INDEX(RootCauseList,RANDBETWEEN(1,ROWS(RootCauseList)))</f>
        <v>User Error</v>
      </c>
      <c r="N93">
        <f t="shared" ca="1" si="7"/>
        <v>29567.54</v>
      </c>
      <c r="O93" t="str">
        <f ca="1">IF(OR(IncidentTable[[#This Row],[Status]]="Resolved",IncidentTable[[#This Row],[Status]]="Closed"),
ROUND(IncidentTable[[#This Row],[Estimated Impact ($)]]*(1+RANDBETWEEN(-15,25)/100)+RAND(),2),
"")</f>
        <v/>
      </c>
      <c r="P93" t="str">
        <f ca="1">IF(IncidentTable[[#This Row],[Actual Impact ($)]]="","",ROUND(IncidentTable[[#This Row],[Actual Impact ($)]]-IncidentTable[[#This Row],[Estimated Impact ($)]],2))</f>
        <v/>
      </c>
      <c r="Q93" s="2" t="str">
        <f ca="1">IF(IncidentTable[[#This Row],[Actual Impact ($)]]="","",(IncidentTable[[#This Row],[Actual Impact ($)]]-IncidentTable[[#This Row],[Estimated Impact ($)]]) / IncidentTable[[#This Row],[Estimated Impact ($)]])</f>
        <v/>
      </c>
      <c r="R93" s="3">
        <f ca="1">IF(IncidentTable[[#This Row],[Priority]]="Critical",1,
IF(IncidentTable[[#This Row],[Priority]]="High",3,
IF(IncidentTable[[#This Row],[Priority]]="Medium",5,
IF(IncidentTable[[#This Row],[Priority]]="Low",10,""))))</f>
        <v>1</v>
      </c>
      <c r="S93" t="str">
        <f ca="1">IF(IncidentTable[[#This Row],[Resolution Time (Days)]]="","",
IF(IncidentTable[[#This Row],[Resolution Time (Days)]]&lt;=IncidentTable[[#This Row],[SLA Target (Days)]],"Yes","No"))</f>
        <v/>
      </c>
    </row>
    <row r="94" spans="1:19" x14ac:dyDescent="0.25">
      <c r="A94" t="str">
        <f t="shared" ca="1" si="5"/>
        <v>INC999168</v>
      </c>
      <c r="B94" t="str" cm="1">
        <f t="array" aca="1" ref="B94" ca="1">INDEX(SystemList,RANDBETWEEN(1,ROWS(SystemList)))</f>
        <v>Customer Portal</v>
      </c>
      <c r="C94" t="str" cm="1">
        <f t="array" aca="1" ref="C94" ca="1">INDEX(IssueTypeList,RANDBETWEEN(1,ROWS(IssueTypeList)))</f>
        <v>User Access Issue</v>
      </c>
      <c r="D94" t="str" cm="1">
        <f t="array" aca="1" ref="D94" ca="1">INDEX(PriorityList,RANDBETWEEN(1,ROWS(PriorityList)))</f>
        <v>Medium</v>
      </c>
      <c r="E94" t="str" cm="1">
        <f t="array" aca="1" ref="E94" ca="1">INDEX(SeverityList,RANDBETWEEN(1,ROWS(SeverityList)))</f>
        <v>Minor</v>
      </c>
      <c r="F94" t="str" cm="1">
        <f t="array" aca="1" ref="F94" ca="1">INDEX(RegionList,RANDBETWEEN(1,ROWS(RegionList)))</f>
        <v>Central</v>
      </c>
      <c r="G94" t="str" cm="1">
        <f t="array" aca="1" ref="G94" ca="1">INDEX(DepartmentList,RANDBETWEEN(1,ROWS(DepartmentList)))</f>
        <v>IT</v>
      </c>
      <c r="H94" s="1">
        <f t="shared" ca="1" si="6"/>
        <v>44971</v>
      </c>
      <c r="I94" s="4" t="str">
        <f ca="1">IF(IncidentTable[[#This Row],[Resolution Time (Days)]]="","",IncidentTable[[#This Row],[Created Date]]+IncidentTable[[#This Row],[Resolution Time (Days)]])</f>
        <v/>
      </c>
      <c r="J94" t="str">
        <f ca="1">IF(OR(IncidentTable[[#This Row],[Status]]="Resolved",IncidentTable[[#This Row],[Status]]="Closed"),RANDBETWEEN(1,120),"")</f>
        <v/>
      </c>
      <c r="K94" t="str">
        <f t="shared" ca="1" si="4"/>
        <v>Pending</v>
      </c>
      <c r="L94" t="str" cm="1">
        <f t="array" aca="1" ref="L94" ca="1">INDEX(AnalystList,RANDBETWEEN(1,ROWS(AnalystList)))</f>
        <v>Morgan Davis</v>
      </c>
      <c r="M94" t="str" cm="1">
        <f t="array" aca="1" ref="M94" ca="1">INDEX(RootCauseList,RANDBETWEEN(1,ROWS(RootCauseList)))</f>
        <v>Unknown</v>
      </c>
      <c r="N94">
        <f t="shared" ca="1" si="7"/>
        <v>88.53</v>
      </c>
      <c r="O94" t="str">
        <f ca="1">IF(OR(IncidentTable[[#This Row],[Status]]="Resolved",IncidentTable[[#This Row],[Status]]="Closed"),
ROUND(IncidentTable[[#This Row],[Estimated Impact ($)]]*(1+RANDBETWEEN(-15,25)/100)+RAND(),2),
"")</f>
        <v/>
      </c>
      <c r="P94" t="str">
        <f ca="1">IF(IncidentTable[[#This Row],[Actual Impact ($)]]="","",ROUND(IncidentTable[[#This Row],[Actual Impact ($)]]-IncidentTable[[#This Row],[Estimated Impact ($)]],2))</f>
        <v/>
      </c>
      <c r="Q94" s="2" t="str">
        <f ca="1">IF(IncidentTable[[#This Row],[Actual Impact ($)]]="","",(IncidentTable[[#This Row],[Actual Impact ($)]]-IncidentTable[[#This Row],[Estimated Impact ($)]]) / IncidentTable[[#This Row],[Estimated Impact ($)]])</f>
        <v/>
      </c>
      <c r="R94" s="3">
        <f ca="1">IF(IncidentTable[[#This Row],[Priority]]="Critical",1,
IF(IncidentTable[[#This Row],[Priority]]="High",3,
IF(IncidentTable[[#This Row],[Priority]]="Medium",5,
IF(IncidentTable[[#This Row],[Priority]]="Low",10,""))))</f>
        <v>5</v>
      </c>
      <c r="S94" t="str">
        <f ca="1">IF(IncidentTable[[#This Row],[Resolution Time (Days)]]="","",
IF(IncidentTable[[#This Row],[Resolution Time (Days)]]&lt;=IncidentTable[[#This Row],[SLA Target (Days)]],"Yes","No"))</f>
        <v/>
      </c>
    </row>
    <row r="95" spans="1:19" x14ac:dyDescent="0.25">
      <c r="A95" t="str">
        <f t="shared" ca="1" si="5"/>
        <v>INC883877</v>
      </c>
      <c r="B95" t="str" cm="1">
        <f t="array" aca="1" ref="B95" ca="1">INDEX(SystemList,RANDBETWEEN(1,ROWS(SystemList)))</f>
        <v>Reporting System</v>
      </c>
      <c r="C95" t="str" cm="1">
        <f t="array" aca="1" ref="C95" ca="1">INDEX(IssueTypeList,RANDBETWEEN(1,ROWS(IssueTypeList)))</f>
        <v>System Error</v>
      </c>
      <c r="D95" t="str" cm="1">
        <f t="array" aca="1" ref="D95" ca="1">INDEX(PriorityList,RANDBETWEEN(1,ROWS(PriorityList)))</f>
        <v>High</v>
      </c>
      <c r="E95" t="str" cm="1">
        <f t="array" aca="1" ref="E95" ca="1">INDEX(SeverityList,RANDBETWEEN(1,ROWS(SeverityList)))</f>
        <v>Critical</v>
      </c>
      <c r="F95" t="str" cm="1">
        <f t="array" aca="1" ref="F95" ca="1">INDEX(RegionList,RANDBETWEEN(1,ROWS(RegionList)))</f>
        <v>Central</v>
      </c>
      <c r="G95" t="str" cm="1">
        <f t="array" aca="1" ref="G95" ca="1">INDEX(DepartmentList,RANDBETWEEN(1,ROWS(DepartmentList)))</f>
        <v>Customer Service</v>
      </c>
      <c r="H95" s="1">
        <f t="shared" ca="1" si="6"/>
        <v>45346</v>
      </c>
      <c r="I95" s="4">
        <f ca="1">IF(IncidentTable[[#This Row],[Resolution Time (Days)]]="","",IncidentTable[[#This Row],[Created Date]]+IncidentTable[[#This Row],[Resolution Time (Days)]])</f>
        <v>45363</v>
      </c>
      <c r="J95">
        <f ca="1">IF(OR(IncidentTable[[#This Row],[Status]]="Resolved",IncidentTable[[#This Row],[Status]]="Closed"),RANDBETWEEN(1,120),"")</f>
        <v>17</v>
      </c>
      <c r="K95" t="str">
        <f t="shared" ca="1" si="4"/>
        <v>Closed</v>
      </c>
      <c r="L95" t="str" cm="1">
        <f t="array" aca="1" ref="L95" ca="1">INDEX(AnalystList,RANDBETWEEN(1,ROWS(AnalystList)))</f>
        <v>Casey Brown</v>
      </c>
      <c r="M95" t="str" cm="1">
        <f t="array" aca="1" ref="M95" ca="1">INDEX(RootCauseList,RANDBETWEEN(1,ROWS(RootCauseList)))</f>
        <v>Configuration Issue</v>
      </c>
      <c r="N95">
        <f t="shared" ca="1" si="7"/>
        <v>0.45</v>
      </c>
      <c r="O95">
        <f ca="1">IF(OR(IncidentTable[[#This Row],[Status]]="Resolved",IncidentTable[[#This Row],[Status]]="Closed"),
ROUND(IncidentTable[[#This Row],[Estimated Impact ($)]]*(1+RANDBETWEEN(-15,25)/100)+RAND(),2),
"")</f>
        <v>1.26</v>
      </c>
      <c r="P95">
        <f ca="1">IF(IncidentTable[[#This Row],[Actual Impact ($)]]="","",ROUND(IncidentTable[[#This Row],[Actual Impact ($)]]-IncidentTable[[#This Row],[Estimated Impact ($)]],2))</f>
        <v>0.81</v>
      </c>
      <c r="Q95" s="2">
        <f ca="1">IF(IncidentTable[[#This Row],[Actual Impact ($)]]="","",(IncidentTable[[#This Row],[Actual Impact ($)]]-IncidentTable[[#This Row],[Estimated Impact ($)]]) / IncidentTable[[#This Row],[Estimated Impact ($)]])</f>
        <v>1.8</v>
      </c>
      <c r="R95" s="3">
        <f ca="1">IF(IncidentTable[[#This Row],[Priority]]="Critical",1,
IF(IncidentTable[[#This Row],[Priority]]="High",3,
IF(IncidentTable[[#This Row],[Priority]]="Medium",5,
IF(IncidentTable[[#This Row],[Priority]]="Low",10,""))))</f>
        <v>3</v>
      </c>
      <c r="S95" t="str">
        <f ca="1">IF(IncidentTable[[#This Row],[Resolution Time (Days)]]="","",
IF(IncidentTable[[#This Row],[Resolution Time (Days)]]&lt;=IncidentTable[[#This Row],[SLA Target (Days)]],"Yes","No"))</f>
        <v>No</v>
      </c>
    </row>
    <row r="96" spans="1:19" x14ac:dyDescent="0.25">
      <c r="A96" t="str">
        <f t="shared" ca="1" si="5"/>
        <v>INC459660</v>
      </c>
      <c r="B96" t="str" cm="1">
        <f t="array" aca="1" ref="B96" ca="1">INDEX(SystemList,RANDBETWEEN(1,ROWS(SystemList)))</f>
        <v>Customer Portal</v>
      </c>
      <c r="C96" t="str" cm="1">
        <f t="array" aca="1" ref="C96" ca="1">INDEX(IssueTypeList,RANDBETWEEN(1,ROWS(IssueTypeList)))</f>
        <v>Data Issue</v>
      </c>
      <c r="D96" t="str" cm="1">
        <f t="array" aca="1" ref="D96" ca="1">INDEX(PriorityList,RANDBETWEEN(1,ROWS(PriorityList)))</f>
        <v>Medium</v>
      </c>
      <c r="E96" t="str" cm="1">
        <f t="array" aca="1" ref="E96" ca="1">INDEX(SeverityList,RANDBETWEEN(1,ROWS(SeverityList)))</f>
        <v>Critical</v>
      </c>
      <c r="F96" t="str" cm="1">
        <f t="array" aca="1" ref="F96" ca="1">INDEX(RegionList,RANDBETWEEN(1,ROWS(RegionList)))</f>
        <v>East</v>
      </c>
      <c r="G96" t="str" cm="1">
        <f t="array" aca="1" ref="G96" ca="1">INDEX(DepartmentList,RANDBETWEEN(1,ROWS(DepartmentList)))</f>
        <v>IT</v>
      </c>
      <c r="H96" s="1">
        <f t="shared" ca="1" si="6"/>
        <v>45344</v>
      </c>
      <c r="I96" s="4" t="str">
        <f ca="1">IF(IncidentTable[[#This Row],[Resolution Time (Days)]]="","",IncidentTable[[#This Row],[Created Date]]+IncidentTable[[#This Row],[Resolution Time (Days)]])</f>
        <v/>
      </c>
      <c r="J96" t="str">
        <f ca="1">IF(OR(IncidentTable[[#This Row],[Status]]="Resolved",IncidentTable[[#This Row],[Status]]="Closed"),RANDBETWEEN(1,120),"")</f>
        <v/>
      </c>
      <c r="K96" t="str">
        <f t="shared" ca="1" si="4"/>
        <v>Pending</v>
      </c>
      <c r="L96" t="str" cm="1">
        <f t="array" aca="1" ref="L96" ca="1">INDEX(AnalystList,RANDBETWEEN(1,ROWS(AnalystList)))</f>
        <v>Casey Brown</v>
      </c>
      <c r="M96" t="str" cm="1">
        <f t="array" aca="1" ref="M96" ca="1">INDEX(RootCauseList,RANDBETWEEN(1,ROWS(RootCauseList)))</f>
        <v>Data Error</v>
      </c>
      <c r="N96">
        <f t="shared" ca="1" si="7"/>
        <v>2028.26</v>
      </c>
      <c r="O96" t="str">
        <f ca="1">IF(OR(IncidentTable[[#This Row],[Status]]="Resolved",IncidentTable[[#This Row],[Status]]="Closed"),
ROUND(IncidentTable[[#This Row],[Estimated Impact ($)]]*(1+RANDBETWEEN(-15,25)/100)+RAND(),2),
"")</f>
        <v/>
      </c>
      <c r="P96" t="str">
        <f ca="1">IF(IncidentTable[[#This Row],[Actual Impact ($)]]="","",ROUND(IncidentTable[[#This Row],[Actual Impact ($)]]-IncidentTable[[#This Row],[Estimated Impact ($)]],2))</f>
        <v/>
      </c>
      <c r="Q96" s="2" t="str">
        <f ca="1">IF(IncidentTable[[#This Row],[Actual Impact ($)]]="","",(IncidentTable[[#This Row],[Actual Impact ($)]]-IncidentTable[[#This Row],[Estimated Impact ($)]]) / IncidentTable[[#This Row],[Estimated Impact ($)]])</f>
        <v/>
      </c>
      <c r="R96" s="3">
        <f ca="1">IF(IncidentTable[[#This Row],[Priority]]="Critical",1,
IF(IncidentTable[[#This Row],[Priority]]="High",3,
IF(IncidentTable[[#This Row],[Priority]]="Medium",5,
IF(IncidentTable[[#This Row],[Priority]]="Low",10,""))))</f>
        <v>5</v>
      </c>
      <c r="S96" t="str">
        <f ca="1">IF(IncidentTable[[#This Row],[Resolution Time (Days)]]="","",
IF(IncidentTable[[#This Row],[Resolution Time (Days)]]&lt;=IncidentTable[[#This Row],[SLA Target (Days)]],"Yes","No"))</f>
        <v/>
      </c>
    </row>
    <row r="97" spans="1:19" x14ac:dyDescent="0.25">
      <c r="A97" t="str">
        <f t="shared" ca="1" si="5"/>
        <v>INC534306</v>
      </c>
      <c r="B97" t="str" cm="1">
        <f t="array" aca="1" ref="B97" ca="1">INDEX(SystemList,RANDBETWEEN(1,ROWS(SystemList)))</f>
        <v>Customer Portal</v>
      </c>
      <c r="C97" t="str" cm="1">
        <f t="array" aca="1" ref="C97" ca="1">INDEX(IssueTypeList,RANDBETWEEN(1,ROWS(IssueTypeList)))</f>
        <v>Payment Failure</v>
      </c>
      <c r="D97" t="str" cm="1">
        <f t="array" aca="1" ref="D97" ca="1">INDEX(PriorityList,RANDBETWEEN(1,ROWS(PriorityList)))</f>
        <v>High</v>
      </c>
      <c r="E97" t="str" cm="1">
        <f t="array" aca="1" ref="E97" ca="1">INDEX(SeverityList,RANDBETWEEN(1,ROWS(SeverityList)))</f>
        <v>Critical</v>
      </c>
      <c r="F97" t="str" cm="1">
        <f t="array" aca="1" ref="F97" ca="1">INDEX(RegionList,RANDBETWEEN(1,ROWS(RegionList)))</f>
        <v>Central</v>
      </c>
      <c r="G97" t="str" cm="1">
        <f t="array" aca="1" ref="G97" ca="1">INDEX(DepartmentList,RANDBETWEEN(1,ROWS(DepartmentList)))</f>
        <v>Compliance</v>
      </c>
      <c r="H97" s="1">
        <f t="shared" ca="1" si="6"/>
        <v>44978</v>
      </c>
      <c r="I97" s="4" t="str">
        <f ca="1">IF(IncidentTable[[#This Row],[Resolution Time (Days)]]="","",IncidentTable[[#This Row],[Created Date]]+IncidentTable[[#This Row],[Resolution Time (Days)]])</f>
        <v/>
      </c>
      <c r="J97" t="str">
        <f ca="1">IF(OR(IncidentTable[[#This Row],[Status]]="Resolved",IncidentTable[[#This Row],[Status]]="Closed"),RANDBETWEEN(1,120),"")</f>
        <v/>
      </c>
      <c r="K97" t="str">
        <f t="shared" ca="1" si="4"/>
        <v>Open</v>
      </c>
      <c r="L97" t="str" cm="1">
        <f t="array" aca="1" ref="L97" ca="1">INDEX(AnalystList,RANDBETWEEN(1,ROWS(AnalystList)))</f>
        <v>Morgan Davis</v>
      </c>
      <c r="M97" t="str" cm="1">
        <f t="array" aca="1" ref="M97" ca="1">INDEX(RootCauseList,RANDBETWEEN(1,ROWS(RootCauseList)))</f>
        <v>User Error</v>
      </c>
      <c r="N97">
        <f t="shared" ca="1" si="7"/>
        <v>451.11</v>
      </c>
      <c r="O97" t="str">
        <f ca="1">IF(OR(IncidentTable[[#This Row],[Status]]="Resolved",IncidentTable[[#This Row],[Status]]="Closed"),
ROUND(IncidentTable[[#This Row],[Estimated Impact ($)]]*(1+RANDBETWEEN(-15,25)/100)+RAND(),2),
"")</f>
        <v/>
      </c>
      <c r="P97" t="str">
        <f ca="1">IF(IncidentTable[[#This Row],[Actual Impact ($)]]="","",ROUND(IncidentTable[[#This Row],[Actual Impact ($)]]-IncidentTable[[#This Row],[Estimated Impact ($)]],2))</f>
        <v/>
      </c>
      <c r="Q97" s="2" t="str">
        <f ca="1">IF(IncidentTable[[#This Row],[Actual Impact ($)]]="","",(IncidentTable[[#This Row],[Actual Impact ($)]]-IncidentTable[[#This Row],[Estimated Impact ($)]]) / IncidentTable[[#This Row],[Estimated Impact ($)]])</f>
        <v/>
      </c>
      <c r="R97" s="3">
        <f ca="1">IF(IncidentTable[[#This Row],[Priority]]="Critical",1,
IF(IncidentTable[[#This Row],[Priority]]="High",3,
IF(IncidentTable[[#This Row],[Priority]]="Medium",5,
IF(IncidentTable[[#This Row],[Priority]]="Low",10,""))))</f>
        <v>3</v>
      </c>
      <c r="S97" t="str">
        <f ca="1">IF(IncidentTable[[#This Row],[Resolution Time (Days)]]="","",
IF(IncidentTable[[#This Row],[Resolution Time (Days)]]&lt;=IncidentTable[[#This Row],[SLA Target (Days)]],"Yes","No"))</f>
        <v/>
      </c>
    </row>
    <row r="98" spans="1:19" x14ac:dyDescent="0.25">
      <c r="A98" t="str">
        <f t="shared" ca="1" si="5"/>
        <v>INC159388</v>
      </c>
      <c r="B98" t="str" cm="1">
        <f t="array" aca="1" ref="B98" ca="1">INDEX(SystemList,RANDBETWEEN(1,ROWS(SystemList)))</f>
        <v>Billing System</v>
      </c>
      <c r="C98" t="str" cm="1">
        <f t="array" aca="1" ref="C98" ca="1">INDEX(IssueTypeList,RANDBETWEEN(1,ROWS(IssueTypeList)))</f>
        <v>Processing Delay</v>
      </c>
      <c r="D98" t="str" cm="1">
        <f t="array" aca="1" ref="D98" ca="1">INDEX(PriorityList,RANDBETWEEN(1,ROWS(PriorityList)))</f>
        <v>Critical</v>
      </c>
      <c r="E98" t="str" cm="1">
        <f t="array" aca="1" ref="E98" ca="1">INDEX(SeverityList,RANDBETWEEN(1,ROWS(SeverityList)))</f>
        <v>Critical</v>
      </c>
      <c r="F98" t="str" cm="1">
        <f t="array" aca="1" ref="F98" ca="1">INDEX(RegionList,RANDBETWEEN(1,ROWS(RegionList)))</f>
        <v>East</v>
      </c>
      <c r="G98" t="str" cm="1">
        <f t="array" aca="1" ref="G98" ca="1">INDEX(DepartmentList,RANDBETWEEN(1,ROWS(DepartmentList)))</f>
        <v>Customer Service</v>
      </c>
      <c r="H98" s="1">
        <f t="shared" ca="1" si="6"/>
        <v>45049</v>
      </c>
      <c r="I98" s="4" t="str">
        <f ca="1">IF(IncidentTable[[#This Row],[Resolution Time (Days)]]="","",IncidentTable[[#This Row],[Created Date]]+IncidentTable[[#This Row],[Resolution Time (Days)]])</f>
        <v/>
      </c>
      <c r="J98" t="str">
        <f ca="1">IF(OR(IncidentTable[[#This Row],[Status]]="Resolved",IncidentTable[[#This Row],[Status]]="Closed"),RANDBETWEEN(1,120),"")</f>
        <v/>
      </c>
      <c r="K98" t="str">
        <f t="shared" ca="1" si="4"/>
        <v>Open</v>
      </c>
      <c r="L98" t="str" cm="1">
        <f t="array" aca="1" ref="L98" ca="1">INDEX(AnalystList,RANDBETWEEN(1,ROWS(AnalystList)))</f>
        <v>Alex Johnson</v>
      </c>
      <c r="M98" t="str" cm="1">
        <f t="array" aca="1" ref="M98" ca="1">INDEX(RootCauseList,RANDBETWEEN(1,ROWS(RootCauseList)))</f>
        <v>System Bug</v>
      </c>
      <c r="N98">
        <f t="shared" ca="1" si="7"/>
        <v>158.94</v>
      </c>
      <c r="O98" t="str">
        <f ca="1">IF(OR(IncidentTable[[#This Row],[Status]]="Resolved",IncidentTable[[#This Row],[Status]]="Closed"),
ROUND(IncidentTable[[#This Row],[Estimated Impact ($)]]*(1+RANDBETWEEN(-15,25)/100)+RAND(),2),
"")</f>
        <v/>
      </c>
      <c r="P98" t="str">
        <f ca="1">IF(IncidentTable[[#This Row],[Actual Impact ($)]]="","",ROUND(IncidentTable[[#This Row],[Actual Impact ($)]]-IncidentTable[[#This Row],[Estimated Impact ($)]],2))</f>
        <v/>
      </c>
      <c r="Q98" s="2" t="str">
        <f ca="1">IF(IncidentTable[[#This Row],[Actual Impact ($)]]="","",(IncidentTable[[#This Row],[Actual Impact ($)]]-IncidentTable[[#This Row],[Estimated Impact ($)]]) / IncidentTable[[#This Row],[Estimated Impact ($)]])</f>
        <v/>
      </c>
      <c r="R98" s="3">
        <f ca="1">IF(IncidentTable[[#This Row],[Priority]]="Critical",1,
IF(IncidentTable[[#This Row],[Priority]]="High",3,
IF(IncidentTable[[#This Row],[Priority]]="Medium",5,
IF(IncidentTable[[#This Row],[Priority]]="Low",10,""))))</f>
        <v>1</v>
      </c>
      <c r="S98" t="str">
        <f ca="1">IF(IncidentTable[[#This Row],[Resolution Time (Days)]]="","",
IF(IncidentTable[[#This Row],[Resolution Time (Days)]]&lt;=IncidentTable[[#This Row],[SLA Target (Days)]],"Yes","No"))</f>
        <v/>
      </c>
    </row>
    <row r="99" spans="1:19" x14ac:dyDescent="0.25">
      <c r="A99" t="str">
        <f t="shared" ca="1" si="5"/>
        <v>INC888609</v>
      </c>
      <c r="B99" t="str" cm="1">
        <f t="array" aca="1" ref="B99" ca="1">INDEX(SystemList,RANDBETWEEN(1,ROWS(SystemList)))</f>
        <v>Policy Admin System</v>
      </c>
      <c r="C99" t="str" cm="1">
        <f t="array" aca="1" ref="C99" ca="1">INDEX(IssueTypeList,RANDBETWEEN(1,ROWS(IssueTypeList)))</f>
        <v>Integration Failure</v>
      </c>
      <c r="D99" t="str" cm="1">
        <f t="array" aca="1" ref="D99" ca="1">INDEX(PriorityList,RANDBETWEEN(1,ROWS(PriorityList)))</f>
        <v>Critical</v>
      </c>
      <c r="E99" t="str" cm="1">
        <f t="array" aca="1" ref="E99" ca="1">INDEX(SeverityList,RANDBETWEEN(1,ROWS(SeverityList)))</f>
        <v>Critical</v>
      </c>
      <c r="F99" t="str" cm="1">
        <f t="array" aca="1" ref="F99" ca="1">INDEX(RegionList,RANDBETWEEN(1,ROWS(RegionList)))</f>
        <v>Midwest</v>
      </c>
      <c r="G99" t="str" cm="1">
        <f t="array" aca="1" ref="G99" ca="1">INDEX(DepartmentList,RANDBETWEEN(1,ROWS(DepartmentList)))</f>
        <v>Claims</v>
      </c>
      <c r="H99" s="1">
        <f t="shared" ca="1" si="6"/>
        <v>45110</v>
      </c>
      <c r="I99" s="4" t="str">
        <f ca="1">IF(IncidentTable[[#This Row],[Resolution Time (Days)]]="","",IncidentTable[[#This Row],[Created Date]]+IncidentTable[[#This Row],[Resolution Time (Days)]])</f>
        <v/>
      </c>
      <c r="J99" t="str">
        <f ca="1">IF(OR(IncidentTable[[#This Row],[Status]]="Resolved",IncidentTable[[#This Row],[Status]]="Closed"),RANDBETWEEN(1,120),"")</f>
        <v/>
      </c>
      <c r="K99" t="str">
        <f t="shared" ca="1" si="4"/>
        <v>Pending</v>
      </c>
      <c r="L99" t="str" cm="1">
        <f t="array" aca="1" ref="L99" ca="1">INDEX(AnalystList,RANDBETWEEN(1,ROWS(AnalystList)))</f>
        <v>Morgan Davis</v>
      </c>
      <c r="M99" t="str" cm="1">
        <f t="array" aca="1" ref="M99" ca="1">INDEX(RootCauseList,RANDBETWEEN(1,ROWS(RootCauseList)))</f>
        <v>Unknown</v>
      </c>
      <c r="N99">
        <f t="shared" ca="1" si="7"/>
        <v>1972.61</v>
      </c>
      <c r="O99" t="str">
        <f ca="1">IF(OR(IncidentTable[[#This Row],[Status]]="Resolved",IncidentTable[[#This Row],[Status]]="Closed"),
ROUND(IncidentTable[[#This Row],[Estimated Impact ($)]]*(1+RANDBETWEEN(-15,25)/100)+RAND(),2),
"")</f>
        <v/>
      </c>
      <c r="P99" t="str">
        <f ca="1">IF(IncidentTable[[#This Row],[Actual Impact ($)]]="","",ROUND(IncidentTable[[#This Row],[Actual Impact ($)]]-IncidentTable[[#This Row],[Estimated Impact ($)]],2))</f>
        <v/>
      </c>
      <c r="Q99" s="2" t="str">
        <f ca="1">IF(IncidentTable[[#This Row],[Actual Impact ($)]]="","",(IncidentTable[[#This Row],[Actual Impact ($)]]-IncidentTable[[#This Row],[Estimated Impact ($)]]) / IncidentTable[[#This Row],[Estimated Impact ($)]])</f>
        <v/>
      </c>
      <c r="R99" s="3">
        <f ca="1">IF(IncidentTable[[#This Row],[Priority]]="Critical",1,
IF(IncidentTable[[#This Row],[Priority]]="High",3,
IF(IncidentTable[[#This Row],[Priority]]="Medium",5,
IF(IncidentTable[[#This Row],[Priority]]="Low",10,""))))</f>
        <v>1</v>
      </c>
      <c r="S99" t="str">
        <f ca="1">IF(IncidentTable[[#This Row],[Resolution Time (Days)]]="","",
IF(IncidentTable[[#This Row],[Resolution Time (Days)]]&lt;=IncidentTable[[#This Row],[SLA Target (Days)]],"Yes","No"))</f>
        <v/>
      </c>
    </row>
    <row r="100" spans="1:19" x14ac:dyDescent="0.25">
      <c r="A100" t="str">
        <f t="shared" ca="1" si="5"/>
        <v>INC580503</v>
      </c>
      <c r="B100" t="str" cm="1">
        <f t="array" aca="1" ref="B100" ca="1">INDEX(SystemList,RANDBETWEEN(1,ROWS(SystemList)))</f>
        <v>Claims System</v>
      </c>
      <c r="C100" t="str" cm="1">
        <f t="array" aca="1" ref="C100" ca="1">INDEX(IssueTypeList,RANDBETWEEN(1,ROWS(IssueTypeList)))</f>
        <v>User Access Issue</v>
      </c>
      <c r="D100" t="str" cm="1">
        <f t="array" aca="1" ref="D100" ca="1">INDEX(PriorityList,RANDBETWEEN(1,ROWS(PriorityList)))</f>
        <v>Critical</v>
      </c>
      <c r="E100" t="str" cm="1">
        <f t="array" aca="1" ref="E100" ca="1">INDEX(SeverityList,RANDBETWEEN(1,ROWS(SeverityList)))</f>
        <v>Major</v>
      </c>
      <c r="F100" t="str" cm="1">
        <f t="array" aca="1" ref="F100" ca="1">INDEX(RegionList,RANDBETWEEN(1,ROWS(RegionList)))</f>
        <v>East</v>
      </c>
      <c r="G100" t="str" cm="1">
        <f t="array" aca="1" ref="G100" ca="1">INDEX(DepartmentList,RANDBETWEEN(1,ROWS(DepartmentList)))</f>
        <v>Customer Service</v>
      </c>
      <c r="H100" s="1">
        <f t="shared" ca="1" si="6"/>
        <v>45136</v>
      </c>
      <c r="I100" s="4" t="str">
        <f ca="1">IF(IncidentTable[[#This Row],[Resolution Time (Days)]]="","",IncidentTable[[#This Row],[Created Date]]+IncidentTable[[#This Row],[Resolution Time (Days)]])</f>
        <v/>
      </c>
      <c r="J100" t="str">
        <f ca="1">IF(OR(IncidentTable[[#This Row],[Status]]="Resolved",IncidentTable[[#This Row],[Status]]="Closed"),RANDBETWEEN(1,120),"")</f>
        <v/>
      </c>
      <c r="K100" t="str">
        <f t="shared" ca="1" si="4"/>
        <v>Pending</v>
      </c>
      <c r="L100" t="str" cm="1">
        <f t="array" aca="1" ref="L100" ca="1">INDEX(AnalystList,RANDBETWEEN(1,ROWS(AnalystList)))</f>
        <v>Alex Johnson</v>
      </c>
      <c r="M100" t="str" cm="1">
        <f t="array" aca="1" ref="M100" ca="1">INDEX(RootCauseList,RANDBETWEEN(1,ROWS(RootCauseList)))</f>
        <v>Process Gap</v>
      </c>
      <c r="N100">
        <f t="shared" ca="1" si="7"/>
        <v>29650.82</v>
      </c>
      <c r="O100" t="str">
        <f ca="1">IF(OR(IncidentTable[[#This Row],[Status]]="Resolved",IncidentTable[[#This Row],[Status]]="Closed"),
ROUND(IncidentTable[[#This Row],[Estimated Impact ($)]]*(1+RANDBETWEEN(-15,25)/100)+RAND(),2),
"")</f>
        <v/>
      </c>
      <c r="P100" t="str">
        <f ca="1">IF(IncidentTable[[#This Row],[Actual Impact ($)]]="","",ROUND(IncidentTable[[#This Row],[Actual Impact ($)]]-IncidentTable[[#This Row],[Estimated Impact ($)]],2))</f>
        <v/>
      </c>
      <c r="Q100" s="2" t="str">
        <f ca="1">IF(IncidentTable[[#This Row],[Actual Impact ($)]]="","",(IncidentTable[[#This Row],[Actual Impact ($)]]-IncidentTable[[#This Row],[Estimated Impact ($)]]) / IncidentTable[[#This Row],[Estimated Impact ($)]])</f>
        <v/>
      </c>
      <c r="R100" s="3">
        <f ca="1">IF(IncidentTable[[#This Row],[Priority]]="Critical",1,
IF(IncidentTable[[#This Row],[Priority]]="High",3,
IF(IncidentTable[[#This Row],[Priority]]="Medium",5,
IF(IncidentTable[[#This Row],[Priority]]="Low",10,""))))</f>
        <v>1</v>
      </c>
      <c r="S100" t="str">
        <f ca="1">IF(IncidentTable[[#This Row],[Resolution Time (Days)]]="","",
IF(IncidentTable[[#This Row],[Resolution Time (Days)]]&lt;=IncidentTable[[#This Row],[SLA Target (Days)]],"Yes","No"))</f>
        <v/>
      </c>
    </row>
    <row r="101" spans="1:19" x14ac:dyDescent="0.25">
      <c r="A101" t="str">
        <f t="shared" ca="1" si="5"/>
        <v>INC529272</v>
      </c>
      <c r="B101" t="str" cm="1">
        <f t="array" aca="1" ref="B101" ca="1">INDEX(SystemList,RANDBETWEEN(1,ROWS(SystemList)))</f>
        <v>Reporting System</v>
      </c>
      <c r="C101" t="str" cm="1">
        <f t="array" aca="1" ref="C101" ca="1">INDEX(IssueTypeList,RANDBETWEEN(1,ROWS(IssueTypeList)))</f>
        <v>System Error</v>
      </c>
      <c r="D101" t="str" cm="1">
        <f t="array" aca="1" ref="D101" ca="1">INDEX(PriorityList,RANDBETWEEN(1,ROWS(PriorityList)))</f>
        <v>High</v>
      </c>
      <c r="E101" t="str" cm="1">
        <f t="array" aca="1" ref="E101" ca="1">INDEX(SeverityList,RANDBETWEEN(1,ROWS(SeverityList)))</f>
        <v>Minor</v>
      </c>
      <c r="F101" t="str" cm="1">
        <f t="array" aca="1" ref="F101" ca="1">INDEX(RegionList,RANDBETWEEN(1,ROWS(RegionList)))</f>
        <v>West</v>
      </c>
      <c r="G101" t="str" cm="1">
        <f t="array" aca="1" ref="G101" ca="1">INDEX(DepartmentList,RANDBETWEEN(1,ROWS(DepartmentList)))</f>
        <v>Claims</v>
      </c>
      <c r="H101" s="1">
        <f t="shared" ca="1" si="6"/>
        <v>45198</v>
      </c>
      <c r="I101" s="4">
        <f ca="1">IF(IncidentTable[[#This Row],[Resolution Time (Days)]]="","",IncidentTable[[#This Row],[Created Date]]+IncidentTable[[#This Row],[Resolution Time (Days)]])</f>
        <v>45218</v>
      </c>
      <c r="J101">
        <f ca="1">IF(OR(IncidentTable[[#This Row],[Status]]="Resolved",IncidentTable[[#This Row],[Status]]="Closed"),RANDBETWEEN(1,120),"")</f>
        <v>20</v>
      </c>
      <c r="K101" t="str">
        <f t="shared" ca="1" si="4"/>
        <v>Closed</v>
      </c>
      <c r="L101" t="str" cm="1">
        <f t="array" aca="1" ref="L101" ca="1">INDEX(AnalystList,RANDBETWEEN(1,ROWS(AnalystList)))</f>
        <v>Morgan Davis</v>
      </c>
      <c r="M101" t="str" cm="1">
        <f t="array" aca="1" ref="M101" ca="1">INDEX(RootCauseList,RANDBETWEEN(1,ROWS(RootCauseList)))</f>
        <v>Unknown</v>
      </c>
      <c r="N101">
        <f t="shared" ca="1" si="7"/>
        <v>9532.39</v>
      </c>
      <c r="O101">
        <f ca="1">IF(OR(IncidentTable[[#This Row],[Status]]="Resolved",IncidentTable[[#This Row],[Status]]="Closed"),
ROUND(IncidentTable[[#This Row],[Estimated Impact ($)]]*(1+RANDBETWEEN(-15,25)/100)+RAND(),2),
"")</f>
        <v>8675.25</v>
      </c>
      <c r="P101">
        <f ca="1">IF(IncidentTable[[#This Row],[Actual Impact ($)]]="","",ROUND(IncidentTable[[#This Row],[Actual Impact ($)]]-IncidentTable[[#This Row],[Estimated Impact ($)]],2))</f>
        <v>-857.14</v>
      </c>
      <c r="Q101" s="2">
        <f ca="1">IF(IncidentTable[[#This Row],[Actual Impact ($)]]="","",(IncidentTable[[#This Row],[Actual Impact ($)]]-IncidentTable[[#This Row],[Estimated Impact ($)]]) / IncidentTable[[#This Row],[Estimated Impact ($)]])</f>
        <v>-8.9918687758264143E-2</v>
      </c>
      <c r="R101" s="3">
        <f ca="1">IF(IncidentTable[[#This Row],[Priority]]="Critical",1,
IF(IncidentTable[[#This Row],[Priority]]="High",3,
IF(IncidentTable[[#This Row],[Priority]]="Medium",5,
IF(IncidentTable[[#This Row],[Priority]]="Low",10,""))))</f>
        <v>3</v>
      </c>
      <c r="S101" t="str">
        <f ca="1">IF(IncidentTable[[#This Row],[Resolution Time (Days)]]="","",
IF(IncidentTable[[#This Row],[Resolution Time (Days)]]&lt;=IncidentTable[[#This Row],[SLA Target (Days)]],"Yes","No"))</f>
        <v>No</v>
      </c>
    </row>
    <row r="102" spans="1:19" x14ac:dyDescent="0.25">
      <c r="A102" t="str">
        <f t="shared" ca="1" si="5"/>
        <v>INC935030</v>
      </c>
      <c r="B102" t="str" cm="1">
        <f t="array" aca="1" ref="B102" ca="1">INDEX(SystemList,RANDBETWEEN(1,ROWS(SystemList)))</f>
        <v>Customer Portal</v>
      </c>
      <c r="C102" t="str" cm="1">
        <f t="array" aca="1" ref="C102" ca="1">INDEX(IssueTypeList,RANDBETWEEN(1,ROWS(IssueTypeList)))</f>
        <v>Complaint</v>
      </c>
      <c r="D102" t="str" cm="1">
        <f t="array" aca="1" ref="D102" ca="1">INDEX(PriorityList,RANDBETWEEN(1,ROWS(PriorityList)))</f>
        <v>Low</v>
      </c>
      <c r="E102" t="str" cm="1">
        <f t="array" aca="1" ref="E102" ca="1">INDEX(SeverityList,RANDBETWEEN(1,ROWS(SeverityList)))</f>
        <v>Major</v>
      </c>
      <c r="F102" t="str" cm="1">
        <f t="array" aca="1" ref="F102" ca="1">INDEX(RegionList,RANDBETWEEN(1,ROWS(RegionList)))</f>
        <v>West</v>
      </c>
      <c r="G102" t="str" cm="1">
        <f t="array" aca="1" ref="G102" ca="1">INDEX(DepartmentList,RANDBETWEEN(1,ROWS(DepartmentList)))</f>
        <v>IT</v>
      </c>
      <c r="H102" s="1">
        <f t="shared" ca="1" si="6"/>
        <v>45004</v>
      </c>
      <c r="I102" s="4">
        <f ca="1">IF(IncidentTable[[#This Row],[Resolution Time (Days)]]="","",IncidentTable[[#This Row],[Created Date]]+IncidentTable[[#This Row],[Resolution Time (Days)]])</f>
        <v>45107</v>
      </c>
      <c r="J102">
        <f ca="1">IF(OR(IncidentTable[[#This Row],[Status]]="Resolved",IncidentTable[[#This Row],[Status]]="Closed"),RANDBETWEEN(1,120),"")</f>
        <v>103</v>
      </c>
      <c r="K102" t="str">
        <f t="shared" ca="1" si="4"/>
        <v>Resolved</v>
      </c>
      <c r="L102" t="str" cm="1">
        <f t="array" aca="1" ref="L102" ca="1">INDEX(AnalystList,RANDBETWEEN(1,ROWS(AnalystList)))</f>
        <v>Casey Brown</v>
      </c>
      <c r="M102" t="str" cm="1">
        <f t="array" aca="1" ref="M102" ca="1">INDEX(RootCauseList,RANDBETWEEN(1,ROWS(RootCauseList)))</f>
        <v>Data Error</v>
      </c>
      <c r="N102">
        <f t="shared" ca="1" si="7"/>
        <v>23.81</v>
      </c>
      <c r="O102">
        <f ca="1">IF(OR(IncidentTable[[#This Row],[Status]]="Resolved",IncidentTable[[#This Row],[Status]]="Closed"),
ROUND(IncidentTable[[#This Row],[Estimated Impact ($)]]*(1+RANDBETWEEN(-15,25)/100)+RAND(),2),
"")</f>
        <v>25.92</v>
      </c>
      <c r="P102">
        <f ca="1">IF(IncidentTable[[#This Row],[Actual Impact ($)]]="","",ROUND(IncidentTable[[#This Row],[Actual Impact ($)]]-IncidentTable[[#This Row],[Estimated Impact ($)]],2))</f>
        <v>2.11</v>
      </c>
      <c r="Q102" s="2">
        <f ca="1">IF(IncidentTable[[#This Row],[Actual Impact ($)]]="","",(IncidentTable[[#This Row],[Actual Impact ($)]]-IncidentTable[[#This Row],[Estimated Impact ($)]]) / IncidentTable[[#This Row],[Estimated Impact ($)]])</f>
        <v>8.8618227635447425E-2</v>
      </c>
      <c r="R102" s="3">
        <f ca="1">IF(IncidentTable[[#This Row],[Priority]]="Critical",1,
IF(IncidentTable[[#This Row],[Priority]]="High",3,
IF(IncidentTable[[#This Row],[Priority]]="Medium",5,
IF(IncidentTable[[#This Row],[Priority]]="Low",10,""))))</f>
        <v>10</v>
      </c>
      <c r="S102" t="str">
        <f ca="1">IF(IncidentTable[[#This Row],[Resolution Time (Days)]]="","",
IF(IncidentTable[[#This Row],[Resolution Time (Days)]]&lt;=IncidentTable[[#This Row],[SLA Target (Days)]],"Yes","No"))</f>
        <v>No</v>
      </c>
    </row>
    <row r="103" spans="1:19" x14ac:dyDescent="0.25">
      <c r="A103" t="str">
        <f t="shared" ca="1" si="5"/>
        <v>INC847809</v>
      </c>
      <c r="B103" t="str" cm="1">
        <f t="array" aca="1" ref="B103" ca="1">INDEX(SystemList,RANDBETWEEN(1,ROWS(SystemList)))</f>
        <v>Policy Admin System</v>
      </c>
      <c r="C103" t="str" cm="1">
        <f t="array" aca="1" ref="C103" ca="1">INDEX(IssueTypeList,RANDBETWEEN(1,ROWS(IssueTypeList)))</f>
        <v>Processing Delay</v>
      </c>
      <c r="D103" t="str" cm="1">
        <f t="array" aca="1" ref="D103" ca="1">INDEX(PriorityList,RANDBETWEEN(1,ROWS(PriorityList)))</f>
        <v>High</v>
      </c>
      <c r="E103" t="str" cm="1">
        <f t="array" aca="1" ref="E103" ca="1">INDEX(SeverityList,RANDBETWEEN(1,ROWS(SeverityList)))</f>
        <v>Major</v>
      </c>
      <c r="F103" t="str" cm="1">
        <f t="array" aca="1" ref="F103" ca="1">INDEX(RegionList,RANDBETWEEN(1,ROWS(RegionList)))</f>
        <v>East</v>
      </c>
      <c r="G103" t="str" cm="1">
        <f t="array" aca="1" ref="G103" ca="1">INDEX(DepartmentList,RANDBETWEEN(1,ROWS(DepartmentList)))</f>
        <v>Claims</v>
      </c>
      <c r="H103" s="1">
        <f t="shared" ca="1" si="6"/>
        <v>45366</v>
      </c>
      <c r="I103" s="4">
        <f ca="1">IF(IncidentTable[[#This Row],[Resolution Time (Days)]]="","",IncidentTable[[#This Row],[Created Date]]+IncidentTable[[#This Row],[Resolution Time (Days)]])</f>
        <v>45449</v>
      </c>
      <c r="J103">
        <f ca="1">IF(OR(IncidentTable[[#This Row],[Status]]="Resolved",IncidentTable[[#This Row],[Status]]="Closed"),RANDBETWEEN(1,120),"")</f>
        <v>83</v>
      </c>
      <c r="K103" t="str">
        <f t="shared" ca="1" si="4"/>
        <v>Closed</v>
      </c>
      <c r="L103" t="str" cm="1">
        <f t="array" aca="1" ref="L103" ca="1">INDEX(AnalystList,RANDBETWEEN(1,ROWS(AnalystList)))</f>
        <v>Riley Wilson</v>
      </c>
      <c r="M103" t="str" cm="1">
        <f t="array" aca="1" ref="M103" ca="1">INDEX(RootCauseList,RANDBETWEEN(1,ROWS(RootCauseList)))</f>
        <v>Integration Failure</v>
      </c>
      <c r="N103">
        <f t="shared" ca="1" si="7"/>
        <v>25379.82</v>
      </c>
      <c r="O103">
        <f ca="1">IF(OR(IncidentTable[[#This Row],[Status]]="Resolved",IncidentTable[[#This Row],[Status]]="Closed"),
ROUND(IncidentTable[[#This Row],[Estimated Impact ($)]]*(1+RANDBETWEEN(-15,25)/100)+RAND(),2),
"")</f>
        <v>23096.2</v>
      </c>
      <c r="P103">
        <f ca="1">IF(IncidentTable[[#This Row],[Actual Impact ($)]]="","",ROUND(IncidentTable[[#This Row],[Actual Impact ($)]]-IncidentTable[[#This Row],[Estimated Impact ($)]],2))</f>
        <v>-2283.62</v>
      </c>
      <c r="Q103" s="2">
        <f ca="1">IF(IncidentTable[[#This Row],[Actual Impact ($)]]="","",(IncidentTable[[#This Row],[Actual Impact ($)]]-IncidentTable[[#This Row],[Estimated Impact ($)]]) / IncidentTable[[#This Row],[Estimated Impact ($)]])</f>
        <v>-8.9977785500448743E-2</v>
      </c>
      <c r="R103" s="3">
        <f ca="1">IF(IncidentTable[[#This Row],[Priority]]="Critical",1,
IF(IncidentTable[[#This Row],[Priority]]="High",3,
IF(IncidentTable[[#This Row],[Priority]]="Medium",5,
IF(IncidentTable[[#This Row],[Priority]]="Low",10,""))))</f>
        <v>3</v>
      </c>
      <c r="S103" t="str">
        <f ca="1">IF(IncidentTable[[#This Row],[Resolution Time (Days)]]="","",
IF(IncidentTable[[#This Row],[Resolution Time (Days)]]&lt;=IncidentTable[[#This Row],[SLA Target (Days)]],"Yes","No"))</f>
        <v>No</v>
      </c>
    </row>
    <row r="104" spans="1:19" x14ac:dyDescent="0.25">
      <c r="A104" t="str">
        <f t="shared" ca="1" si="5"/>
        <v>INC164518</v>
      </c>
      <c r="B104" t="str" cm="1">
        <f t="array" aca="1" ref="B104" ca="1">INDEX(SystemList,RANDBETWEEN(1,ROWS(SystemList)))</f>
        <v>Payment Processing</v>
      </c>
      <c r="C104" t="str" cm="1">
        <f t="array" aca="1" ref="C104" ca="1">INDEX(IssueTypeList,RANDBETWEEN(1,ROWS(IssueTypeList)))</f>
        <v>User Access Issue</v>
      </c>
      <c r="D104" t="str" cm="1">
        <f t="array" aca="1" ref="D104" ca="1">INDEX(PriorityList,RANDBETWEEN(1,ROWS(PriorityList)))</f>
        <v>Medium</v>
      </c>
      <c r="E104" t="str" cm="1">
        <f t="array" aca="1" ref="E104" ca="1">INDEX(SeverityList,RANDBETWEEN(1,ROWS(SeverityList)))</f>
        <v>Minor</v>
      </c>
      <c r="F104" t="str" cm="1">
        <f t="array" aca="1" ref="F104" ca="1">INDEX(RegionList,RANDBETWEEN(1,ROWS(RegionList)))</f>
        <v>Southeast</v>
      </c>
      <c r="G104" t="str" cm="1">
        <f t="array" aca="1" ref="G104" ca="1">INDEX(DepartmentList,RANDBETWEEN(1,ROWS(DepartmentList)))</f>
        <v>IT</v>
      </c>
      <c r="H104" s="1">
        <f t="shared" ca="1" si="6"/>
        <v>45302</v>
      </c>
      <c r="I104" s="4">
        <f ca="1">IF(IncidentTable[[#This Row],[Resolution Time (Days)]]="","",IncidentTable[[#This Row],[Created Date]]+IncidentTable[[#This Row],[Resolution Time (Days)]])</f>
        <v>45396</v>
      </c>
      <c r="J104">
        <f ca="1">IF(OR(IncidentTable[[#This Row],[Status]]="Resolved",IncidentTable[[#This Row],[Status]]="Closed"),RANDBETWEEN(1,120),"")</f>
        <v>94</v>
      </c>
      <c r="K104" t="str">
        <f t="shared" ca="1" si="4"/>
        <v>Resolved</v>
      </c>
      <c r="L104" t="str" cm="1">
        <f t="array" aca="1" ref="L104" ca="1">INDEX(AnalystList,RANDBETWEEN(1,ROWS(AnalystList)))</f>
        <v>Morgan Davis</v>
      </c>
      <c r="M104" t="str" cm="1">
        <f t="array" aca="1" ref="M104" ca="1">INDEX(RootCauseList,RANDBETWEEN(1,ROWS(RootCauseList)))</f>
        <v>Unknown</v>
      </c>
      <c r="N104">
        <f t="shared" ca="1" si="7"/>
        <v>0</v>
      </c>
      <c r="O104">
        <f ca="1">IF(OR(IncidentTable[[#This Row],[Status]]="Resolved",IncidentTable[[#This Row],[Status]]="Closed"),
ROUND(IncidentTable[[#This Row],[Estimated Impact ($)]]*(1+RANDBETWEEN(-15,25)/100)+RAND(),2),
"")</f>
        <v>0.2</v>
      </c>
      <c r="P104">
        <f ca="1">IF(IncidentTable[[#This Row],[Actual Impact ($)]]="","",ROUND(IncidentTable[[#This Row],[Actual Impact ($)]]-IncidentTable[[#This Row],[Estimated Impact ($)]],2))</f>
        <v>0.2</v>
      </c>
      <c r="Q104" s="2" t="e">
        <f ca="1">IF(IncidentTable[[#This Row],[Actual Impact ($)]]="","",(IncidentTable[[#This Row],[Actual Impact ($)]]-IncidentTable[[#This Row],[Estimated Impact ($)]]) / IncidentTable[[#This Row],[Estimated Impact ($)]])</f>
        <v>#DIV/0!</v>
      </c>
      <c r="R104" s="3">
        <f ca="1">IF(IncidentTable[[#This Row],[Priority]]="Critical",1,
IF(IncidentTable[[#This Row],[Priority]]="High",3,
IF(IncidentTable[[#This Row],[Priority]]="Medium",5,
IF(IncidentTable[[#This Row],[Priority]]="Low",10,""))))</f>
        <v>5</v>
      </c>
      <c r="S104" t="str">
        <f ca="1">IF(IncidentTable[[#This Row],[Resolution Time (Days)]]="","",
IF(IncidentTable[[#This Row],[Resolution Time (Days)]]&lt;=IncidentTable[[#This Row],[SLA Target (Days)]],"Yes","No"))</f>
        <v>No</v>
      </c>
    </row>
    <row r="105" spans="1:19" x14ac:dyDescent="0.25">
      <c r="A105" t="str">
        <f t="shared" ca="1" si="5"/>
        <v>INC199148</v>
      </c>
      <c r="B105" t="str" cm="1">
        <f t="array" aca="1" ref="B105" ca="1">INDEX(SystemList,RANDBETWEEN(1,ROWS(SystemList)))</f>
        <v>Regulatory System</v>
      </c>
      <c r="C105" t="str" cm="1">
        <f t="array" aca="1" ref="C105" ca="1">INDEX(IssueTypeList,RANDBETWEEN(1,ROWS(IssueTypeList)))</f>
        <v>Integration Failure</v>
      </c>
      <c r="D105" t="str" cm="1">
        <f t="array" aca="1" ref="D105" ca="1">INDEX(PriorityList,RANDBETWEEN(1,ROWS(PriorityList)))</f>
        <v>Low</v>
      </c>
      <c r="E105" t="str" cm="1">
        <f t="array" aca="1" ref="E105" ca="1">INDEX(SeverityList,RANDBETWEEN(1,ROWS(SeverityList)))</f>
        <v>Major</v>
      </c>
      <c r="F105" t="str" cm="1">
        <f t="array" aca="1" ref="F105" ca="1">INDEX(RegionList,RANDBETWEEN(1,ROWS(RegionList)))</f>
        <v>Central</v>
      </c>
      <c r="G105" t="str" cm="1">
        <f t="array" aca="1" ref="G105" ca="1">INDEX(DepartmentList,RANDBETWEEN(1,ROWS(DepartmentList)))</f>
        <v>Compliance</v>
      </c>
      <c r="H105" s="1">
        <f t="shared" ca="1" si="6"/>
        <v>45306</v>
      </c>
      <c r="I105" s="4" t="str">
        <f ca="1">IF(IncidentTable[[#This Row],[Resolution Time (Days)]]="","",IncidentTable[[#This Row],[Created Date]]+IncidentTable[[#This Row],[Resolution Time (Days)]])</f>
        <v/>
      </c>
      <c r="J105" t="str">
        <f ca="1">IF(OR(IncidentTable[[#This Row],[Status]]="Resolved",IncidentTable[[#This Row],[Status]]="Closed"),RANDBETWEEN(1,120),"")</f>
        <v/>
      </c>
      <c r="K105" t="str">
        <f t="shared" ca="1" si="4"/>
        <v>In Progress</v>
      </c>
      <c r="L105" t="str" cm="1">
        <f t="array" aca="1" ref="L105" ca="1">INDEX(AnalystList,RANDBETWEEN(1,ROWS(AnalystList)))</f>
        <v>Riley Wilson</v>
      </c>
      <c r="M105" t="str" cm="1">
        <f t="array" aca="1" ref="M105" ca="1">INDEX(RootCauseList,RANDBETWEEN(1,ROWS(RootCauseList)))</f>
        <v>Data Error</v>
      </c>
      <c r="N105">
        <f t="shared" ca="1" si="7"/>
        <v>3030.35</v>
      </c>
      <c r="O105" t="str">
        <f ca="1">IF(OR(IncidentTable[[#This Row],[Status]]="Resolved",IncidentTable[[#This Row],[Status]]="Closed"),
ROUND(IncidentTable[[#This Row],[Estimated Impact ($)]]*(1+RANDBETWEEN(-15,25)/100)+RAND(),2),
"")</f>
        <v/>
      </c>
      <c r="P105" t="str">
        <f ca="1">IF(IncidentTable[[#This Row],[Actual Impact ($)]]="","",ROUND(IncidentTable[[#This Row],[Actual Impact ($)]]-IncidentTable[[#This Row],[Estimated Impact ($)]],2))</f>
        <v/>
      </c>
      <c r="Q105" s="2" t="str">
        <f ca="1">IF(IncidentTable[[#This Row],[Actual Impact ($)]]="","",(IncidentTable[[#This Row],[Actual Impact ($)]]-IncidentTable[[#This Row],[Estimated Impact ($)]]) / IncidentTable[[#This Row],[Estimated Impact ($)]])</f>
        <v/>
      </c>
      <c r="R105" s="3">
        <f ca="1">IF(IncidentTable[[#This Row],[Priority]]="Critical",1,
IF(IncidentTable[[#This Row],[Priority]]="High",3,
IF(IncidentTable[[#This Row],[Priority]]="Medium",5,
IF(IncidentTable[[#This Row],[Priority]]="Low",10,""))))</f>
        <v>10</v>
      </c>
      <c r="S105" t="str">
        <f ca="1">IF(IncidentTable[[#This Row],[Resolution Time (Days)]]="","",
IF(IncidentTable[[#This Row],[Resolution Time (Days)]]&lt;=IncidentTable[[#This Row],[SLA Target (Days)]],"Yes","No"))</f>
        <v/>
      </c>
    </row>
    <row r="106" spans="1:19" x14ac:dyDescent="0.25">
      <c r="A106" t="str">
        <f t="shared" ca="1" si="5"/>
        <v>INC872202</v>
      </c>
      <c r="B106" t="str" cm="1">
        <f t="array" aca="1" ref="B106" ca="1">INDEX(SystemList,RANDBETWEEN(1,ROWS(SystemList)))</f>
        <v>Regulatory System</v>
      </c>
      <c r="C106" t="str" cm="1">
        <f t="array" aca="1" ref="C106" ca="1">INDEX(IssueTypeList,RANDBETWEEN(1,ROWS(IssueTypeList)))</f>
        <v>Payment Failure</v>
      </c>
      <c r="D106" t="str" cm="1">
        <f t="array" aca="1" ref="D106" ca="1">INDEX(PriorityList,RANDBETWEEN(1,ROWS(PriorityList)))</f>
        <v>Critical</v>
      </c>
      <c r="E106" t="str" cm="1">
        <f t="array" aca="1" ref="E106" ca="1">INDEX(SeverityList,RANDBETWEEN(1,ROWS(SeverityList)))</f>
        <v>Major</v>
      </c>
      <c r="F106" t="str" cm="1">
        <f t="array" aca="1" ref="F106" ca="1">INDEX(RegionList,RANDBETWEEN(1,ROWS(RegionList)))</f>
        <v>West</v>
      </c>
      <c r="G106" t="str" cm="1">
        <f t="array" aca="1" ref="G106" ca="1">INDEX(DepartmentList,RANDBETWEEN(1,ROWS(DepartmentList)))</f>
        <v>Customer Service</v>
      </c>
      <c r="H106" s="1">
        <f t="shared" ca="1" si="6"/>
        <v>45147</v>
      </c>
      <c r="I106" s="4">
        <f ca="1">IF(IncidentTable[[#This Row],[Resolution Time (Days)]]="","",IncidentTable[[#This Row],[Created Date]]+IncidentTable[[#This Row],[Resolution Time (Days)]])</f>
        <v>45191</v>
      </c>
      <c r="J106">
        <f ca="1">IF(OR(IncidentTable[[#This Row],[Status]]="Resolved",IncidentTable[[#This Row],[Status]]="Closed"),RANDBETWEEN(1,120),"")</f>
        <v>44</v>
      </c>
      <c r="K106" t="str">
        <f t="shared" ca="1" si="4"/>
        <v>Closed</v>
      </c>
      <c r="L106" t="str" cm="1">
        <f t="array" aca="1" ref="L106" ca="1">INDEX(AnalystList,RANDBETWEEN(1,ROWS(AnalystList)))</f>
        <v>Jordan Lee</v>
      </c>
      <c r="M106" t="str" cm="1">
        <f t="array" aca="1" ref="M106" ca="1">INDEX(RootCauseList,RANDBETWEEN(1,ROWS(RootCauseList)))</f>
        <v>Unknown</v>
      </c>
      <c r="N106">
        <f t="shared" ca="1" si="7"/>
        <v>1245.31</v>
      </c>
      <c r="O106">
        <f ca="1">IF(OR(IncidentTable[[#This Row],[Status]]="Resolved",IncidentTable[[#This Row],[Status]]="Closed"),
ROUND(IncidentTable[[#This Row],[Estimated Impact ($)]]*(1+RANDBETWEEN(-15,25)/100)+RAND(),2),
"")</f>
        <v>1520.03</v>
      </c>
      <c r="P106">
        <f ca="1">IF(IncidentTable[[#This Row],[Actual Impact ($)]]="","",ROUND(IncidentTable[[#This Row],[Actual Impact ($)]]-IncidentTable[[#This Row],[Estimated Impact ($)]],2))</f>
        <v>274.72000000000003</v>
      </c>
      <c r="Q106" s="2">
        <f ca="1">IF(IncidentTable[[#This Row],[Actual Impact ($)]]="","",(IncidentTable[[#This Row],[Actual Impact ($)]]-IncidentTable[[#This Row],[Estimated Impact ($)]]) / IncidentTable[[#This Row],[Estimated Impact ($)]])</f>
        <v>0.22060370510154101</v>
      </c>
      <c r="R106" s="3">
        <f ca="1">IF(IncidentTable[[#This Row],[Priority]]="Critical",1,
IF(IncidentTable[[#This Row],[Priority]]="High",3,
IF(IncidentTable[[#This Row],[Priority]]="Medium",5,
IF(IncidentTable[[#This Row],[Priority]]="Low",10,""))))</f>
        <v>1</v>
      </c>
      <c r="S106" t="str">
        <f ca="1">IF(IncidentTable[[#This Row],[Resolution Time (Days)]]="","",
IF(IncidentTable[[#This Row],[Resolution Time (Days)]]&lt;=IncidentTable[[#This Row],[SLA Target (Days)]],"Yes","No"))</f>
        <v>No</v>
      </c>
    </row>
    <row r="107" spans="1:19" x14ac:dyDescent="0.25">
      <c r="A107" t="str">
        <f t="shared" ca="1" si="5"/>
        <v>INC897572</v>
      </c>
      <c r="B107" t="str" cm="1">
        <f t="array" aca="1" ref="B107" ca="1">INDEX(SystemList,RANDBETWEEN(1,ROWS(SystemList)))</f>
        <v>Payment Processing</v>
      </c>
      <c r="C107" t="str" cm="1">
        <f t="array" aca="1" ref="C107" ca="1">INDEX(IssueTypeList,RANDBETWEEN(1,ROWS(IssueTypeList)))</f>
        <v>Data Issue</v>
      </c>
      <c r="D107" t="str" cm="1">
        <f t="array" aca="1" ref="D107" ca="1">INDEX(PriorityList,RANDBETWEEN(1,ROWS(PriorityList)))</f>
        <v>Critical</v>
      </c>
      <c r="E107" t="str" cm="1">
        <f t="array" aca="1" ref="E107" ca="1">INDEX(SeverityList,RANDBETWEEN(1,ROWS(SeverityList)))</f>
        <v>Critical</v>
      </c>
      <c r="F107" t="str" cm="1">
        <f t="array" aca="1" ref="F107" ca="1">INDEX(RegionList,RANDBETWEEN(1,ROWS(RegionList)))</f>
        <v>East</v>
      </c>
      <c r="G107" t="str" cm="1">
        <f t="array" aca="1" ref="G107" ca="1">INDEX(DepartmentList,RANDBETWEEN(1,ROWS(DepartmentList)))</f>
        <v>Customer Service</v>
      </c>
      <c r="H107" s="1">
        <f t="shared" ca="1" si="6"/>
        <v>45047</v>
      </c>
      <c r="I107" s="4" t="str">
        <f ca="1">IF(IncidentTable[[#This Row],[Resolution Time (Days)]]="","",IncidentTable[[#This Row],[Created Date]]+IncidentTable[[#This Row],[Resolution Time (Days)]])</f>
        <v/>
      </c>
      <c r="J107" t="str">
        <f ca="1">IF(OR(IncidentTable[[#This Row],[Status]]="Resolved",IncidentTable[[#This Row],[Status]]="Closed"),RANDBETWEEN(1,120),"")</f>
        <v/>
      </c>
      <c r="K107" t="str">
        <f t="shared" ca="1" si="4"/>
        <v>Pending</v>
      </c>
      <c r="L107" t="str" cm="1">
        <f t="array" aca="1" ref="L107" ca="1">INDEX(AnalystList,RANDBETWEEN(1,ROWS(AnalystList)))</f>
        <v>Morgan Davis</v>
      </c>
      <c r="M107" t="str" cm="1">
        <f t="array" aca="1" ref="M107" ca="1">INDEX(RootCauseList,RANDBETWEEN(1,ROWS(RootCauseList)))</f>
        <v>Process Gap</v>
      </c>
      <c r="N107">
        <f t="shared" ca="1" si="7"/>
        <v>666.08</v>
      </c>
      <c r="O107" t="str">
        <f ca="1">IF(OR(IncidentTable[[#This Row],[Status]]="Resolved",IncidentTable[[#This Row],[Status]]="Closed"),
ROUND(IncidentTable[[#This Row],[Estimated Impact ($)]]*(1+RANDBETWEEN(-15,25)/100)+RAND(),2),
"")</f>
        <v/>
      </c>
      <c r="P107" t="str">
        <f ca="1">IF(IncidentTable[[#This Row],[Actual Impact ($)]]="","",ROUND(IncidentTable[[#This Row],[Actual Impact ($)]]-IncidentTable[[#This Row],[Estimated Impact ($)]],2))</f>
        <v/>
      </c>
      <c r="Q107" s="2" t="str">
        <f ca="1">IF(IncidentTable[[#This Row],[Actual Impact ($)]]="","",(IncidentTable[[#This Row],[Actual Impact ($)]]-IncidentTable[[#This Row],[Estimated Impact ($)]]) / IncidentTable[[#This Row],[Estimated Impact ($)]])</f>
        <v/>
      </c>
      <c r="R107" s="3">
        <f ca="1">IF(IncidentTable[[#This Row],[Priority]]="Critical",1,
IF(IncidentTable[[#This Row],[Priority]]="High",3,
IF(IncidentTable[[#This Row],[Priority]]="Medium",5,
IF(IncidentTable[[#This Row],[Priority]]="Low",10,""))))</f>
        <v>1</v>
      </c>
      <c r="S107" t="str">
        <f ca="1">IF(IncidentTable[[#This Row],[Resolution Time (Days)]]="","",
IF(IncidentTable[[#This Row],[Resolution Time (Days)]]&lt;=IncidentTable[[#This Row],[SLA Target (Days)]],"Yes","No"))</f>
        <v/>
      </c>
    </row>
    <row r="108" spans="1:19" x14ac:dyDescent="0.25">
      <c r="A108" t="str">
        <f t="shared" ca="1" si="5"/>
        <v>INC420230</v>
      </c>
      <c r="B108" t="str" cm="1">
        <f t="array" aca="1" ref="B108" ca="1">INDEX(SystemList,RANDBETWEEN(1,ROWS(SystemList)))</f>
        <v>Policy Admin System</v>
      </c>
      <c r="C108" t="str" cm="1">
        <f t="array" aca="1" ref="C108" ca="1">INDEX(IssueTypeList,RANDBETWEEN(1,ROWS(IssueTypeList)))</f>
        <v>User Access Issue</v>
      </c>
      <c r="D108" t="str" cm="1">
        <f t="array" aca="1" ref="D108" ca="1">INDEX(PriorityList,RANDBETWEEN(1,ROWS(PriorityList)))</f>
        <v>High</v>
      </c>
      <c r="E108" t="str" cm="1">
        <f t="array" aca="1" ref="E108" ca="1">INDEX(SeverityList,RANDBETWEEN(1,ROWS(SeverityList)))</f>
        <v>Critical</v>
      </c>
      <c r="F108" t="str" cm="1">
        <f t="array" aca="1" ref="F108" ca="1">INDEX(RegionList,RANDBETWEEN(1,ROWS(RegionList)))</f>
        <v>Midwest</v>
      </c>
      <c r="G108" t="str" cm="1">
        <f t="array" aca="1" ref="G108" ca="1">INDEX(DepartmentList,RANDBETWEEN(1,ROWS(DepartmentList)))</f>
        <v>Customer Service</v>
      </c>
      <c r="H108" s="1">
        <f t="shared" ca="1" si="6"/>
        <v>45466</v>
      </c>
      <c r="I108" s="4">
        <f ca="1">IF(IncidentTable[[#This Row],[Resolution Time (Days)]]="","",IncidentTable[[#This Row],[Created Date]]+IncidentTable[[#This Row],[Resolution Time (Days)]])</f>
        <v>45577</v>
      </c>
      <c r="J108">
        <f ca="1">IF(OR(IncidentTable[[#This Row],[Status]]="Resolved",IncidentTable[[#This Row],[Status]]="Closed"),RANDBETWEEN(1,120),"")</f>
        <v>111</v>
      </c>
      <c r="K108" t="str">
        <f t="shared" ca="1" si="4"/>
        <v>Closed</v>
      </c>
      <c r="L108" t="str" cm="1">
        <f t="array" aca="1" ref="L108" ca="1">INDEX(AnalystList,RANDBETWEEN(1,ROWS(AnalystList)))</f>
        <v>Casey Brown</v>
      </c>
      <c r="M108" t="str" cm="1">
        <f t="array" aca="1" ref="M108" ca="1">INDEX(RootCauseList,RANDBETWEEN(1,ROWS(RootCauseList)))</f>
        <v>Configuration Issue</v>
      </c>
      <c r="N108">
        <f t="shared" ca="1" si="7"/>
        <v>121.07</v>
      </c>
      <c r="O108">
        <f ca="1">IF(OR(IncidentTable[[#This Row],[Status]]="Resolved",IncidentTable[[#This Row],[Status]]="Closed"),
ROUND(IncidentTable[[#This Row],[Estimated Impact ($)]]*(1+RANDBETWEEN(-15,25)/100)+RAND(),2),
"")</f>
        <v>117.99</v>
      </c>
      <c r="P108">
        <f ca="1">IF(IncidentTable[[#This Row],[Actual Impact ($)]]="","",ROUND(IncidentTable[[#This Row],[Actual Impact ($)]]-IncidentTable[[#This Row],[Estimated Impact ($)]],2))</f>
        <v>-3.08</v>
      </c>
      <c r="Q108" s="2">
        <f ca="1">IF(IncidentTable[[#This Row],[Actual Impact ($)]]="","",(IncidentTable[[#This Row],[Actual Impact ($)]]-IncidentTable[[#This Row],[Estimated Impact ($)]]) / IncidentTable[[#This Row],[Estimated Impact ($)]])</f>
        <v>-2.5439828198562803E-2</v>
      </c>
      <c r="R108" s="3">
        <f ca="1">IF(IncidentTable[[#This Row],[Priority]]="Critical",1,
IF(IncidentTable[[#This Row],[Priority]]="High",3,
IF(IncidentTable[[#This Row],[Priority]]="Medium",5,
IF(IncidentTable[[#This Row],[Priority]]="Low",10,""))))</f>
        <v>3</v>
      </c>
      <c r="S108" t="str">
        <f ca="1">IF(IncidentTable[[#This Row],[Resolution Time (Days)]]="","",
IF(IncidentTable[[#This Row],[Resolution Time (Days)]]&lt;=IncidentTable[[#This Row],[SLA Target (Days)]],"Yes","No"))</f>
        <v>No</v>
      </c>
    </row>
    <row r="109" spans="1:19" x14ac:dyDescent="0.25">
      <c r="A109" t="str">
        <f t="shared" ca="1" si="5"/>
        <v>INC445683</v>
      </c>
      <c r="B109" t="str" cm="1">
        <f t="array" aca="1" ref="B109" ca="1">INDEX(SystemList,RANDBETWEEN(1,ROWS(SystemList)))</f>
        <v>Reporting System</v>
      </c>
      <c r="C109" t="str" cm="1">
        <f t="array" aca="1" ref="C109" ca="1">INDEX(IssueTypeList,RANDBETWEEN(1,ROWS(IssueTypeList)))</f>
        <v>Performance Issue</v>
      </c>
      <c r="D109" t="str" cm="1">
        <f t="array" aca="1" ref="D109" ca="1">INDEX(PriorityList,RANDBETWEEN(1,ROWS(PriorityList)))</f>
        <v>High</v>
      </c>
      <c r="E109" t="str" cm="1">
        <f t="array" aca="1" ref="E109" ca="1">INDEX(SeverityList,RANDBETWEEN(1,ROWS(SeverityList)))</f>
        <v>Moderate</v>
      </c>
      <c r="F109" t="str" cm="1">
        <f t="array" aca="1" ref="F109" ca="1">INDEX(RegionList,RANDBETWEEN(1,ROWS(RegionList)))</f>
        <v>Southeast</v>
      </c>
      <c r="G109" t="str" cm="1">
        <f t="array" aca="1" ref="G109" ca="1">INDEX(DepartmentList,RANDBETWEEN(1,ROWS(DepartmentList)))</f>
        <v>IT</v>
      </c>
      <c r="H109" s="1">
        <f t="shared" ca="1" si="6"/>
        <v>45150</v>
      </c>
      <c r="I109" s="4" t="str">
        <f ca="1">IF(IncidentTable[[#This Row],[Resolution Time (Days)]]="","",IncidentTable[[#This Row],[Created Date]]+IncidentTable[[#This Row],[Resolution Time (Days)]])</f>
        <v/>
      </c>
      <c r="J109" t="str">
        <f ca="1">IF(OR(IncidentTable[[#This Row],[Status]]="Resolved",IncidentTable[[#This Row],[Status]]="Closed"),RANDBETWEEN(1,120),"")</f>
        <v/>
      </c>
      <c r="K109" t="str">
        <f t="shared" ca="1" si="4"/>
        <v>In Progress</v>
      </c>
      <c r="L109" t="str" cm="1">
        <f t="array" aca="1" ref="L109" ca="1">INDEX(AnalystList,RANDBETWEEN(1,ROWS(AnalystList)))</f>
        <v>Morgan Davis</v>
      </c>
      <c r="M109" t="str" cm="1">
        <f t="array" aca="1" ref="M109" ca="1">INDEX(RootCauseList,RANDBETWEEN(1,ROWS(RootCauseList)))</f>
        <v>Process Gap</v>
      </c>
      <c r="N109">
        <f t="shared" ca="1" si="7"/>
        <v>125.59</v>
      </c>
      <c r="O109" t="str">
        <f ca="1">IF(OR(IncidentTable[[#This Row],[Status]]="Resolved",IncidentTable[[#This Row],[Status]]="Closed"),
ROUND(IncidentTable[[#This Row],[Estimated Impact ($)]]*(1+RANDBETWEEN(-15,25)/100)+RAND(),2),
"")</f>
        <v/>
      </c>
      <c r="P109" t="str">
        <f ca="1">IF(IncidentTable[[#This Row],[Actual Impact ($)]]="","",ROUND(IncidentTable[[#This Row],[Actual Impact ($)]]-IncidentTable[[#This Row],[Estimated Impact ($)]],2))</f>
        <v/>
      </c>
      <c r="Q109" s="2" t="str">
        <f ca="1">IF(IncidentTable[[#This Row],[Actual Impact ($)]]="","",(IncidentTable[[#This Row],[Actual Impact ($)]]-IncidentTable[[#This Row],[Estimated Impact ($)]]) / IncidentTable[[#This Row],[Estimated Impact ($)]])</f>
        <v/>
      </c>
      <c r="R109" s="3">
        <f ca="1">IF(IncidentTable[[#This Row],[Priority]]="Critical",1,
IF(IncidentTable[[#This Row],[Priority]]="High",3,
IF(IncidentTable[[#This Row],[Priority]]="Medium",5,
IF(IncidentTable[[#This Row],[Priority]]="Low",10,""))))</f>
        <v>3</v>
      </c>
      <c r="S109" t="str">
        <f ca="1">IF(IncidentTable[[#This Row],[Resolution Time (Days)]]="","",
IF(IncidentTable[[#This Row],[Resolution Time (Days)]]&lt;=IncidentTable[[#This Row],[SLA Target (Days)]],"Yes","No"))</f>
        <v/>
      </c>
    </row>
    <row r="110" spans="1:19" x14ac:dyDescent="0.25">
      <c r="A110" t="str">
        <f t="shared" ca="1" si="5"/>
        <v>INC115817</v>
      </c>
      <c r="B110" t="str" cm="1">
        <f t="array" aca="1" ref="B110" ca="1">INDEX(SystemList,RANDBETWEEN(1,ROWS(SystemList)))</f>
        <v>Customer Portal</v>
      </c>
      <c r="C110" t="str" cm="1">
        <f t="array" aca="1" ref="C110" ca="1">INDEX(IssueTypeList,RANDBETWEEN(1,ROWS(IssueTypeList)))</f>
        <v>Performance Issue</v>
      </c>
      <c r="D110" t="str" cm="1">
        <f t="array" aca="1" ref="D110" ca="1">INDEX(PriorityList,RANDBETWEEN(1,ROWS(PriorityList)))</f>
        <v>Critical</v>
      </c>
      <c r="E110" t="str" cm="1">
        <f t="array" aca="1" ref="E110" ca="1">INDEX(SeverityList,RANDBETWEEN(1,ROWS(SeverityList)))</f>
        <v>Minor</v>
      </c>
      <c r="F110" t="str" cm="1">
        <f t="array" aca="1" ref="F110" ca="1">INDEX(RegionList,RANDBETWEEN(1,ROWS(RegionList)))</f>
        <v>Midwest</v>
      </c>
      <c r="G110" t="str" cm="1">
        <f t="array" aca="1" ref="G110" ca="1">INDEX(DepartmentList,RANDBETWEEN(1,ROWS(DepartmentList)))</f>
        <v>Claims</v>
      </c>
      <c r="H110" s="1">
        <f t="shared" ca="1" si="6"/>
        <v>45096</v>
      </c>
      <c r="I110" s="4">
        <f ca="1">IF(IncidentTable[[#This Row],[Resolution Time (Days)]]="","",IncidentTable[[#This Row],[Created Date]]+IncidentTable[[#This Row],[Resolution Time (Days)]])</f>
        <v>45156</v>
      </c>
      <c r="J110">
        <f ca="1">IF(OR(IncidentTable[[#This Row],[Status]]="Resolved",IncidentTable[[#This Row],[Status]]="Closed"),RANDBETWEEN(1,120),"")</f>
        <v>60</v>
      </c>
      <c r="K110" t="str">
        <f t="shared" ca="1" si="4"/>
        <v>Resolved</v>
      </c>
      <c r="L110" t="str" cm="1">
        <f t="array" aca="1" ref="L110" ca="1">INDEX(AnalystList,RANDBETWEEN(1,ROWS(AnalystList)))</f>
        <v>Casey Brown</v>
      </c>
      <c r="M110" t="str" cm="1">
        <f t="array" aca="1" ref="M110" ca="1">INDEX(RootCauseList,RANDBETWEEN(1,ROWS(RootCauseList)))</f>
        <v>Integration Failure</v>
      </c>
      <c r="N110">
        <f t="shared" ca="1" si="7"/>
        <v>2763.07</v>
      </c>
      <c r="O110">
        <f ca="1">IF(OR(IncidentTable[[#This Row],[Status]]="Resolved",IncidentTable[[#This Row],[Status]]="Closed"),
ROUND(IncidentTable[[#This Row],[Estimated Impact ($)]]*(1+RANDBETWEEN(-15,25)/100)+RAND(),2),
"")</f>
        <v>2708.09</v>
      </c>
      <c r="P110">
        <f ca="1">IF(IncidentTable[[#This Row],[Actual Impact ($)]]="","",ROUND(IncidentTable[[#This Row],[Actual Impact ($)]]-IncidentTable[[#This Row],[Estimated Impact ($)]],2))</f>
        <v>-54.98</v>
      </c>
      <c r="Q110" s="2">
        <f ca="1">IF(IncidentTable[[#This Row],[Actual Impact ($)]]="","",(IncidentTable[[#This Row],[Actual Impact ($)]]-IncidentTable[[#This Row],[Estimated Impact ($)]]) / IncidentTable[[#This Row],[Estimated Impact ($)]])</f>
        <v>-1.9898156760415051E-2</v>
      </c>
      <c r="R110" s="3">
        <f ca="1">IF(IncidentTable[[#This Row],[Priority]]="Critical",1,
IF(IncidentTable[[#This Row],[Priority]]="High",3,
IF(IncidentTable[[#This Row],[Priority]]="Medium",5,
IF(IncidentTable[[#This Row],[Priority]]="Low",10,""))))</f>
        <v>1</v>
      </c>
      <c r="S110" t="str">
        <f ca="1">IF(IncidentTable[[#This Row],[Resolution Time (Days)]]="","",
IF(IncidentTable[[#This Row],[Resolution Time (Days)]]&lt;=IncidentTable[[#This Row],[SLA Target (Days)]],"Yes","No"))</f>
        <v>No</v>
      </c>
    </row>
    <row r="111" spans="1:19" x14ac:dyDescent="0.25">
      <c r="A111" t="str">
        <f t="shared" ca="1" si="5"/>
        <v>INC391617</v>
      </c>
      <c r="B111" t="str" cm="1">
        <f t="array" aca="1" ref="B111" ca="1">INDEX(SystemList,RANDBETWEEN(1,ROWS(SystemList)))</f>
        <v>Payment Processing</v>
      </c>
      <c r="C111" t="str" cm="1">
        <f t="array" aca="1" ref="C111" ca="1">INDEX(IssueTypeList,RANDBETWEEN(1,ROWS(IssueTypeList)))</f>
        <v>Payment Failure</v>
      </c>
      <c r="D111" t="str" cm="1">
        <f t="array" aca="1" ref="D111" ca="1">INDEX(PriorityList,RANDBETWEEN(1,ROWS(PriorityList)))</f>
        <v>Medium</v>
      </c>
      <c r="E111" t="str" cm="1">
        <f t="array" aca="1" ref="E111" ca="1">INDEX(SeverityList,RANDBETWEEN(1,ROWS(SeverityList)))</f>
        <v>Minor</v>
      </c>
      <c r="F111" t="str" cm="1">
        <f t="array" aca="1" ref="F111" ca="1">INDEX(RegionList,RANDBETWEEN(1,ROWS(RegionList)))</f>
        <v>West</v>
      </c>
      <c r="G111" t="str" cm="1">
        <f t="array" aca="1" ref="G111" ca="1">INDEX(DepartmentList,RANDBETWEEN(1,ROWS(DepartmentList)))</f>
        <v>Customer Service</v>
      </c>
      <c r="H111" s="1">
        <f t="shared" ca="1" si="6"/>
        <v>45148</v>
      </c>
      <c r="I111" s="4">
        <f ca="1">IF(IncidentTable[[#This Row],[Resolution Time (Days)]]="","",IncidentTable[[#This Row],[Created Date]]+IncidentTable[[#This Row],[Resolution Time (Days)]])</f>
        <v>45200</v>
      </c>
      <c r="J111">
        <f ca="1">IF(OR(IncidentTable[[#This Row],[Status]]="Resolved",IncidentTable[[#This Row],[Status]]="Closed"),RANDBETWEEN(1,120),"")</f>
        <v>52</v>
      </c>
      <c r="K111" t="str">
        <f t="shared" ca="1" si="4"/>
        <v>Closed</v>
      </c>
      <c r="L111" t="str" cm="1">
        <f t="array" aca="1" ref="L111" ca="1">INDEX(AnalystList,RANDBETWEEN(1,ROWS(AnalystList)))</f>
        <v>Jordan Lee</v>
      </c>
      <c r="M111" t="str" cm="1">
        <f t="array" aca="1" ref="M111" ca="1">INDEX(RootCauseList,RANDBETWEEN(1,ROWS(RootCauseList)))</f>
        <v>Configuration Issue</v>
      </c>
      <c r="N111">
        <f t="shared" ca="1" si="7"/>
        <v>1768.78</v>
      </c>
      <c r="O111">
        <f ca="1">IF(OR(IncidentTable[[#This Row],[Status]]="Resolved",IncidentTable[[#This Row],[Status]]="Closed"),
ROUND(IncidentTable[[#This Row],[Estimated Impact ($)]]*(1+RANDBETWEEN(-15,25)/100)+RAND(),2),
"")</f>
        <v>1610.09</v>
      </c>
      <c r="P111">
        <f ca="1">IF(IncidentTable[[#This Row],[Actual Impact ($)]]="","",ROUND(IncidentTable[[#This Row],[Actual Impact ($)]]-IncidentTable[[#This Row],[Estimated Impact ($)]],2))</f>
        <v>-158.69</v>
      </c>
      <c r="Q111" s="2">
        <f ca="1">IF(IncidentTable[[#This Row],[Actual Impact ($)]]="","",(IncidentTable[[#This Row],[Actual Impact ($)]]-IncidentTable[[#This Row],[Estimated Impact ($)]]) / IncidentTable[[#This Row],[Estimated Impact ($)]])</f>
        <v>-8.9717206209930039E-2</v>
      </c>
      <c r="R111" s="3">
        <f ca="1">IF(IncidentTable[[#This Row],[Priority]]="Critical",1,
IF(IncidentTable[[#This Row],[Priority]]="High",3,
IF(IncidentTable[[#This Row],[Priority]]="Medium",5,
IF(IncidentTable[[#This Row],[Priority]]="Low",10,""))))</f>
        <v>5</v>
      </c>
      <c r="S111" t="str">
        <f ca="1">IF(IncidentTable[[#This Row],[Resolution Time (Days)]]="","",
IF(IncidentTable[[#This Row],[Resolution Time (Days)]]&lt;=IncidentTable[[#This Row],[SLA Target (Days)]],"Yes","No"))</f>
        <v>No</v>
      </c>
    </row>
    <row r="112" spans="1:19" x14ac:dyDescent="0.25">
      <c r="A112" t="str">
        <f t="shared" ca="1" si="5"/>
        <v>INC264409</v>
      </c>
      <c r="B112" t="str" cm="1">
        <f t="array" aca="1" ref="B112" ca="1">INDEX(SystemList,RANDBETWEEN(1,ROWS(SystemList)))</f>
        <v>Payment Processing</v>
      </c>
      <c r="C112" t="str" cm="1">
        <f t="array" aca="1" ref="C112" ca="1">INDEX(IssueTypeList,RANDBETWEEN(1,ROWS(IssueTypeList)))</f>
        <v>Processing Delay</v>
      </c>
      <c r="D112" t="str" cm="1">
        <f t="array" aca="1" ref="D112" ca="1">INDEX(PriorityList,RANDBETWEEN(1,ROWS(PriorityList)))</f>
        <v>High</v>
      </c>
      <c r="E112" t="str" cm="1">
        <f t="array" aca="1" ref="E112" ca="1">INDEX(SeverityList,RANDBETWEEN(1,ROWS(SeverityList)))</f>
        <v>Critical</v>
      </c>
      <c r="F112" t="str" cm="1">
        <f t="array" aca="1" ref="F112" ca="1">INDEX(RegionList,RANDBETWEEN(1,ROWS(RegionList)))</f>
        <v>Southeast</v>
      </c>
      <c r="G112" t="str" cm="1">
        <f t="array" aca="1" ref="G112" ca="1">INDEX(DepartmentList,RANDBETWEEN(1,ROWS(DepartmentList)))</f>
        <v>Claims</v>
      </c>
      <c r="H112" s="1">
        <f t="shared" ca="1" si="6"/>
        <v>44934</v>
      </c>
      <c r="I112" s="4">
        <f ca="1">IF(IncidentTable[[#This Row],[Resolution Time (Days)]]="","",IncidentTable[[#This Row],[Created Date]]+IncidentTable[[#This Row],[Resolution Time (Days)]])</f>
        <v>44966</v>
      </c>
      <c r="J112">
        <f ca="1">IF(OR(IncidentTable[[#This Row],[Status]]="Resolved",IncidentTable[[#This Row],[Status]]="Closed"),RANDBETWEEN(1,120),"")</f>
        <v>32</v>
      </c>
      <c r="K112" t="str">
        <f t="shared" ca="1" si="4"/>
        <v>Resolved</v>
      </c>
      <c r="L112" t="str" cm="1">
        <f t="array" aca="1" ref="L112" ca="1">INDEX(AnalystList,RANDBETWEEN(1,ROWS(AnalystList)))</f>
        <v>Morgan Davis</v>
      </c>
      <c r="M112" t="str" cm="1">
        <f t="array" aca="1" ref="M112" ca="1">INDEX(RootCauseList,RANDBETWEEN(1,ROWS(RootCauseList)))</f>
        <v>Process Gap</v>
      </c>
      <c r="N112">
        <f t="shared" ca="1" si="7"/>
        <v>3020.52</v>
      </c>
      <c r="O112">
        <f ca="1">IF(OR(IncidentTable[[#This Row],[Status]]="Resolved",IncidentTable[[#This Row],[Status]]="Closed"),
ROUND(IncidentTable[[#This Row],[Estimated Impact ($)]]*(1+RANDBETWEEN(-15,25)/100)+RAND(),2),
"")</f>
        <v>2900.28</v>
      </c>
      <c r="P112">
        <f ca="1">IF(IncidentTable[[#This Row],[Actual Impact ($)]]="","",ROUND(IncidentTable[[#This Row],[Actual Impact ($)]]-IncidentTable[[#This Row],[Estimated Impact ($)]],2))</f>
        <v>-120.24</v>
      </c>
      <c r="Q112" s="2">
        <f ca="1">IF(IncidentTable[[#This Row],[Actual Impact ($)]]="","",(IncidentTable[[#This Row],[Actual Impact ($)]]-IncidentTable[[#This Row],[Estimated Impact ($)]]) / IncidentTable[[#This Row],[Estimated Impact ($)]])</f>
        <v>-3.9807715227841489E-2</v>
      </c>
      <c r="R112" s="3">
        <f ca="1">IF(IncidentTable[[#This Row],[Priority]]="Critical",1,
IF(IncidentTable[[#This Row],[Priority]]="High",3,
IF(IncidentTable[[#This Row],[Priority]]="Medium",5,
IF(IncidentTable[[#This Row],[Priority]]="Low",10,""))))</f>
        <v>3</v>
      </c>
      <c r="S112" t="str">
        <f ca="1">IF(IncidentTable[[#This Row],[Resolution Time (Days)]]="","",
IF(IncidentTable[[#This Row],[Resolution Time (Days)]]&lt;=IncidentTable[[#This Row],[SLA Target (Days)]],"Yes","No"))</f>
        <v>No</v>
      </c>
    </row>
    <row r="113" spans="1:19" x14ac:dyDescent="0.25">
      <c r="A113" t="str">
        <f t="shared" ca="1" si="5"/>
        <v>INC593294</v>
      </c>
      <c r="B113" t="str" cm="1">
        <f t="array" aca="1" ref="B113" ca="1">INDEX(SystemList,RANDBETWEEN(1,ROWS(SystemList)))</f>
        <v>Claims System</v>
      </c>
      <c r="C113" t="str" cm="1">
        <f t="array" aca="1" ref="C113" ca="1">INDEX(IssueTypeList,RANDBETWEEN(1,ROWS(IssueTypeList)))</f>
        <v>Complaint</v>
      </c>
      <c r="D113" t="str" cm="1">
        <f t="array" aca="1" ref="D113" ca="1">INDEX(PriorityList,RANDBETWEEN(1,ROWS(PriorityList)))</f>
        <v>Medium</v>
      </c>
      <c r="E113" t="str" cm="1">
        <f t="array" aca="1" ref="E113" ca="1">INDEX(SeverityList,RANDBETWEEN(1,ROWS(SeverityList)))</f>
        <v>Critical</v>
      </c>
      <c r="F113" t="str" cm="1">
        <f t="array" aca="1" ref="F113" ca="1">INDEX(RegionList,RANDBETWEEN(1,ROWS(RegionList)))</f>
        <v>East</v>
      </c>
      <c r="G113" t="str" cm="1">
        <f t="array" aca="1" ref="G113" ca="1">INDEX(DepartmentList,RANDBETWEEN(1,ROWS(DepartmentList)))</f>
        <v>Finance</v>
      </c>
      <c r="H113" s="1">
        <f t="shared" ca="1" si="6"/>
        <v>45100</v>
      </c>
      <c r="I113" s="4">
        <f ca="1">IF(IncidentTable[[#This Row],[Resolution Time (Days)]]="","",IncidentTable[[#This Row],[Created Date]]+IncidentTable[[#This Row],[Resolution Time (Days)]])</f>
        <v>45162</v>
      </c>
      <c r="J113">
        <f ca="1">IF(OR(IncidentTable[[#This Row],[Status]]="Resolved",IncidentTable[[#This Row],[Status]]="Closed"),RANDBETWEEN(1,120),"")</f>
        <v>62</v>
      </c>
      <c r="K113" t="str">
        <f t="shared" ca="1" si="4"/>
        <v>Resolved</v>
      </c>
      <c r="L113" t="str" cm="1">
        <f t="array" aca="1" ref="L113" ca="1">INDEX(AnalystList,RANDBETWEEN(1,ROWS(AnalystList)))</f>
        <v>Casey Brown</v>
      </c>
      <c r="M113" t="str" cm="1">
        <f t="array" aca="1" ref="M113" ca="1">INDEX(RootCauseList,RANDBETWEEN(1,ROWS(RootCauseList)))</f>
        <v>Unknown</v>
      </c>
      <c r="N113">
        <f t="shared" ca="1" si="7"/>
        <v>14947.7</v>
      </c>
      <c r="O113">
        <f ca="1">IF(OR(IncidentTable[[#This Row],[Status]]="Resolved",IncidentTable[[#This Row],[Status]]="Closed"),
ROUND(IncidentTable[[#This Row],[Estimated Impact ($)]]*(1+RANDBETWEEN(-15,25)/100)+RAND(),2),
"")</f>
        <v>17339.89</v>
      </c>
      <c r="P113">
        <f ca="1">IF(IncidentTable[[#This Row],[Actual Impact ($)]]="","",ROUND(IncidentTable[[#This Row],[Actual Impact ($)]]-IncidentTable[[#This Row],[Estimated Impact ($)]],2))</f>
        <v>2392.19</v>
      </c>
      <c r="Q113" s="2">
        <f ca="1">IF(IncidentTable[[#This Row],[Actual Impact ($)]]="","",(IncidentTable[[#This Row],[Actual Impact ($)]]-IncidentTable[[#This Row],[Estimated Impact ($)]]) / IncidentTable[[#This Row],[Estimated Impact ($)]])</f>
        <v>0.16003733015781682</v>
      </c>
      <c r="R113" s="3">
        <f ca="1">IF(IncidentTable[[#This Row],[Priority]]="Critical",1,
IF(IncidentTable[[#This Row],[Priority]]="High",3,
IF(IncidentTable[[#This Row],[Priority]]="Medium",5,
IF(IncidentTable[[#This Row],[Priority]]="Low",10,""))))</f>
        <v>5</v>
      </c>
      <c r="S113" t="str">
        <f ca="1">IF(IncidentTable[[#This Row],[Resolution Time (Days)]]="","",
IF(IncidentTable[[#This Row],[Resolution Time (Days)]]&lt;=IncidentTable[[#This Row],[SLA Target (Days)]],"Yes","No"))</f>
        <v>No</v>
      </c>
    </row>
    <row r="114" spans="1:19" x14ac:dyDescent="0.25">
      <c r="A114" t="str">
        <f t="shared" ca="1" si="5"/>
        <v>INC263937</v>
      </c>
      <c r="B114" t="str" cm="1">
        <f t="array" aca="1" ref="B114" ca="1">INDEX(SystemList,RANDBETWEEN(1,ROWS(SystemList)))</f>
        <v>Billing System</v>
      </c>
      <c r="C114" t="str" cm="1">
        <f t="array" aca="1" ref="C114" ca="1">INDEX(IssueTypeList,RANDBETWEEN(1,ROWS(IssueTypeList)))</f>
        <v>Integration Failure</v>
      </c>
      <c r="D114" t="str" cm="1">
        <f t="array" aca="1" ref="D114" ca="1">INDEX(PriorityList,RANDBETWEEN(1,ROWS(PriorityList)))</f>
        <v>Low</v>
      </c>
      <c r="E114" t="str" cm="1">
        <f t="array" aca="1" ref="E114" ca="1">INDEX(SeverityList,RANDBETWEEN(1,ROWS(SeverityList)))</f>
        <v>Minor</v>
      </c>
      <c r="F114" t="str" cm="1">
        <f t="array" aca="1" ref="F114" ca="1">INDEX(RegionList,RANDBETWEEN(1,ROWS(RegionList)))</f>
        <v>Midwest</v>
      </c>
      <c r="G114" t="str" cm="1">
        <f t="array" aca="1" ref="G114" ca="1">INDEX(DepartmentList,RANDBETWEEN(1,ROWS(DepartmentList)))</f>
        <v>IT</v>
      </c>
      <c r="H114" s="1">
        <f t="shared" ca="1" si="6"/>
        <v>45279</v>
      </c>
      <c r="I114" s="4">
        <f ca="1">IF(IncidentTable[[#This Row],[Resolution Time (Days)]]="","",IncidentTable[[#This Row],[Created Date]]+IncidentTable[[#This Row],[Resolution Time (Days)]])</f>
        <v>45283</v>
      </c>
      <c r="J114">
        <f ca="1">IF(OR(IncidentTable[[#This Row],[Status]]="Resolved",IncidentTable[[#This Row],[Status]]="Closed"),RANDBETWEEN(1,120),"")</f>
        <v>4</v>
      </c>
      <c r="K114" t="str">
        <f t="shared" ca="1" si="4"/>
        <v>Closed</v>
      </c>
      <c r="L114" t="str" cm="1">
        <f t="array" aca="1" ref="L114" ca="1">INDEX(AnalystList,RANDBETWEEN(1,ROWS(AnalystList)))</f>
        <v>Jordan Lee</v>
      </c>
      <c r="M114" t="str" cm="1">
        <f t="array" aca="1" ref="M114" ca="1">INDEX(RootCauseList,RANDBETWEEN(1,ROWS(RootCauseList)))</f>
        <v>Data Error</v>
      </c>
      <c r="N114">
        <f t="shared" ca="1" si="7"/>
        <v>28.25</v>
      </c>
      <c r="O114">
        <f ca="1">IF(OR(IncidentTable[[#This Row],[Status]]="Resolved",IncidentTable[[#This Row],[Status]]="Closed"),
ROUND(IncidentTable[[#This Row],[Estimated Impact ($)]]*(1+RANDBETWEEN(-15,25)/100)+RAND(),2),
"")</f>
        <v>34.14</v>
      </c>
      <c r="P114">
        <f ca="1">IF(IncidentTable[[#This Row],[Actual Impact ($)]]="","",ROUND(IncidentTable[[#This Row],[Actual Impact ($)]]-IncidentTable[[#This Row],[Estimated Impact ($)]],2))</f>
        <v>5.89</v>
      </c>
      <c r="Q114" s="2">
        <f ca="1">IF(IncidentTable[[#This Row],[Actual Impact ($)]]="","",(IncidentTable[[#This Row],[Actual Impact ($)]]-IncidentTable[[#This Row],[Estimated Impact ($)]]) / IncidentTable[[#This Row],[Estimated Impact ($)]])</f>
        <v>0.20849557522123896</v>
      </c>
      <c r="R114" s="3">
        <f ca="1">IF(IncidentTable[[#This Row],[Priority]]="Critical",1,
IF(IncidentTable[[#This Row],[Priority]]="High",3,
IF(IncidentTable[[#This Row],[Priority]]="Medium",5,
IF(IncidentTable[[#This Row],[Priority]]="Low",10,""))))</f>
        <v>10</v>
      </c>
      <c r="S114" t="str">
        <f ca="1">IF(IncidentTable[[#This Row],[Resolution Time (Days)]]="","",
IF(IncidentTable[[#This Row],[Resolution Time (Days)]]&lt;=IncidentTable[[#This Row],[SLA Target (Days)]],"Yes","No"))</f>
        <v>Yes</v>
      </c>
    </row>
    <row r="115" spans="1:19" x14ac:dyDescent="0.25">
      <c r="A115" t="str">
        <f t="shared" ca="1" si="5"/>
        <v>INC846178</v>
      </c>
      <c r="B115" t="str" cm="1">
        <f t="array" aca="1" ref="B115" ca="1">INDEX(SystemList,RANDBETWEEN(1,ROWS(SystemList)))</f>
        <v>Reporting System</v>
      </c>
      <c r="C115" t="str" cm="1">
        <f t="array" aca="1" ref="C115" ca="1">INDEX(IssueTypeList,RANDBETWEEN(1,ROWS(IssueTypeList)))</f>
        <v>Data Issue</v>
      </c>
      <c r="D115" t="str" cm="1">
        <f t="array" aca="1" ref="D115" ca="1">INDEX(PriorityList,RANDBETWEEN(1,ROWS(PriorityList)))</f>
        <v>High</v>
      </c>
      <c r="E115" t="str" cm="1">
        <f t="array" aca="1" ref="E115" ca="1">INDEX(SeverityList,RANDBETWEEN(1,ROWS(SeverityList)))</f>
        <v>Critical</v>
      </c>
      <c r="F115" t="str" cm="1">
        <f t="array" aca="1" ref="F115" ca="1">INDEX(RegionList,RANDBETWEEN(1,ROWS(RegionList)))</f>
        <v>Central</v>
      </c>
      <c r="G115" t="str" cm="1">
        <f t="array" aca="1" ref="G115" ca="1">INDEX(DepartmentList,RANDBETWEEN(1,ROWS(DepartmentList)))</f>
        <v>Customer Service</v>
      </c>
      <c r="H115" s="1">
        <f t="shared" ca="1" si="6"/>
        <v>44990</v>
      </c>
      <c r="I115" s="4">
        <f ca="1">IF(IncidentTable[[#This Row],[Resolution Time (Days)]]="","",IncidentTable[[#This Row],[Created Date]]+IncidentTable[[#This Row],[Resolution Time (Days)]])</f>
        <v>45093</v>
      </c>
      <c r="J115">
        <f ca="1">IF(OR(IncidentTable[[#This Row],[Status]]="Resolved",IncidentTable[[#This Row],[Status]]="Closed"),RANDBETWEEN(1,120),"")</f>
        <v>103</v>
      </c>
      <c r="K115" t="str">
        <f t="shared" ca="1" si="4"/>
        <v>Closed</v>
      </c>
      <c r="L115" t="str" cm="1">
        <f t="array" aca="1" ref="L115" ca="1">INDEX(AnalystList,RANDBETWEEN(1,ROWS(AnalystList)))</f>
        <v>Alex Johnson</v>
      </c>
      <c r="M115" t="str" cm="1">
        <f t="array" aca="1" ref="M115" ca="1">INDEX(RootCauseList,RANDBETWEEN(1,ROWS(RootCauseList)))</f>
        <v>Configuration Issue</v>
      </c>
      <c r="N115">
        <f t="shared" ca="1" si="7"/>
        <v>30.62</v>
      </c>
      <c r="O115">
        <f ca="1">IF(OR(IncidentTable[[#This Row],[Status]]="Resolved",IncidentTable[[#This Row],[Status]]="Closed"),
ROUND(IncidentTable[[#This Row],[Estimated Impact ($)]]*(1+RANDBETWEEN(-15,25)/100)+RAND(),2),
"")</f>
        <v>34.51</v>
      </c>
      <c r="P115">
        <f ca="1">IF(IncidentTable[[#This Row],[Actual Impact ($)]]="","",ROUND(IncidentTable[[#This Row],[Actual Impact ($)]]-IncidentTable[[#This Row],[Estimated Impact ($)]],2))</f>
        <v>3.89</v>
      </c>
      <c r="Q115" s="2">
        <f ca="1">IF(IncidentTable[[#This Row],[Actual Impact ($)]]="","",(IncidentTable[[#This Row],[Actual Impact ($)]]-IncidentTable[[#This Row],[Estimated Impact ($)]]) / IncidentTable[[#This Row],[Estimated Impact ($)]])</f>
        <v>0.1270411495754408</v>
      </c>
      <c r="R115" s="3">
        <f ca="1">IF(IncidentTable[[#This Row],[Priority]]="Critical",1,
IF(IncidentTable[[#This Row],[Priority]]="High",3,
IF(IncidentTable[[#This Row],[Priority]]="Medium",5,
IF(IncidentTable[[#This Row],[Priority]]="Low",10,""))))</f>
        <v>3</v>
      </c>
      <c r="S115" t="str">
        <f ca="1">IF(IncidentTable[[#This Row],[Resolution Time (Days)]]="","",
IF(IncidentTable[[#This Row],[Resolution Time (Days)]]&lt;=IncidentTable[[#This Row],[SLA Target (Days)]],"Yes","No"))</f>
        <v>No</v>
      </c>
    </row>
    <row r="116" spans="1:19" x14ac:dyDescent="0.25">
      <c r="A116" t="str">
        <f t="shared" ca="1" si="5"/>
        <v>INC412723</v>
      </c>
      <c r="B116" t="str" cm="1">
        <f t="array" aca="1" ref="B116" ca="1">INDEX(SystemList,RANDBETWEEN(1,ROWS(SystemList)))</f>
        <v>Billing System</v>
      </c>
      <c r="C116" t="str" cm="1">
        <f t="array" aca="1" ref="C116" ca="1">INDEX(IssueTypeList,RANDBETWEEN(1,ROWS(IssueTypeList)))</f>
        <v>User Access Issue</v>
      </c>
      <c r="D116" t="str" cm="1">
        <f t="array" aca="1" ref="D116" ca="1">INDEX(PriorityList,RANDBETWEEN(1,ROWS(PriorityList)))</f>
        <v>Critical</v>
      </c>
      <c r="E116" t="str" cm="1">
        <f t="array" aca="1" ref="E116" ca="1">INDEX(SeverityList,RANDBETWEEN(1,ROWS(SeverityList)))</f>
        <v>Major</v>
      </c>
      <c r="F116" t="str" cm="1">
        <f t="array" aca="1" ref="F116" ca="1">INDEX(RegionList,RANDBETWEEN(1,ROWS(RegionList)))</f>
        <v>East</v>
      </c>
      <c r="G116" t="str" cm="1">
        <f t="array" aca="1" ref="G116" ca="1">INDEX(DepartmentList,RANDBETWEEN(1,ROWS(DepartmentList)))</f>
        <v>Billing</v>
      </c>
      <c r="H116" s="1">
        <f t="shared" ca="1" si="6"/>
        <v>44998</v>
      </c>
      <c r="I116" s="4">
        <f ca="1">IF(IncidentTable[[#This Row],[Resolution Time (Days)]]="","",IncidentTable[[#This Row],[Created Date]]+IncidentTable[[#This Row],[Resolution Time (Days)]])</f>
        <v>45007</v>
      </c>
      <c r="J116">
        <f ca="1">IF(OR(IncidentTable[[#This Row],[Status]]="Resolved",IncidentTable[[#This Row],[Status]]="Closed"),RANDBETWEEN(1,120),"")</f>
        <v>9</v>
      </c>
      <c r="K116" t="str">
        <f t="shared" ca="1" si="4"/>
        <v>Resolved</v>
      </c>
      <c r="L116" t="str" cm="1">
        <f t="array" aca="1" ref="L116" ca="1">INDEX(AnalystList,RANDBETWEEN(1,ROWS(AnalystList)))</f>
        <v>Taylor Smith</v>
      </c>
      <c r="M116" t="str" cm="1">
        <f t="array" aca="1" ref="M116" ca="1">INDEX(RootCauseList,RANDBETWEEN(1,ROWS(RootCauseList)))</f>
        <v>Network Failure</v>
      </c>
      <c r="N116">
        <f t="shared" ca="1" si="7"/>
        <v>2776.28</v>
      </c>
      <c r="O116">
        <f ca="1">IF(OR(IncidentTable[[#This Row],[Status]]="Resolved",IncidentTable[[#This Row],[Status]]="Closed"),
ROUND(IncidentTable[[#This Row],[Estimated Impact ($)]]*(1+RANDBETWEEN(-15,25)/100)+RAND(),2),
"")</f>
        <v>2609.89</v>
      </c>
      <c r="P116">
        <f ca="1">IF(IncidentTable[[#This Row],[Actual Impact ($)]]="","",ROUND(IncidentTable[[#This Row],[Actual Impact ($)]]-IncidentTable[[#This Row],[Estimated Impact ($)]],2))</f>
        <v>-166.39</v>
      </c>
      <c r="Q116" s="2">
        <f ca="1">IF(IncidentTable[[#This Row],[Actual Impact ($)]]="","",(IncidentTable[[#This Row],[Actual Impact ($)]]-IncidentTable[[#This Row],[Estimated Impact ($)]]) / IncidentTable[[#This Row],[Estimated Impact ($)]])</f>
        <v>-5.9932715720316505E-2</v>
      </c>
      <c r="R116" s="3">
        <f ca="1">IF(IncidentTable[[#This Row],[Priority]]="Critical",1,
IF(IncidentTable[[#This Row],[Priority]]="High",3,
IF(IncidentTable[[#This Row],[Priority]]="Medium",5,
IF(IncidentTable[[#This Row],[Priority]]="Low",10,""))))</f>
        <v>1</v>
      </c>
      <c r="S116" t="str">
        <f ca="1">IF(IncidentTable[[#This Row],[Resolution Time (Days)]]="","",
IF(IncidentTable[[#This Row],[Resolution Time (Days)]]&lt;=IncidentTable[[#This Row],[SLA Target (Days)]],"Yes","No"))</f>
        <v>No</v>
      </c>
    </row>
    <row r="117" spans="1:19" x14ac:dyDescent="0.25">
      <c r="A117" t="str">
        <f t="shared" ca="1" si="5"/>
        <v>INC581405</v>
      </c>
      <c r="B117" t="str" cm="1">
        <f t="array" aca="1" ref="B117" ca="1">INDEX(SystemList,RANDBETWEEN(1,ROWS(SystemList)))</f>
        <v>Reporting System</v>
      </c>
      <c r="C117" t="str" cm="1">
        <f t="array" aca="1" ref="C117" ca="1">INDEX(IssueTypeList,RANDBETWEEN(1,ROWS(IssueTypeList)))</f>
        <v>Integration Failure</v>
      </c>
      <c r="D117" t="str" cm="1">
        <f t="array" aca="1" ref="D117" ca="1">INDEX(PriorityList,RANDBETWEEN(1,ROWS(PriorityList)))</f>
        <v>Medium</v>
      </c>
      <c r="E117" t="str" cm="1">
        <f t="array" aca="1" ref="E117" ca="1">INDEX(SeverityList,RANDBETWEEN(1,ROWS(SeverityList)))</f>
        <v>Critical</v>
      </c>
      <c r="F117" t="str" cm="1">
        <f t="array" aca="1" ref="F117" ca="1">INDEX(RegionList,RANDBETWEEN(1,ROWS(RegionList)))</f>
        <v>Central</v>
      </c>
      <c r="G117" t="str" cm="1">
        <f t="array" aca="1" ref="G117" ca="1">INDEX(DepartmentList,RANDBETWEEN(1,ROWS(DepartmentList)))</f>
        <v>Customer Service</v>
      </c>
      <c r="H117" s="1">
        <f t="shared" ca="1" si="6"/>
        <v>45371</v>
      </c>
      <c r="I117" s="4" t="str">
        <f ca="1">IF(IncidentTable[[#This Row],[Resolution Time (Days)]]="","",IncidentTable[[#This Row],[Created Date]]+IncidentTable[[#This Row],[Resolution Time (Days)]])</f>
        <v/>
      </c>
      <c r="J117" t="str">
        <f ca="1">IF(OR(IncidentTable[[#This Row],[Status]]="Resolved",IncidentTable[[#This Row],[Status]]="Closed"),RANDBETWEEN(1,120),"")</f>
        <v/>
      </c>
      <c r="K117" t="str">
        <f t="shared" ca="1" si="4"/>
        <v>In Progress</v>
      </c>
      <c r="L117" t="str" cm="1">
        <f t="array" aca="1" ref="L117" ca="1">INDEX(AnalystList,RANDBETWEEN(1,ROWS(AnalystList)))</f>
        <v>Alex Johnson</v>
      </c>
      <c r="M117" t="str" cm="1">
        <f t="array" aca="1" ref="M117" ca="1">INDEX(RootCauseList,RANDBETWEEN(1,ROWS(RootCauseList)))</f>
        <v>Configuration Issue</v>
      </c>
      <c r="N117">
        <f t="shared" ca="1" si="7"/>
        <v>4118.1400000000003</v>
      </c>
      <c r="O117" t="str">
        <f ca="1">IF(OR(IncidentTable[[#This Row],[Status]]="Resolved",IncidentTable[[#This Row],[Status]]="Closed"),
ROUND(IncidentTable[[#This Row],[Estimated Impact ($)]]*(1+RANDBETWEEN(-15,25)/100)+RAND(),2),
"")</f>
        <v/>
      </c>
      <c r="P117" t="str">
        <f ca="1">IF(IncidentTable[[#This Row],[Actual Impact ($)]]="","",ROUND(IncidentTable[[#This Row],[Actual Impact ($)]]-IncidentTable[[#This Row],[Estimated Impact ($)]],2))</f>
        <v/>
      </c>
      <c r="Q117" s="2" t="str">
        <f ca="1">IF(IncidentTable[[#This Row],[Actual Impact ($)]]="","",(IncidentTable[[#This Row],[Actual Impact ($)]]-IncidentTable[[#This Row],[Estimated Impact ($)]]) / IncidentTable[[#This Row],[Estimated Impact ($)]])</f>
        <v/>
      </c>
      <c r="R117" s="3">
        <f ca="1">IF(IncidentTable[[#This Row],[Priority]]="Critical",1,
IF(IncidentTable[[#This Row],[Priority]]="High",3,
IF(IncidentTable[[#This Row],[Priority]]="Medium",5,
IF(IncidentTable[[#This Row],[Priority]]="Low",10,""))))</f>
        <v>5</v>
      </c>
      <c r="S117" t="str">
        <f ca="1">IF(IncidentTable[[#This Row],[Resolution Time (Days)]]="","",
IF(IncidentTable[[#This Row],[Resolution Time (Days)]]&lt;=IncidentTable[[#This Row],[SLA Target (Days)]],"Yes","No"))</f>
        <v/>
      </c>
    </row>
    <row r="118" spans="1:19" x14ac:dyDescent="0.25">
      <c r="A118" t="str">
        <f t="shared" ca="1" si="5"/>
        <v>INC165662</v>
      </c>
      <c r="B118" t="str" cm="1">
        <f t="array" aca="1" ref="B118" ca="1">INDEX(SystemList,RANDBETWEEN(1,ROWS(SystemList)))</f>
        <v>Customer Portal</v>
      </c>
      <c r="C118" t="str" cm="1">
        <f t="array" aca="1" ref="C118" ca="1">INDEX(IssueTypeList,RANDBETWEEN(1,ROWS(IssueTypeList)))</f>
        <v>Payment Failure</v>
      </c>
      <c r="D118" t="str" cm="1">
        <f t="array" aca="1" ref="D118" ca="1">INDEX(PriorityList,RANDBETWEEN(1,ROWS(PriorityList)))</f>
        <v>Critical</v>
      </c>
      <c r="E118" t="str" cm="1">
        <f t="array" aca="1" ref="E118" ca="1">INDEX(SeverityList,RANDBETWEEN(1,ROWS(SeverityList)))</f>
        <v>Critical</v>
      </c>
      <c r="F118" t="str" cm="1">
        <f t="array" aca="1" ref="F118" ca="1">INDEX(RegionList,RANDBETWEEN(1,ROWS(RegionList)))</f>
        <v>Central</v>
      </c>
      <c r="G118" t="str" cm="1">
        <f t="array" aca="1" ref="G118" ca="1">INDEX(DepartmentList,RANDBETWEEN(1,ROWS(DepartmentList)))</f>
        <v>Finance</v>
      </c>
      <c r="H118" s="1">
        <f t="shared" ca="1" si="6"/>
        <v>45084</v>
      </c>
      <c r="I118" s="4" t="str">
        <f ca="1">IF(IncidentTable[[#This Row],[Resolution Time (Days)]]="","",IncidentTable[[#This Row],[Created Date]]+IncidentTable[[#This Row],[Resolution Time (Days)]])</f>
        <v/>
      </c>
      <c r="J118" t="str">
        <f ca="1">IF(OR(IncidentTable[[#This Row],[Status]]="Resolved",IncidentTable[[#This Row],[Status]]="Closed"),RANDBETWEEN(1,120),"")</f>
        <v/>
      </c>
      <c r="K118" t="str">
        <f t="shared" ca="1" si="4"/>
        <v>Pending</v>
      </c>
      <c r="L118" t="str" cm="1">
        <f t="array" aca="1" ref="L118" ca="1">INDEX(AnalystList,RANDBETWEEN(1,ROWS(AnalystList)))</f>
        <v>Casey Brown</v>
      </c>
      <c r="M118" t="str" cm="1">
        <f t="array" aca="1" ref="M118" ca="1">INDEX(RootCauseList,RANDBETWEEN(1,ROWS(RootCauseList)))</f>
        <v>Process Gap</v>
      </c>
      <c r="N118">
        <f t="shared" ca="1" si="7"/>
        <v>170.55</v>
      </c>
      <c r="O118" t="str">
        <f ca="1">IF(OR(IncidentTable[[#This Row],[Status]]="Resolved",IncidentTable[[#This Row],[Status]]="Closed"),
ROUND(IncidentTable[[#This Row],[Estimated Impact ($)]]*(1+RANDBETWEEN(-15,25)/100)+RAND(),2),
"")</f>
        <v/>
      </c>
      <c r="P118" t="str">
        <f ca="1">IF(IncidentTable[[#This Row],[Actual Impact ($)]]="","",ROUND(IncidentTable[[#This Row],[Actual Impact ($)]]-IncidentTable[[#This Row],[Estimated Impact ($)]],2))</f>
        <v/>
      </c>
      <c r="Q118" s="2" t="str">
        <f ca="1">IF(IncidentTable[[#This Row],[Actual Impact ($)]]="","",(IncidentTable[[#This Row],[Actual Impact ($)]]-IncidentTable[[#This Row],[Estimated Impact ($)]]) / IncidentTable[[#This Row],[Estimated Impact ($)]])</f>
        <v/>
      </c>
      <c r="R118" s="3">
        <f ca="1">IF(IncidentTable[[#This Row],[Priority]]="Critical",1,
IF(IncidentTable[[#This Row],[Priority]]="High",3,
IF(IncidentTable[[#This Row],[Priority]]="Medium",5,
IF(IncidentTable[[#This Row],[Priority]]="Low",10,""))))</f>
        <v>1</v>
      </c>
      <c r="S118" t="str">
        <f ca="1">IF(IncidentTable[[#This Row],[Resolution Time (Days)]]="","",
IF(IncidentTable[[#This Row],[Resolution Time (Days)]]&lt;=IncidentTable[[#This Row],[SLA Target (Days)]],"Yes","No"))</f>
        <v/>
      </c>
    </row>
    <row r="119" spans="1:19" x14ac:dyDescent="0.25">
      <c r="A119" t="str">
        <f t="shared" ca="1" si="5"/>
        <v>INC731934</v>
      </c>
      <c r="B119" t="str" cm="1">
        <f t="array" aca="1" ref="B119" ca="1">INDEX(SystemList,RANDBETWEEN(1,ROWS(SystemList)))</f>
        <v>Policy Admin System</v>
      </c>
      <c r="C119" t="str" cm="1">
        <f t="array" aca="1" ref="C119" ca="1">INDEX(IssueTypeList,RANDBETWEEN(1,ROWS(IssueTypeList)))</f>
        <v>Integration Failure</v>
      </c>
      <c r="D119" t="str" cm="1">
        <f t="array" aca="1" ref="D119" ca="1">INDEX(PriorityList,RANDBETWEEN(1,ROWS(PriorityList)))</f>
        <v>Critical</v>
      </c>
      <c r="E119" t="str" cm="1">
        <f t="array" aca="1" ref="E119" ca="1">INDEX(SeverityList,RANDBETWEEN(1,ROWS(SeverityList)))</f>
        <v>Critical</v>
      </c>
      <c r="F119" t="str" cm="1">
        <f t="array" aca="1" ref="F119" ca="1">INDEX(RegionList,RANDBETWEEN(1,ROWS(RegionList)))</f>
        <v>West</v>
      </c>
      <c r="G119" t="str" cm="1">
        <f t="array" aca="1" ref="G119" ca="1">INDEX(DepartmentList,RANDBETWEEN(1,ROWS(DepartmentList)))</f>
        <v>Finance</v>
      </c>
      <c r="H119" s="1">
        <f t="shared" ca="1" si="6"/>
        <v>45254</v>
      </c>
      <c r="I119" s="4" t="str">
        <f ca="1">IF(IncidentTable[[#This Row],[Resolution Time (Days)]]="","",IncidentTable[[#This Row],[Created Date]]+IncidentTable[[#This Row],[Resolution Time (Days)]])</f>
        <v/>
      </c>
      <c r="J119" t="str">
        <f ca="1">IF(OR(IncidentTable[[#This Row],[Status]]="Resolved",IncidentTable[[#This Row],[Status]]="Closed"),RANDBETWEEN(1,120),"")</f>
        <v/>
      </c>
      <c r="K119" t="str">
        <f t="shared" ca="1" si="4"/>
        <v>In Progress</v>
      </c>
      <c r="L119" t="str" cm="1">
        <f t="array" aca="1" ref="L119" ca="1">INDEX(AnalystList,RANDBETWEEN(1,ROWS(AnalystList)))</f>
        <v>Riley Wilson</v>
      </c>
      <c r="M119" t="str" cm="1">
        <f t="array" aca="1" ref="M119" ca="1">INDEX(RootCauseList,RANDBETWEEN(1,ROWS(RootCauseList)))</f>
        <v>Data Error</v>
      </c>
      <c r="N119">
        <f t="shared" ca="1" si="7"/>
        <v>72.37</v>
      </c>
      <c r="O119" t="str">
        <f ca="1">IF(OR(IncidentTable[[#This Row],[Status]]="Resolved",IncidentTable[[#This Row],[Status]]="Closed"),
ROUND(IncidentTable[[#This Row],[Estimated Impact ($)]]*(1+RANDBETWEEN(-15,25)/100)+RAND(),2),
"")</f>
        <v/>
      </c>
      <c r="P119" t="str">
        <f ca="1">IF(IncidentTable[[#This Row],[Actual Impact ($)]]="","",ROUND(IncidentTable[[#This Row],[Actual Impact ($)]]-IncidentTable[[#This Row],[Estimated Impact ($)]],2))</f>
        <v/>
      </c>
      <c r="Q119" s="2" t="str">
        <f ca="1">IF(IncidentTable[[#This Row],[Actual Impact ($)]]="","",(IncidentTable[[#This Row],[Actual Impact ($)]]-IncidentTable[[#This Row],[Estimated Impact ($)]]) / IncidentTable[[#This Row],[Estimated Impact ($)]])</f>
        <v/>
      </c>
      <c r="R119" s="3">
        <f ca="1">IF(IncidentTable[[#This Row],[Priority]]="Critical",1,
IF(IncidentTable[[#This Row],[Priority]]="High",3,
IF(IncidentTable[[#This Row],[Priority]]="Medium",5,
IF(IncidentTable[[#This Row],[Priority]]="Low",10,""))))</f>
        <v>1</v>
      </c>
      <c r="S119" t="str">
        <f ca="1">IF(IncidentTable[[#This Row],[Resolution Time (Days)]]="","",
IF(IncidentTable[[#This Row],[Resolution Time (Days)]]&lt;=IncidentTable[[#This Row],[SLA Target (Days)]],"Yes","No"))</f>
        <v/>
      </c>
    </row>
    <row r="120" spans="1:19" x14ac:dyDescent="0.25">
      <c r="A120" t="str">
        <f t="shared" ca="1" si="5"/>
        <v>INC593128</v>
      </c>
      <c r="B120" t="str" cm="1">
        <f t="array" aca="1" ref="B120" ca="1">INDEX(SystemList,RANDBETWEEN(1,ROWS(SystemList)))</f>
        <v>Reporting System</v>
      </c>
      <c r="C120" t="str" cm="1">
        <f t="array" aca="1" ref="C120" ca="1">INDEX(IssueTypeList,RANDBETWEEN(1,ROWS(IssueTypeList)))</f>
        <v>Integration Failure</v>
      </c>
      <c r="D120" t="str" cm="1">
        <f t="array" aca="1" ref="D120" ca="1">INDEX(PriorityList,RANDBETWEEN(1,ROWS(PriorityList)))</f>
        <v>High</v>
      </c>
      <c r="E120" t="str" cm="1">
        <f t="array" aca="1" ref="E120" ca="1">INDEX(SeverityList,RANDBETWEEN(1,ROWS(SeverityList)))</f>
        <v>Moderate</v>
      </c>
      <c r="F120" t="str" cm="1">
        <f t="array" aca="1" ref="F120" ca="1">INDEX(RegionList,RANDBETWEEN(1,ROWS(RegionList)))</f>
        <v>West</v>
      </c>
      <c r="G120" t="str" cm="1">
        <f t="array" aca="1" ref="G120" ca="1">INDEX(DepartmentList,RANDBETWEEN(1,ROWS(DepartmentList)))</f>
        <v>Finance</v>
      </c>
      <c r="H120" s="1">
        <f t="shared" ca="1" si="6"/>
        <v>45316</v>
      </c>
      <c r="I120" s="4">
        <f ca="1">IF(IncidentTable[[#This Row],[Resolution Time (Days)]]="","",IncidentTable[[#This Row],[Created Date]]+IncidentTable[[#This Row],[Resolution Time (Days)]])</f>
        <v>45349</v>
      </c>
      <c r="J120">
        <f ca="1">IF(OR(IncidentTable[[#This Row],[Status]]="Resolved",IncidentTable[[#This Row],[Status]]="Closed"),RANDBETWEEN(1,120),"")</f>
        <v>33</v>
      </c>
      <c r="K120" t="str">
        <f t="shared" ca="1" si="4"/>
        <v>Resolved</v>
      </c>
      <c r="L120" t="str" cm="1">
        <f t="array" aca="1" ref="L120" ca="1">INDEX(AnalystList,RANDBETWEEN(1,ROWS(AnalystList)))</f>
        <v>Morgan Davis</v>
      </c>
      <c r="M120" t="str" cm="1">
        <f t="array" aca="1" ref="M120" ca="1">INDEX(RootCauseList,RANDBETWEEN(1,ROWS(RootCauseList)))</f>
        <v>Unknown</v>
      </c>
      <c r="N120">
        <f t="shared" ca="1" si="7"/>
        <v>1899.22</v>
      </c>
      <c r="O120">
        <f ca="1">IF(OR(IncidentTable[[#This Row],[Status]]="Resolved",IncidentTable[[#This Row],[Status]]="Closed"),
ROUND(IncidentTable[[#This Row],[Estimated Impact ($)]]*(1+RANDBETWEEN(-15,25)/100)+RAND(),2),
"")</f>
        <v>1823.63</v>
      </c>
      <c r="P120">
        <f ca="1">IF(IncidentTable[[#This Row],[Actual Impact ($)]]="","",ROUND(IncidentTable[[#This Row],[Actual Impact ($)]]-IncidentTable[[#This Row],[Estimated Impact ($)]],2))</f>
        <v>-75.59</v>
      </c>
      <c r="Q120" s="2">
        <f ca="1">IF(IncidentTable[[#This Row],[Actual Impact ($)]]="","",(IncidentTable[[#This Row],[Actual Impact ($)]]-IncidentTable[[#This Row],[Estimated Impact ($)]]) / IncidentTable[[#This Row],[Estimated Impact ($)]])</f>
        <v>-3.9800549699350214E-2</v>
      </c>
      <c r="R120" s="3">
        <f ca="1">IF(IncidentTable[[#This Row],[Priority]]="Critical",1,
IF(IncidentTable[[#This Row],[Priority]]="High",3,
IF(IncidentTable[[#This Row],[Priority]]="Medium",5,
IF(IncidentTable[[#This Row],[Priority]]="Low",10,""))))</f>
        <v>3</v>
      </c>
      <c r="S120" t="str">
        <f ca="1">IF(IncidentTable[[#This Row],[Resolution Time (Days)]]="","",
IF(IncidentTable[[#This Row],[Resolution Time (Days)]]&lt;=IncidentTable[[#This Row],[SLA Target (Days)]],"Yes","No"))</f>
        <v>No</v>
      </c>
    </row>
    <row r="121" spans="1:19" x14ac:dyDescent="0.25">
      <c r="A121" t="str">
        <f t="shared" ca="1" si="5"/>
        <v>INC571153</v>
      </c>
      <c r="B121" t="str" cm="1">
        <f t="array" aca="1" ref="B121" ca="1">INDEX(SystemList,RANDBETWEEN(1,ROWS(SystemList)))</f>
        <v>Claims System</v>
      </c>
      <c r="C121" t="str" cm="1">
        <f t="array" aca="1" ref="C121" ca="1">INDEX(IssueTypeList,RANDBETWEEN(1,ROWS(IssueTypeList)))</f>
        <v>Processing Delay</v>
      </c>
      <c r="D121" t="str" cm="1">
        <f t="array" aca="1" ref="D121" ca="1">INDEX(PriorityList,RANDBETWEEN(1,ROWS(PriorityList)))</f>
        <v>Critical</v>
      </c>
      <c r="E121" t="str" cm="1">
        <f t="array" aca="1" ref="E121" ca="1">INDEX(SeverityList,RANDBETWEEN(1,ROWS(SeverityList)))</f>
        <v>Moderate</v>
      </c>
      <c r="F121" t="str" cm="1">
        <f t="array" aca="1" ref="F121" ca="1">INDEX(RegionList,RANDBETWEEN(1,ROWS(RegionList)))</f>
        <v>East</v>
      </c>
      <c r="G121" t="str" cm="1">
        <f t="array" aca="1" ref="G121" ca="1">INDEX(DepartmentList,RANDBETWEEN(1,ROWS(DepartmentList)))</f>
        <v>Customer Service</v>
      </c>
      <c r="H121" s="1">
        <f t="shared" ca="1" si="6"/>
        <v>45303</v>
      </c>
      <c r="I121" s="4">
        <f ca="1">IF(IncidentTable[[#This Row],[Resolution Time (Days)]]="","",IncidentTable[[#This Row],[Created Date]]+IncidentTable[[#This Row],[Resolution Time (Days)]])</f>
        <v>45308</v>
      </c>
      <c r="J121">
        <f ca="1">IF(OR(IncidentTable[[#This Row],[Status]]="Resolved",IncidentTable[[#This Row],[Status]]="Closed"),RANDBETWEEN(1,120),"")</f>
        <v>5</v>
      </c>
      <c r="K121" t="str">
        <f t="shared" ca="1" si="4"/>
        <v>Resolved</v>
      </c>
      <c r="L121" t="str" cm="1">
        <f t="array" aca="1" ref="L121" ca="1">INDEX(AnalystList,RANDBETWEEN(1,ROWS(AnalystList)))</f>
        <v>Riley Wilson</v>
      </c>
      <c r="M121" t="str" cm="1">
        <f t="array" aca="1" ref="M121" ca="1">INDEX(RootCauseList,RANDBETWEEN(1,ROWS(RootCauseList)))</f>
        <v>Integration Failure</v>
      </c>
      <c r="N121">
        <f t="shared" ca="1" si="7"/>
        <v>3310.2</v>
      </c>
      <c r="O121">
        <f ca="1">IF(OR(IncidentTable[[#This Row],[Status]]="Resolved",IncidentTable[[#This Row],[Status]]="Closed"),
ROUND(IncidentTable[[#This Row],[Estimated Impact ($)]]*(1+RANDBETWEEN(-15,25)/100)+RAND(),2),
"")</f>
        <v>3012.43</v>
      </c>
      <c r="P121">
        <f ca="1">IF(IncidentTable[[#This Row],[Actual Impact ($)]]="","",ROUND(IncidentTable[[#This Row],[Actual Impact ($)]]-IncidentTable[[#This Row],[Estimated Impact ($)]],2))</f>
        <v>-297.77</v>
      </c>
      <c r="Q121" s="2">
        <f ca="1">IF(IncidentTable[[#This Row],[Actual Impact ($)]]="","",(IncidentTable[[#This Row],[Actual Impact ($)]]-IncidentTable[[#This Row],[Estimated Impact ($)]]) / IncidentTable[[#This Row],[Estimated Impact ($)]])</f>
        <v>-8.995528971059151E-2</v>
      </c>
      <c r="R121" s="3">
        <f ca="1">IF(IncidentTable[[#This Row],[Priority]]="Critical",1,
IF(IncidentTable[[#This Row],[Priority]]="High",3,
IF(IncidentTable[[#This Row],[Priority]]="Medium",5,
IF(IncidentTable[[#This Row],[Priority]]="Low",10,""))))</f>
        <v>1</v>
      </c>
      <c r="S121" t="str">
        <f ca="1">IF(IncidentTable[[#This Row],[Resolution Time (Days)]]="","",
IF(IncidentTable[[#This Row],[Resolution Time (Days)]]&lt;=IncidentTable[[#This Row],[SLA Target (Days)]],"Yes","No"))</f>
        <v>No</v>
      </c>
    </row>
    <row r="122" spans="1:19" x14ac:dyDescent="0.25">
      <c r="A122" t="str">
        <f t="shared" ca="1" si="5"/>
        <v>INC671269</v>
      </c>
      <c r="B122" t="str" cm="1">
        <f t="array" aca="1" ref="B122" ca="1">INDEX(SystemList,RANDBETWEEN(1,ROWS(SystemList)))</f>
        <v>Customer Portal</v>
      </c>
      <c r="C122" t="str" cm="1">
        <f t="array" aca="1" ref="C122" ca="1">INDEX(IssueTypeList,RANDBETWEEN(1,ROWS(IssueTypeList)))</f>
        <v>User Access Issue</v>
      </c>
      <c r="D122" t="str" cm="1">
        <f t="array" aca="1" ref="D122" ca="1">INDEX(PriorityList,RANDBETWEEN(1,ROWS(PriorityList)))</f>
        <v>Critical</v>
      </c>
      <c r="E122" t="str" cm="1">
        <f t="array" aca="1" ref="E122" ca="1">INDEX(SeverityList,RANDBETWEEN(1,ROWS(SeverityList)))</f>
        <v>Moderate</v>
      </c>
      <c r="F122" t="str" cm="1">
        <f t="array" aca="1" ref="F122" ca="1">INDEX(RegionList,RANDBETWEEN(1,ROWS(RegionList)))</f>
        <v>Southeast</v>
      </c>
      <c r="G122" t="str" cm="1">
        <f t="array" aca="1" ref="G122" ca="1">INDEX(DepartmentList,RANDBETWEEN(1,ROWS(DepartmentList)))</f>
        <v>IT</v>
      </c>
      <c r="H122" s="1">
        <f t="shared" ca="1" si="6"/>
        <v>45193</v>
      </c>
      <c r="I122" s="4" t="str">
        <f ca="1">IF(IncidentTable[[#This Row],[Resolution Time (Days)]]="","",IncidentTable[[#This Row],[Created Date]]+IncidentTable[[#This Row],[Resolution Time (Days)]])</f>
        <v/>
      </c>
      <c r="J122" t="str">
        <f ca="1">IF(OR(IncidentTable[[#This Row],[Status]]="Resolved",IncidentTable[[#This Row],[Status]]="Closed"),RANDBETWEEN(1,120),"")</f>
        <v/>
      </c>
      <c r="K122" t="str">
        <f t="shared" ca="1" si="4"/>
        <v>In Progress</v>
      </c>
      <c r="L122" t="str" cm="1">
        <f t="array" aca="1" ref="L122" ca="1">INDEX(AnalystList,RANDBETWEEN(1,ROWS(AnalystList)))</f>
        <v>Alex Johnson</v>
      </c>
      <c r="M122" t="str" cm="1">
        <f t="array" aca="1" ref="M122" ca="1">INDEX(RootCauseList,RANDBETWEEN(1,ROWS(RootCauseList)))</f>
        <v>Integration Failure</v>
      </c>
      <c r="N122">
        <f t="shared" ca="1" si="7"/>
        <v>3321.54</v>
      </c>
      <c r="O122" t="str">
        <f ca="1">IF(OR(IncidentTable[[#This Row],[Status]]="Resolved",IncidentTable[[#This Row],[Status]]="Closed"),
ROUND(IncidentTable[[#This Row],[Estimated Impact ($)]]*(1+RANDBETWEEN(-15,25)/100)+RAND(),2),
"")</f>
        <v/>
      </c>
      <c r="P122" t="str">
        <f ca="1">IF(IncidentTable[[#This Row],[Actual Impact ($)]]="","",ROUND(IncidentTable[[#This Row],[Actual Impact ($)]]-IncidentTable[[#This Row],[Estimated Impact ($)]],2))</f>
        <v/>
      </c>
      <c r="Q122" s="2" t="str">
        <f ca="1">IF(IncidentTable[[#This Row],[Actual Impact ($)]]="","",(IncidentTable[[#This Row],[Actual Impact ($)]]-IncidentTable[[#This Row],[Estimated Impact ($)]]) / IncidentTable[[#This Row],[Estimated Impact ($)]])</f>
        <v/>
      </c>
      <c r="R122" s="3">
        <f ca="1">IF(IncidentTable[[#This Row],[Priority]]="Critical",1,
IF(IncidentTable[[#This Row],[Priority]]="High",3,
IF(IncidentTable[[#This Row],[Priority]]="Medium",5,
IF(IncidentTable[[#This Row],[Priority]]="Low",10,""))))</f>
        <v>1</v>
      </c>
      <c r="S122" t="str">
        <f ca="1">IF(IncidentTable[[#This Row],[Resolution Time (Days)]]="","",
IF(IncidentTable[[#This Row],[Resolution Time (Days)]]&lt;=IncidentTable[[#This Row],[SLA Target (Days)]],"Yes","No"))</f>
        <v/>
      </c>
    </row>
    <row r="123" spans="1:19" x14ac:dyDescent="0.25">
      <c r="A123" t="str">
        <f t="shared" ca="1" si="5"/>
        <v>INC599206</v>
      </c>
      <c r="B123" t="str" cm="1">
        <f t="array" aca="1" ref="B123" ca="1">INDEX(SystemList,RANDBETWEEN(1,ROWS(SystemList)))</f>
        <v>Policy Admin System</v>
      </c>
      <c r="C123" t="str" cm="1">
        <f t="array" aca="1" ref="C123" ca="1">INDEX(IssueTypeList,RANDBETWEEN(1,ROWS(IssueTypeList)))</f>
        <v>User Access Issue</v>
      </c>
      <c r="D123" t="str" cm="1">
        <f t="array" aca="1" ref="D123" ca="1">INDEX(PriorityList,RANDBETWEEN(1,ROWS(PriorityList)))</f>
        <v>High</v>
      </c>
      <c r="E123" t="str" cm="1">
        <f t="array" aca="1" ref="E123" ca="1">INDEX(SeverityList,RANDBETWEEN(1,ROWS(SeverityList)))</f>
        <v>Critical</v>
      </c>
      <c r="F123" t="str" cm="1">
        <f t="array" aca="1" ref="F123" ca="1">INDEX(RegionList,RANDBETWEEN(1,ROWS(RegionList)))</f>
        <v>West</v>
      </c>
      <c r="G123" t="str" cm="1">
        <f t="array" aca="1" ref="G123" ca="1">INDEX(DepartmentList,RANDBETWEEN(1,ROWS(DepartmentList)))</f>
        <v>Claims</v>
      </c>
      <c r="H123" s="1">
        <f t="shared" ca="1" si="6"/>
        <v>45107</v>
      </c>
      <c r="I123" s="4" t="str">
        <f ca="1">IF(IncidentTable[[#This Row],[Resolution Time (Days)]]="","",IncidentTable[[#This Row],[Created Date]]+IncidentTable[[#This Row],[Resolution Time (Days)]])</f>
        <v/>
      </c>
      <c r="J123" t="str">
        <f ca="1">IF(OR(IncidentTable[[#This Row],[Status]]="Resolved",IncidentTable[[#This Row],[Status]]="Closed"),RANDBETWEEN(1,120),"")</f>
        <v/>
      </c>
      <c r="K123" t="str">
        <f t="shared" ca="1" si="4"/>
        <v>Open</v>
      </c>
      <c r="L123" t="str" cm="1">
        <f t="array" aca="1" ref="L123" ca="1">INDEX(AnalystList,RANDBETWEEN(1,ROWS(AnalystList)))</f>
        <v>Jordan Lee</v>
      </c>
      <c r="M123" t="str" cm="1">
        <f t="array" aca="1" ref="M123" ca="1">INDEX(RootCauseList,RANDBETWEEN(1,ROWS(RootCauseList)))</f>
        <v>Integration Failure</v>
      </c>
      <c r="N123">
        <f t="shared" ca="1" si="7"/>
        <v>2656.7</v>
      </c>
      <c r="O123" t="str">
        <f ca="1">IF(OR(IncidentTable[[#This Row],[Status]]="Resolved",IncidentTable[[#This Row],[Status]]="Closed"),
ROUND(IncidentTable[[#This Row],[Estimated Impact ($)]]*(1+RANDBETWEEN(-15,25)/100)+RAND(),2),
"")</f>
        <v/>
      </c>
      <c r="P123" t="str">
        <f ca="1">IF(IncidentTable[[#This Row],[Actual Impact ($)]]="","",ROUND(IncidentTable[[#This Row],[Actual Impact ($)]]-IncidentTable[[#This Row],[Estimated Impact ($)]],2))</f>
        <v/>
      </c>
      <c r="Q123" s="2" t="str">
        <f ca="1">IF(IncidentTable[[#This Row],[Actual Impact ($)]]="","",(IncidentTable[[#This Row],[Actual Impact ($)]]-IncidentTable[[#This Row],[Estimated Impact ($)]]) / IncidentTable[[#This Row],[Estimated Impact ($)]])</f>
        <v/>
      </c>
      <c r="R123" s="3">
        <f ca="1">IF(IncidentTable[[#This Row],[Priority]]="Critical",1,
IF(IncidentTable[[#This Row],[Priority]]="High",3,
IF(IncidentTable[[#This Row],[Priority]]="Medium",5,
IF(IncidentTable[[#This Row],[Priority]]="Low",10,""))))</f>
        <v>3</v>
      </c>
      <c r="S123" t="str">
        <f ca="1">IF(IncidentTable[[#This Row],[Resolution Time (Days)]]="","",
IF(IncidentTable[[#This Row],[Resolution Time (Days)]]&lt;=IncidentTable[[#This Row],[SLA Target (Days)]],"Yes","No"))</f>
        <v/>
      </c>
    </row>
    <row r="124" spans="1:19" x14ac:dyDescent="0.25">
      <c r="A124" t="str">
        <f t="shared" ca="1" si="5"/>
        <v>INC963565</v>
      </c>
      <c r="B124" t="str" cm="1">
        <f t="array" aca="1" ref="B124" ca="1">INDEX(SystemList,RANDBETWEEN(1,ROWS(SystemList)))</f>
        <v>Regulatory System</v>
      </c>
      <c r="C124" t="str" cm="1">
        <f t="array" aca="1" ref="C124" ca="1">INDEX(IssueTypeList,RANDBETWEEN(1,ROWS(IssueTypeList)))</f>
        <v>System Error</v>
      </c>
      <c r="D124" t="str" cm="1">
        <f t="array" aca="1" ref="D124" ca="1">INDEX(PriorityList,RANDBETWEEN(1,ROWS(PriorityList)))</f>
        <v>Low</v>
      </c>
      <c r="E124" t="str" cm="1">
        <f t="array" aca="1" ref="E124" ca="1">INDEX(SeverityList,RANDBETWEEN(1,ROWS(SeverityList)))</f>
        <v>Minor</v>
      </c>
      <c r="F124" t="str" cm="1">
        <f t="array" aca="1" ref="F124" ca="1">INDEX(RegionList,RANDBETWEEN(1,ROWS(RegionList)))</f>
        <v>Midwest</v>
      </c>
      <c r="G124" t="str" cm="1">
        <f t="array" aca="1" ref="G124" ca="1">INDEX(DepartmentList,RANDBETWEEN(1,ROWS(DepartmentList)))</f>
        <v>Claims</v>
      </c>
      <c r="H124" s="1">
        <f t="shared" ca="1" si="6"/>
        <v>45210</v>
      </c>
      <c r="I124" s="4">
        <f ca="1">IF(IncidentTable[[#This Row],[Resolution Time (Days)]]="","",IncidentTable[[#This Row],[Created Date]]+IncidentTable[[#This Row],[Resolution Time (Days)]])</f>
        <v>45299</v>
      </c>
      <c r="J124">
        <f ca="1">IF(OR(IncidentTable[[#This Row],[Status]]="Resolved",IncidentTable[[#This Row],[Status]]="Closed"),RANDBETWEEN(1,120),"")</f>
        <v>89</v>
      </c>
      <c r="K124" t="str">
        <f t="shared" ca="1" si="4"/>
        <v>Resolved</v>
      </c>
      <c r="L124" t="str" cm="1">
        <f t="array" aca="1" ref="L124" ca="1">INDEX(AnalystList,RANDBETWEEN(1,ROWS(AnalystList)))</f>
        <v>Jordan Lee</v>
      </c>
      <c r="M124" t="str" cm="1">
        <f t="array" aca="1" ref="M124" ca="1">INDEX(RootCauseList,RANDBETWEEN(1,ROWS(RootCauseList)))</f>
        <v>Configuration Issue</v>
      </c>
      <c r="N124">
        <f t="shared" ca="1" si="7"/>
        <v>595.34</v>
      </c>
      <c r="O124">
        <f ca="1">IF(OR(IncidentTable[[#This Row],[Status]]="Resolved",IncidentTable[[#This Row],[Status]]="Closed"),
ROUND(IncidentTable[[#This Row],[Estimated Impact ($)]]*(1+RANDBETWEEN(-15,25)/100)+RAND(),2),
"")</f>
        <v>697.37</v>
      </c>
      <c r="P124">
        <f ca="1">IF(IncidentTable[[#This Row],[Actual Impact ($)]]="","",ROUND(IncidentTable[[#This Row],[Actual Impact ($)]]-IncidentTable[[#This Row],[Estimated Impact ($)]],2))</f>
        <v>102.03</v>
      </c>
      <c r="Q124" s="2">
        <f ca="1">IF(IncidentTable[[#This Row],[Actual Impact ($)]]="","",(IncidentTable[[#This Row],[Actual Impact ($)]]-IncidentTable[[#This Row],[Estimated Impact ($)]]) / IncidentTable[[#This Row],[Estimated Impact ($)]])</f>
        <v>0.17138105956260283</v>
      </c>
      <c r="R124" s="3">
        <f ca="1">IF(IncidentTable[[#This Row],[Priority]]="Critical",1,
IF(IncidentTable[[#This Row],[Priority]]="High",3,
IF(IncidentTable[[#This Row],[Priority]]="Medium",5,
IF(IncidentTable[[#This Row],[Priority]]="Low",10,""))))</f>
        <v>10</v>
      </c>
      <c r="S124" t="str">
        <f ca="1">IF(IncidentTable[[#This Row],[Resolution Time (Days)]]="","",
IF(IncidentTable[[#This Row],[Resolution Time (Days)]]&lt;=IncidentTable[[#This Row],[SLA Target (Days)]],"Yes","No"))</f>
        <v>No</v>
      </c>
    </row>
    <row r="125" spans="1:19" x14ac:dyDescent="0.25">
      <c r="A125" t="str">
        <f t="shared" ca="1" si="5"/>
        <v>INC594741</v>
      </c>
      <c r="B125" t="str" cm="1">
        <f t="array" aca="1" ref="B125" ca="1">INDEX(SystemList,RANDBETWEEN(1,ROWS(SystemList)))</f>
        <v>Policy Admin System</v>
      </c>
      <c r="C125" t="str" cm="1">
        <f t="array" aca="1" ref="C125" ca="1">INDEX(IssueTypeList,RANDBETWEEN(1,ROWS(IssueTypeList)))</f>
        <v>System Error</v>
      </c>
      <c r="D125" t="str" cm="1">
        <f t="array" aca="1" ref="D125" ca="1">INDEX(PriorityList,RANDBETWEEN(1,ROWS(PriorityList)))</f>
        <v>Low</v>
      </c>
      <c r="E125" t="str" cm="1">
        <f t="array" aca="1" ref="E125" ca="1">INDEX(SeverityList,RANDBETWEEN(1,ROWS(SeverityList)))</f>
        <v>Critical</v>
      </c>
      <c r="F125" t="str" cm="1">
        <f t="array" aca="1" ref="F125" ca="1">INDEX(RegionList,RANDBETWEEN(1,ROWS(RegionList)))</f>
        <v>West</v>
      </c>
      <c r="G125" t="str" cm="1">
        <f t="array" aca="1" ref="G125" ca="1">INDEX(DepartmentList,RANDBETWEEN(1,ROWS(DepartmentList)))</f>
        <v>Customer Service</v>
      </c>
      <c r="H125" s="1">
        <f t="shared" ca="1" si="6"/>
        <v>45238</v>
      </c>
      <c r="I125" s="4" t="str">
        <f ca="1">IF(IncidentTable[[#This Row],[Resolution Time (Days)]]="","",IncidentTable[[#This Row],[Created Date]]+IncidentTable[[#This Row],[Resolution Time (Days)]])</f>
        <v/>
      </c>
      <c r="J125" t="str">
        <f ca="1">IF(OR(IncidentTable[[#This Row],[Status]]="Resolved",IncidentTable[[#This Row],[Status]]="Closed"),RANDBETWEEN(1,120),"")</f>
        <v/>
      </c>
      <c r="K125" t="str">
        <f t="shared" ca="1" si="4"/>
        <v>Open</v>
      </c>
      <c r="L125" t="str" cm="1">
        <f t="array" aca="1" ref="L125" ca="1">INDEX(AnalystList,RANDBETWEEN(1,ROWS(AnalystList)))</f>
        <v>Casey Brown</v>
      </c>
      <c r="M125" t="str" cm="1">
        <f t="array" aca="1" ref="M125" ca="1">INDEX(RootCauseList,RANDBETWEEN(1,ROWS(RootCauseList)))</f>
        <v>Process Gap</v>
      </c>
      <c r="N125">
        <f t="shared" ca="1" si="7"/>
        <v>25.89</v>
      </c>
      <c r="O125" t="str">
        <f ca="1">IF(OR(IncidentTable[[#This Row],[Status]]="Resolved",IncidentTable[[#This Row],[Status]]="Closed"),
ROUND(IncidentTable[[#This Row],[Estimated Impact ($)]]*(1+RANDBETWEEN(-15,25)/100)+RAND(),2),
"")</f>
        <v/>
      </c>
      <c r="P125" t="str">
        <f ca="1">IF(IncidentTable[[#This Row],[Actual Impact ($)]]="","",ROUND(IncidentTable[[#This Row],[Actual Impact ($)]]-IncidentTable[[#This Row],[Estimated Impact ($)]],2))</f>
        <v/>
      </c>
      <c r="Q125" s="2" t="str">
        <f ca="1">IF(IncidentTable[[#This Row],[Actual Impact ($)]]="","",(IncidentTable[[#This Row],[Actual Impact ($)]]-IncidentTable[[#This Row],[Estimated Impact ($)]]) / IncidentTable[[#This Row],[Estimated Impact ($)]])</f>
        <v/>
      </c>
      <c r="R125" s="3">
        <f ca="1">IF(IncidentTable[[#This Row],[Priority]]="Critical",1,
IF(IncidentTable[[#This Row],[Priority]]="High",3,
IF(IncidentTable[[#This Row],[Priority]]="Medium",5,
IF(IncidentTable[[#This Row],[Priority]]="Low",10,""))))</f>
        <v>10</v>
      </c>
      <c r="S125" t="str">
        <f ca="1">IF(IncidentTable[[#This Row],[Resolution Time (Days)]]="","",
IF(IncidentTable[[#This Row],[Resolution Time (Days)]]&lt;=IncidentTable[[#This Row],[SLA Target (Days)]],"Yes","No"))</f>
        <v/>
      </c>
    </row>
    <row r="126" spans="1:19" x14ac:dyDescent="0.25">
      <c r="A126" t="str">
        <f t="shared" ca="1" si="5"/>
        <v>INC520830</v>
      </c>
      <c r="B126" t="str" cm="1">
        <f t="array" aca="1" ref="B126" ca="1">INDEX(SystemList,RANDBETWEEN(1,ROWS(SystemList)))</f>
        <v>Customer Portal</v>
      </c>
      <c r="C126" t="str" cm="1">
        <f t="array" aca="1" ref="C126" ca="1">INDEX(IssueTypeList,RANDBETWEEN(1,ROWS(IssueTypeList)))</f>
        <v>Integration Failure</v>
      </c>
      <c r="D126" t="str" cm="1">
        <f t="array" aca="1" ref="D126" ca="1">INDEX(PriorityList,RANDBETWEEN(1,ROWS(PriorityList)))</f>
        <v>High</v>
      </c>
      <c r="E126" t="str" cm="1">
        <f t="array" aca="1" ref="E126" ca="1">INDEX(SeverityList,RANDBETWEEN(1,ROWS(SeverityList)))</f>
        <v>Critical</v>
      </c>
      <c r="F126" t="str" cm="1">
        <f t="array" aca="1" ref="F126" ca="1">INDEX(RegionList,RANDBETWEEN(1,ROWS(RegionList)))</f>
        <v>Southeast</v>
      </c>
      <c r="G126" t="str" cm="1">
        <f t="array" aca="1" ref="G126" ca="1">INDEX(DepartmentList,RANDBETWEEN(1,ROWS(DepartmentList)))</f>
        <v>IT</v>
      </c>
      <c r="H126" s="1">
        <f t="shared" ca="1" si="6"/>
        <v>45127</v>
      </c>
      <c r="I126" s="4" t="str">
        <f ca="1">IF(IncidentTable[[#This Row],[Resolution Time (Days)]]="","",IncidentTable[[#This Row],[Created Date]]+IncidentTable[[#This Row],[Resolution Time (Days)]])</f>
        <v/>
      </c>
      <c r="J126" t="str">
        <f ca="1">IF(OR(IncidentTable[[#This Row],[Status]]="Resolved",IncidentTable[[#This Row],[Status]]="Closed"),RANDBETWEEN(1,120),"")</f>
        <v/>
      </c>
      <c r="K126" t="str">
        <f t="shared" ca="1" si="4"/>
        <v>Pending</v>
      </c>
      <c r="L126" t="str" cm="1">
        <f t="array" aca="1" ref="L126" ca="1">INDEX(AnalystList,RANDBETWEEN(1,ROWS(AnalystList)))</f>
        <v>Morgan Davis</v>
      </c>
      <c r="M126" t="str" cm="1">
        <f t="array" aca="1" ref="M126" ca="1">INDEX(RootCauseList,RANDBETWEEN(1,ROWS(RootCauseList)))</f>
        <v>Configuration Issue</v>
      </c>
      <c r="N126">
        <f t="shared" ca="1" si="7"/>
        <v>460.37</v>
      </c>
      <c r="O126" t="str">
        <f ca="1">IF(OR(IncidentTable[[#This Row],[Status]]="Resolved",IncidentTable[[#This Row],[Status]]="Closed"),
ROUND(IncidentTable[[#This Row],[Estimated Impact ($)]]*(1+RANDBETWEEN(-15,25)/100)+RAND(),2),
"")</f>
        <v/>
      </c>
      <c r="P126" t="str">
        <f ca="1">IF(IncidentTable[[#This Row],[Actual Impact ($)]]="","",ROUND(IncidentTable[[#This Row],[Actual Impact ($)]]-IncidentTable[[#This Row],[Estimated Impact ($)]],2))</f>
        <v/>
      </c>
      <c r="Q126" s="2" t="str">
        <f ca="1">IF(IncidentTable[[#This Row],[Actual Impact ($)]]="","",(IncidentTable[[#This Row],[Actual Impact ($)]]-IncidentTable[[#This Row],[Estimated Impact ($)]]) / IncidentTable[[#This Row],[Estimated Impact ($)]])</f>
        <v/>
      </c>
      <c r="R126" s="3">
        <f ca="1">IF(IncidentTable[[#This Row],[Priority]]="Critical",1,
IF(IncidentTable[[#This Row],[Priority]]="High",3,
IF(IncidentTable[[#This Row],[Priority]]="Medium",5,
IF(IncidentTable[[#This Row],[Priority]]="Low",10,""))))</f>
        <v>3</v>
      </c>
      <c r="S126" t="str">
        <f ca="1">IF(IncidentTable[[#This Row],[Resolution Time (Days)]]="","",
IF(IncidentTable[[#This Row],[Resolution Time (Days)]]&lt;=IncidentTable[[#This Row],[SLA Target (Days)]],"Yes","No"))</f>
        <v/>
      </c>
    </row>
    <row r="127" spans="1:19" x14ac:dyDescent="0.25">
      <c r="A127" t="str">
        <f t="shared" ca="1" si="5"/>
        <v>INC716592</v>
      </c>
      <c r="B127" t="str" cm="1">
        <f t="array" aca="1" ref="B127" ca="1">INDEX(SystemList,RANDBETWEEN(1,ROWS(SystemList)))</f>
        <v>Policy Admin System</v>
      </c>
      <c r="C127" t="str" cm="1">
        <f t="array" aca="1" ref="C127" ca="1">INDEX(IssueTypeList,RANDBETWEEN(1,ROWS(IssueTypeList)))</f>
        <v>Integration Failure</v>
      </c>
      <c r="D127" t="str" cm="1">
        <f t="array" aca="1" ref="D127" ca="1">INDEX(PriorityList,RANDBETWEEN(1,ROWS(PriorityList)))</f>
        <v>Critical</v>
      </c>
      <c r="E127" t="str" cm="1">
        <f t="array" aca="1" ref="E127" ca="1">INDEX(SeverityList,RANDBETWEEN(1,ROWS(SeverityList)))</f>
        <v>Moderate</v>
      </c>
      <c r="F127" t="str" cm="1">
        <f t="array" aca="1" ref="F127" ca="1">INDEX(RegionList,RANDBETWEEN(1,ROWS(RegionList)))</f>
        <v>Southeast</v>
      </c>
      <c r="G127" t="str" cm="1">
        <f t="array" aca="1" ref="G127" ca="1">INDEX(DepartmentList,RANDBETWEEN(1,ROWS(DepartmentList)))</f>
        <v>Finance</v>
      </c>
      <c r="H127" s="1">
        <f t="shared" ca="1" si="6"/>
        <v>45269</v>
      </c>
      <c r="I127" s="4">
        <f ca="1">IF(IncidentTable[[#This Row],[Resolution Time (Days)]]="","",IncidentTable[[#This Row],[Created Date]]+IncidentTable[[#This Row],[Resolution Time (Days)]])</f>
        <v>45383</v>
      </c>
      <c r="J127">
        <f ca="1">IF(OR(IncidentTable[[#This Row],[Status]]="Resolved",IncidentTable[[#This Row],[Status]]="Closed"),RANDBETWEEN(1,120),"")</f>
        <v>114</v>
      </c>
      <c r="K127" t="str">
        <f t="shared" ca="1" si="4"/>
        <v>Closed</v>
      </c>
      <c r="L127" t="str" cm="1">
        <f t="array" aca="1" ref="L127" ca="1">INDEX(AnalystList,RANDBETWEEN(1,ROWS(AnalystList)))</f>
        <v>Morgan Davis</v>
      </c>
      <c r="M127" t="str" cm="1">
        <f t="array" aca="1" ref="M127" ca="1">INDEX(RootCauseList,RANDBETWEEN(1,ROWS(RootCauseList)))</f>
        <v>System Bug</v>
      </c>
      <c r="N127">
        <f t="shared" ca="1" si="7"/>
        <v>3385.54</v>
      </c>
      <c r="O127">
        <f ca="1">IF(OR(IncidentTable[[#This Row],[Status]]="Resolved",IncidentTable[[#This Row],[Status]]="Closed"),
ROUND(IncidentTable[[#This Row],[Estimated Impact ($)]]*(1+RANDBETWEEN(-15,25)/100)+RAND(),2),
"")</f>
        <v>3994.98</v>
      </c>
      <c r="P127">
        <f ca="1">IF(IncidentTable[[#This Row],[Actual Impact ($)]]="","",ROUND(IncidentTable[[#This Row],[Actual Impact ($)]]-IncidentTable[[#This Row],[Estimated Impact ($)]],2))</f>
        <v>609.44000000000005</v>
      </c>
      <c r="Q127" s="2">
        <f ca="1">IF(IncidentTable[[#This Row],[Actual Impact ($)]]="","",(IncidentTable[[#This Row],[Actual Impact ($)]]-IncidentTable[[#This Row],[Estimated Impact ($)]]) / IncidentTable[[#This Row],[Estimated Impact ($)]])</f>
        <v>0.18001264200098066</v>
      </c>
      <c r="R127" s="3">
        <f ca="1">IF(IncidentTable[[#This Row],[Priority]]="Critical",1,
IF(IncidentTable[[#This Row],[Priority]]="High",3,
IF(IncidentTable[[#This Row],[Priority]]="Medium",5,
IF(IncidentTable[[#This Row],[Priority]]="Low",10,""))))</f>
        <v>1</v>
      </c>
      <c r="S127" t="str">
        <f ca="1">IF(IncidentTable[[#This Row],[Resolution Time (Days)]]="","",
IF(IncidentTable[[#This Row],[Resolution Time (Days)]]&lt;=IncidentTable[[#This Row],[SLA Target (Days)]],"Yes","No"))</f>
        <v>No</v>
      </c>
    </row>
    <row r="128" spans="1:19" x14ac:dyDescent="0.25">
      <c r="A128" t="str">
        <f t="shared" ca="1" si="5"/>
        <v>INC348043</v>
      </c>
      <c r="B128" t="str" cm="1">
        <f t="array" aca="1" ref="B128" ca="1">INDEX(SystemList,RANDBETWEEN(1,ROWS(SystemList)))</f>
        <v>Policy Admin System</v>
      </c>
      <c r="C128" t="str" cm="1">
        <f t="array" aca="1" ref="C128" ca="1">INDEX(IssueTypeList,RANDBETWEEN(1,ROWS(IssueTypeList)))</f>
        <v>Processing Delay</v>
      </c>
      <c r="D128" t="str" cm="1">
        <f t="array" aca="1" ref="D128" ca="1">INDEX(PriorityList,RANDBETWEEN(1,ROWS(PriorityList)))</f>
        <v>Medium</v>
      </c>
      <c r="E128" t="str" cm="1">
        <f t="array" aca="1" ref="E128" ca="1">INDEX(SeverityList,RANDBETWEEN(1,ROWS(SeverityList)))</f>
        <v>Minor</v>
      </c>
      <c r="F128" t="str" cm="1">
        <f t="array" aca="1" ref="F128" ca="1">INDEX(RegionList,RANDBETWEEN(1,ROWS(RegionList)))</f>
        <v>Midwest</v>
      </c>
      <c r="G128" t="str" cm="1">
        <f t="array" aca="1" ref="G128" ca="1">INDEX(DepartmentList,RANDBETWEEN(1,ROWS(DepartmentList)))</f>
        <v>IT</v>
      </c>
      <c r="H128" s="1">
        <f t="shared" ca="1" si="6"/>
        <v>45410</v>
      </c>
      <c r="I128" s="4">
        <f ca="1">IF(IncidentTable[[#This Row],[Resolution Time (Days)]]="","",IncidentTable[[#This Row],[Created Date]]+IncidentTable[[#This Row],[Resolution Time (Days)]])</f>
        <v>45430</v>
      </c>
      <c r="J128">
        <f ca="1">IF(OR(IncidentTable[[#This Row],[Status]]="Resolved",IncidentTable[[#This Row],[Status]]="Closed"),RANDBETWEEN(1,120),"")</f>
        <v>20</v>
      </c>
      <c r="K128" t="str">
        <f t="shared" ca="1" si="4"/>
        <v>Resolved</v>
      </c>
      <c r="L128" t="str" cm="1">
        <f t="array" aca="1" ref="L128" ca="1">INDEX(AnalystList,RANDBETWEEN(1,ROWS(AnalystList)))</f>
        <v>Riley Wilson</v>
      </c>
      <c r="M128" t="str" cm="1">
        <f t="array" aca="1" ref="M128" ca="1">INDEX(RootCauseList,RANDBETWEEN(1,ROWS(RootCauseList)))</f>
        <v>Unknown</v>
      </c>
      <c r="N128">
        <f t="shared" ca="1" si="7"/>
        <v>890.94</v>
      </c>
      <c r="O128">
        <f ca="1">IF(OR(IncidentTable[[#This Row],[Status]]="Resolved",IncidentTable[[#This Row],[Status]]="Closed"),
ROUND(IncidentTable[[#This Row],[Estimated Impact ($)]]*(1+RANDBETWEEN(-15,25)/100)+RAND(),2),
"")</f>
        <v>865.1</v>
      </c>
      <c r="P128">
        <f ca="1">IF(IncidentTable[[#This Row],[Actual Impact ($)]]="","",ROUND(IncidentTable[[#This Row],[Actual Impact ($)]]-IncidentTable[[#This Row],[Estimated Impact ($)]],2))</f>
        <v>-25.84</v>
      </c>
      <c r="Q128" s="2">
        <f ca="1">IF(IncidentTable[[#This Row],[Actual Impact ($)]]="","",(IncidentTable[[#This Row],[Actual Impact ($)]]-IncidentTable[[#This Row],[Estimated Impact ($)]]) / IncidentTable[[#This Row],[Estimated Impact ($)]])</f>
        <v>-2.9003075403506443E-2</v>
      </c>
      <c r="R128" s="3">
        <f ca="1">IF(IncidentTable[[#This Row],[Priority]]="Critical",1,
IF(IncidentTable[[#This Row],[Priority]]="High",3,
IF(IncidentTable[[#This Row],[Priority]]="Medium",5,
IF(IncidentTable[[#This Row],[Priority]]="Low",10,""))))</f>
        <v>5</v>
      </c>
      <c r="S128" t="str">
        <f ca="1">IF(IncidentTable[[#This Row],[Resolution Time (Days)]]="","",
IF(IncidentTable[[#This Row],[Resolution Time (Days)]]&lt;=IncidentTable[[#This Row],[SLA Target (Days)]],"Yes","No"))</f>
        <v>No</v>
      </c>
    </row>
    <row r="129" spans="1:19" x14ac:dyDescent="0.25">
      <c r="A129" t="str">
        <f t="shared" ca="1" si="5"/>
        <v>INC990740</v>
      </c>
      <c r="B129" t="str" cm="1">
        <f t="array" aca="1" ref="B129" ca="1">INDEX(SystemList,RANDBETWEEN(1,ROWS(SystemList)))</f>
        <v>Regulatory System</v>
      </c>
      <c r="C129" t="str" cm="1">
        <f t="array" aca="1" ref="C129" ca="1">INDEX(IssueTypeList,RANDBETWEEN(1,ROWS(IssueTypeList)))</f>
        <v>Performance Issue</v>
      </c>
      <c r="D129" t="str" cm="1">
        <f t="array" aca="1" ref="D129" ca="1">INDEX(PriorityList,RANDBETWEEN(1,ROWS(PriorityList)))</f>
        <v>Critical</v>
      </c>
      <c r="E129" t="str" cm="1">
        <f t="array" aca="1" ref="E129" ca="1">INDEX(SeverityList,RANDBETWEEN(1,ROWS(SeverityList)))</f>
        <v>Minor</v>
      </c>
      <c r="F129" t="str" cm="1">
        <f t="array" aca="1" ref="F129" ca="1">INDEX(RegionList,RANDBETWEEN(1,ROWS(RegionList)))</f>
        <v>Midwest</v>
      </c>
      <c r="G129" t="str" cm="1">
        <f t="array" aca="1" ref="G129" ca="1">INDEX(DepartmentList,RANDBETWEEN(1,ROWS(DepartmentList)))</f>
        <v>Billing</v>
      </c>
      <c r="H129" s="1">
        <f t="shared" ca="1" si="6"/>
        <v>44981</v>
      </c>
      <c r="I129" s="4">
        <f ca="1">IF(IncidentTable[[#This Row],[Resolution Time (Days)]]="","",IncidentTable[[#This Row],[Created Date]]+IncidentTable[[#This Row],[Resolution Time (Days)]])</f>
        <v>45089</v>
      </c>
      <c r="J129">
        <f ca="1">IF(OR(IncidentTable[[#This Row],[Status]]="Resolved",IncidentTable[[#This Row],[Status]]="Closed"),RANDBETWEEN(1,120),"")</f>
        <v>108</v>
      </c>
      <c r="K129" t="str">
        <f t="shared" ca="1" si="4"/>
        <v>Resolved</v>
      </c>
      <c r="L129" t="str" cm="1">
        <f t="array" aca="1" ref="L129" ca="1">INDEX(AnalystList,RANDBETWEEN(1,ROWS(AnalystList)))</f>
        <v>Alex Johnson</v>
      </c>
      <c r="M129" t="str" cm="1">
        <f t="array" aca="1" ref="M129" ca="1">INDEX(RootCauseList,RANDBETWEEN(1,ROWS(RootCauseList)))</f>
        <v>Data Error</v>
      </c>
      <c r="N129">
        <f t="shared" ca="1" si="7"/>
        <v>18.36</v>
      </c>
      <c r="O129">
        <f ca="1">IF(OR(IncidentTable[[#This Row],[Status]]="Resolved",IncidentTable[[#This Row],[Status]]="Closed"),
ROUND(IncidentTable[[#This Row],[Estimated Impact ($)]]*(1+RANDBETWEEN(-15,25)/100)+RAND(),2),
"")</f>
        <v>23.63</v>
      </c>
      <c r="P129">
        <f ca="1">IF(IncidentTable[[#This Row],[Actual Impact ($)]]="","",ROUND(IncidentTable[[#This Row],[Actual Impact ($)]]-IncidentTable[[#This Row],[Estimated Impact ($)]],2))</f>
        <v>5.27</v>
      </c>
      <c r="Q129" s="2">
        <f ca="1">IF(IncidentTable[[#This Row],[Actual Impact ($)]]="","",(IncidentTable[[#This Row],[Actual Impact ($)]]-IncidentTable[[#This Row],[Estimated Impact ($)]]) / IncidentTable[[#This Row],[Estimated Impact ($)]])</f>
        <v>0.28703703703703703</v>
      </c>
      <c r="R129" s="3">
        <f ca="1">IF(IncidentTable[[#This Row],[Priority]]="Critical",1,
IF(IncidentTable[[#This Row],[Priority]]="High",3,
IF(IncidentTable[[#This Row],[Priority]]="Medium",5,
IF(IncidentTable[[#This Row],[Priority]]="Low",10,""))))</f>
        <v>1</v>
      </c>
      <c r="S129" t="str">
        <f ca="1">IF(IncidentTable[[#This Row],[Resolution Time (Days)]]="","",
IF(IncidentTable[[#This Row],[Resolution Time (Days)]]&lt;=IncidentTable[[#This Row],[SLA Target (Days)]],"Yes","No"))</f>
        <v>No</v>
      </c>
    </row>
    <row r="130" spans="1:19" x14ac:dyDescent="0.25">
      <c r="A130" t="str">
        <f t="shared" ca="1" si="5"/>
        <v>INC161701</v>
      </c>
      <c r="B130" t="str" cm="1">
        <f t="array" aca="1" ref="B130" ca="1">INDEX(SystemList,RANDBETWEEN(1,ROWS(SystemList)))</f>
        <v>Customer Portal</v>
      </c>
      <c r="C130" t="str" cm="1">
        <f t="array" aca="1" ref="C130" ca="1">INDEX(IssueTypeList,RANDBETWEEN(1,ROWS(IssueTypeList)))</f>
        <v>User Access Issue</v>
      </c>
      <c r="D130" t="str" cm="1">
        <f t="array" aca="1" ref="D130" ca="1">INDEX(PriorityList,RANDBETWEEN(1,ROWS(PriorityList)))</f>
        <v>Medium</v>
      </c>
      <c r="E130" t="str" cm="1">
        <f t="array" aca="1" ref="E130" ca="1">INDEX(SeverityList,RANDBETWEEN(1,ROWS(SeverityList)))</f>
        <v>Moderate</v>
      </c>
      <c r="F130" t="str" cm="1">
        <f t="array" aca="1" ref="F130" ca="1">INDEX(RegionList,RANDBETWEEN(1,ROWS(RegionList)))</f>
        <v>Midwest</v>
      </c>
      <c r="G130" t="str" cm="1">
        <f t="array" aca="1" ref="G130" ca="1">INDEX(DepartmentList,RANDBETWEEN(1,ROWS(DepartmentList)))</f>
        <v>Compliance</v>
      </c>
      <c r="H130" s="1">
        <f t="shared" ca="1" si="6"/>
        <v>44978</v>
      </c>
      <c r="I130" s="4">
        <f ca="1">IF(IncidentTable[[#This Row],[Resolution Time (Days)]]="","",IncidentTable[[#This Row],[Created Date]]+IncidentTable[[#This Row],[Resolution Time (Days)]])</f>
        <v>45000</v>
      </c>
      <c r="J130">
        <f ca="1">IF(OR(IncidentTable[[#This Row],[Status]]="Resolved",IncidentTable[[#This Row],[Status]]="Closed"),RANDBETWEEN(1,120),"")</f>
        <v>22</v>
      </c>
      <c r="K130" t="str">
        <f t="shared" ref="K130:K193" ca="1" si="8">CHOOSE(RANDBETWEEN(1,5),"Open","In Progress","Pending","Resolved","Closed")</f>
        <v>Closed</v>
      </c>
      <c r="L130" t="str" cm="1">
        <f t="array" aca="1" ref="L130" ca="1">INDEX(AnalystList,RANDBETWEEN(1,ROWS(AnalystList)))</f>
        <v>Alex Johnson</v>
      </c>
      <c r="M130" t="str" cm="1">
        <f t="array" aca="1" ref="M130" ca="1">INDEX(RootCauseList,RANDBETWEEN(1,ROWS(RootCauseList)))</f>
        <v>User Error</v>
      </c>
      <c r="N130">
        <f t="shared" ca="1" si="7"/>
        <v>17234.689999999999</v>
      </c>
      <c r="O130">
        <f ca="1">IF(OR(IncidentTable[[#This Row],[Status]]="Resolved",IncidentTable[[#This Row],[Status]]="Closed"),
ROUND(IncidentTable[[#This Row],[Estimated Impact ($)]]*(1+RANDBETWEEN(-15,25)/100)+RAND(),2),
"")</f>
        <v>15339.49</v>
      </c>
      <c r="P130">
        <f ca="1">IF(IncidentTable[[#This Row],[Actual Impact ($)]]="","",ROUND(IncidentTable[[#This Row],[Actual Impact ($)]]-IncidentTable[[#This Row],[Estimated Impact ($)]],2))</f>
        <v>-1895.2</v>
      </c>
      <c r="Q130" s="2">
        <f ca="1">IF(IncidentTable[[#This Row],[Actual Impact ($)]]="","",(IncidentTable[[#This Row],[Actual Impact ($)]]-IncidentTable[[#This Row],[Estimated Impact ($)]]) / IncidentTable[[#This Row],[Estimated Impact ($)]])</f>
        <v>-0.10996426393512149</v>
      </c>
      <c r="R130" s="3">
        <f ca="1">IF(IncidentTable[[#This Row],[Priority]]="Critical",1,
IF(IncidentTable[[#This Row],[Priority]]="High",3,
IF(IncidentTable[[#This Row],[Priority]]="Medium",5,
IF(IncidentTable[[#This Row],[Priority]]="Low",10,""))))</f>
        <v>5</v>
      </c>
      <c r="S130" t="str">
        <f ca="1">IF(IncidentTable[[#This Row],[Resolution Time (Days)]]="","",
IF(IncidentTable[[#This Row],[Resolution Time (Days)]]&lt;=IncidentTable[[#This Row],[SLA Target (Days)]],"Yes","No"))</f>
        <v>No</v>
      </c>
    </row>
    <row r="131" spans="1:19" x14ac:dyDescent="0.25">
      <c r="A131" t="str">
        <f t="shared" ref="A131:A194" ca="1" si="9">"INC"&amp;TEXT(RANDBETWEEN(100000,999999),"000000")</f>
        <v>INC788199</v>
      </c>
      <c r="B131" t="str" cm="1">
        <f t="array" aca="1" ref="B131" ca="1">INDEX(SystemList,RANDBETWEEN(1,ROWS(SystemList)))</f>
        <v>Policy Admin System</v>
      </c>
      <c r="C131" t="str" cm="1">
        <f t="array" aca="1" ref="C131" ca="1">INDEX(IssueTypeList,RANDBETWEEN(1,ROWS(IssueTypeList)))</f>
        <v>Complaint</v>
      </c>
      <c r="D131" t="str" cm="1">
        <f t="array" aca="1" ref="D131" ca="1">INDEX(PriorityList,RANDBETWEEN(1,ROWS(PriorityList)))</f>
        <v>Medium</v>
      </c>
      <c r="E131" t="str" cm="1">
        <f t="array" aca="1" ref="E131" ca="1">INDEX(SeverityList,RANDBETWEEN(1,ROWS(SeverityList)))</f>
        <v>Major</v>
      </c>
      <c r="F131" t="str" cm="1">
        <f t="array" aca="1" ref="F131" ca="1">INDEX(RegionList,RANDBETWEEN(1,ROWS(RegionList)))</f>
        <v>Midwest</v>
      </c>
      <c r="G131" t="str" cm="1">
        <f t="array" aca="1" ref="G131" ca="1">INDEX(DepartmentList,RANDBETWEEN(1,ROWS(DepartmentList)))</f>
        <v>Billing</v>
      </c>
      <c r="H131" s="1">
        <f t="shared" ref="H131:H194" ca="1" si="10">DATE(2023,1,1)+RANDBETWEEN(0,545)</f>
        <v>44954</v>
      </c>
      <c r="I131" s="4" t="str">
        <f ca="1">IF(IncidentTable[[#This Row],[Resolution Time (Days)]]="","",IncidentTable[[#This Row],[Created Date]]+IncidentTable[[#This Row],[Resolution Time (Days)]])</f>
        <v/>
      </c>
      <c r="J131" t="str">
        <f ca="1">IF(OR(IncidentTable[[#This Row],[Status]]="Resolved",IncidentTable[[#This Row],[Status]]="Closed"),RANDBETWEEN(1,120),"")</f>
        <v/>
      </c>
      <c r="K131" t="str">
        <f t="shared" ca="1" si="8"/>
        <v>In Progress</v>
      </c>
      <c r="L131" t="str" cm="1">
        <f t="array" aca="1" ref="L131" ca="1">INDEX(AnalystList,RANDBETWEEN(1,ROWS(AnalystList)))</f>
        <v>Alex Johnson</v>
      </c>
      <c r="M131" t="str" cm="1">
        <f t="array" aca="1" ref="M131" ca="1">INDEX(RootCauseList,RANDBETWEEN(1,ROWS(RootCauseList)))</f>
        <v>Integration Failure</v>
      </c>
      <c r="N131">
        <f t="shared" ref="N131:N194" ca="1" si="11">ROUND(RANDBETWEEN(500,50000)*(RAND()^3),2)</f>
        <v>36476.83</v>
      </c>
      <c r="O131" t="str">
        <f ca="1">IF(OR(IncidentTable[[#This Row],[Status]]="Resolved",IncidentTable[[#This Row],[Status]]="Closed"),
ROUND(IncidentTable[[#This Row],[Estimated Impact ($)]]*(1+RANDBETWEEN(-15,25)/100)+RAND(),2),
"")</f>
        <v/>
      </c>
      <c r="P131" t="str">
        <f ca="1">IF(IncidentTable[[#This Row],[Actual Impact ($)]]="","",ROUND(IncidentTable[[#This Row],[Actual Impact ($)]]-IncidentTable[[#This Row],[Estimated Impact ($)]],2))</f>
        <v/>
      </c>
      <c r="Q131" s="2" t="str">
        <f ca="1">IF(IncidentTable[[#This Row],[Actual Impact ($)]]="","",(IncidentTable[[#This Row],[Actual Impact ($)]]-IncidentTable[[#This Row],[Estimated Impact ($)]]) / IncidentTable[[#This Row],[Estimated Impact ($)]])</f>
        <v/>
      </c>
      <c r="R131" s="3">
        <f ca="1">IF(IncidentTable[[#This Row],[Priority]]="Critical",1,
IF(IncidentTable[[#This Row],[Priority]]="High",3,
IF(IncidentTable[[#This Row],[Priority]]="Medium",5,
IF(IncidentTable[[#This Row],[Priority]]="Low",10,""))))</f>
        <v>5</v>
      </c>
      <c r="S131" t="str">
        <f ca="1">IF(IncidentTable[[#This Row],[Resolution Time (Days)]]="","",
IF(IncidentTable[[#This Row],[Resolution Time (Days)]]&lt;=IncidentTable[[#This Row],[SLA Target (Days)]],"Yes","No"))</f>
        <v/>
      </c>
    </row>
    <row r="132" spans="1:19" x14ac:dyDescent="0.25">
      <c r="A132" t="str">
        <f t="shared" ca="1" si="9"/>
        <v>INC404477</v>
      </c>
      <c r="B132" t="str" cm="1">
        <f t="array" aca="1" ref="B132" ca="1">INDEX(SystemList,RANDBETWEEN(1,ROWS(SystemList)))</f>
        <v>Reporting System</v>
      </c>
      <c r="C132" t="str" cm="1">
        <f t="array" aca="1" ref="C132" ca="1">INDEX(IssueTypeList,RANDBETWEEN(1,ROWS(IssueTypeList)))</f>
        <v>Data Issue</v>
      </c>
      <c r="D132" t="str" cm="1">
        <f t="array" aca="1" ref="D132" ca="1">INDEX(PriorityList,RANDBETWEEN(1,ROWS(PriorityList)))</f>
        <v>Critical</v>
      </c>
      <c r="E132" t="str" cm="1">
        <f t="array" aca="1" ref="E132" ca="1">INDEX(SeverityList,RANDBETWEEN(1,ROWS(SeverityList)))</f>
        <v>Critical</v>
      </c>
      <c r="F132" t="str" cm="1">
        <f t="array" aca="1" ref="F132" ca="1">INDEX(RegionList,RANDBETWEEN(1,ROWS(RegionList)))</f>
        <v>Central</v>
      </c>
      <c r="G132" t="str" cm="1">
        <f t="array" aca="1" ref="G132" ca="1">INDEX(DepartmentList,RANDBETWEEN(1,ROWS(DepartmentList)))</f>
        <v>Customer Service</v>
      </c>
      <c r="H132" s="1">
        <f t="shared" ca="1" si="10"/>
        <v>45103</v>
      </c>
      <c r="I132" s="4">
        <f ca="1">IF(IncidentTable[[#This Row],[Resolution Time (Days)]]="","",IncidentTable[[#This Row],[Created Date]]+IncidentTable[[#This Row],[Resolution Time (Days)]])</f>
        <v>45217</v>
      </c>
      <c r="J132">
        <f ca="1">IF(OR(IncidentTable[[#This Row],[Status]]="Resolved",IncidentTable[[#This Row],[Status]]="Closed"),RANDBETWEEN(1,120),"")</f>
        <v>114</v>
      </c>
      <c r="K132" t="str">
        <f t="shared" ca="1" si="8"/>
        <v>Resolved</v>
      </c>
      <c r="L132" t="str" cm="1">
        <f t="array" aca="1" ref="L132" ca="1">INDEX(AnalystList,RANDBETWEEN(1,ROWS(AnalystList)))</f>
        <v>Alex Johnson</v>
      </c>
      <c r="M132" t="str" cm="1">
        <f t="array" aca="1" ref="M132" ca="1">INDEX(RootCauseList,RANDBETWEEN(1,ROWS(RootCauseList)))</f>
        <v>Process Gap</v>
      </c>
      <c r="N132">
        <f t="shared" ca="1" si="11"/>
        <v>6356.23</v>
      </c>
      <c r="O132">
        <f ca="1">IF(OR(IncidentTable[[#This Row],[Status]]="Resolved",IncidentTable[[#This Row],[Status]]="Closed"),
ROUND(IncidentTable[[#This Row],[Estimated Impact ($)]]*(1+RANDBETWEEN(-15,25)/100)+RAND(),2),
"")</f>
        <v>5721.39</v>
      </c>
      <c r="P132">
        <f ca="1">IF(IncidentTable[[#This Row],[Actual Impact ($)]]="","",ROUND(IncidentTable[[#This Row],[Actual Impact ($)]]-IncidentTable[[#This Row],[Estimated Impact ($)]],2))</f>
        <v>-634.84</v>
      </c>
      <c r="Q132" s="2">
        <f ca="1">IF(IncidentTable[[#This Row],[Actual Impact ($)]]="","",(IncidentTable[[#This Row],[Actual Impact ($)]]-IncidentTable[[#This Row],[Estimated Impact ($)]]) / IncidentTable[[#This Row],[Estimated Impact ($)]])</f>
        <v>-9.9876813771685308E-2</v>
      </c>
      <c r="R132" s="3">
        <f ca="1">IF(IncidentTable[[#This Row],[Priority]]="Critical",1,
IF(IncidentTable[[#This Row],[Priority]]="High",3,
IF(IncidentTable[[#This Row],[Priority]]="Medium",5,
IF(IncidentTable[[#This Row],[Priority]]="Low",10,""))))</f>
        <v>1</v>
      </c>
      <c r="S132" t="str">
        <f ca="1">IF(IncidentTable[[#This Row],[Resolution Time (Days)]]="","",
IF(IncidentTable[[#This Row],[Resolution Time (Days)]]&lt;=IncidentTable[[#This Row],[SLA Target (Days)]],"Yes","No"))</f>
        <v>No</v>
      </c>
    </row>
    <row r="133" spans="1:19" x14ac:dyDescent="0.25">
      <c r="A133" t="str">
        <f t="shared" ca="1" si="9"/>
        <v>INC574765</v>
      </c>
      <c r="B133" t="str" cm="1">
        <f t="array" aca="1" ref="B133" ca="1">INDEX(SystemList,RANDBETWEEN(1,ROWS(SystemList)))</f>
        <v>Regulatory System</v>
      </c>
      <c r="C133" t="str" cm="1">
        <f t="array" aca="1" ref="C133" ca="1">INDEX(IssueTypeList,RANDBETWEEN(1,ROWS(IssueTypeList)))</f>
        <v>Performance Issue</v>
      </c>
      <c r="D133" t="str" cm="1">
        <f t="array" aca="1" ref="D133" ca="1">INDEX(PriorityList,RANDBETWEEN(1,ROWS(PriorityList)))</f>
        <v>Critical</v>
      </c>
      <c r="E133" t="str" cm="1">
        <f t="array" aca="1" ref="E133" ca="1">INDEX(SeverityList,RANDBETWEEN(1,ROWS(SeverityList)))</f>
        <v>Moderate</v>
      </c>
      <c r="F133" t="str" cm="1">
        <f t="array" aca="1" ref="F133" ca="1">INDEX(RegionList,RANDBETWEEN(1,ROWS(RegionList)))</f>
        <v>East</v>
      </c>
      <c r="G133" t="str" cm="1">
        <f t="array" aca="1" ref="G133" ca="1">INDEX(DepartmentList,RANDBETWEEN(1,ROWS(DepartmentList)))</f>
        <v>Billing</v>
      </c>
      <c r="H133" s="1">
        <f t="shared" ca="1" si="10"/>
        <v>45216</v>
      </c>
      <c r="I133" s="4">
        <f ca="1">IF(IncidentTable[[#This Row],[Resolution Time (Days)]]="","",IncidentTable[[#This Row],[Created Date]]+IncidentTable[[#This Row],[Resolution Time (Days)]])</f>
        <v>45227</v>
      </c>
      <c r="J133">
        <f ca="1">IF(OR(IncidentTable[[#This Row],[Status]]="Resolved",IncidentTable[[#This Row],[Status]]="Closed"),RANDBETWEEN(1,120),"")</f>
        <v>11</v>
      </c>
      <c r="K133" t="str">
        <f t="shared" ca="1" si="8"/>
        <v>Closed</v>
      </c>
      <c r="L133" t="str" cm="1">
        <f t="array" aca="1" ref="L133" ca="1">INDEX(AnalystList,RANDBETWEEN(1,ROWS(AnalystList)))</f>
        <v>Alex Johnson</v>
      </c>
      <c r="M133" t="str" cm="1">
        <f t="array" aca="1" ref="M133" ca="1">INDEX(RootCauseList,RANDBETWEEN(1,ROWS(RootCauseList)))</f>
        <v>System Bug</v>
      </c>
      <c r="N133">
        <f t="shared" ca="1" si="11"/>
        <v>294.49</v>
      </c>
      <c r="O133">
        <f ca="1">IF(OR(IncidentTable[[#This Row],[Status]]="Resolved",IncidentTable[[#This Row],[Status]]="Closed"),
ROUND(IncidentTable[[#This Row],[Estimated Impact ($)]]*(1+RANDBETWEEN(-15,25)/100)+RAND(),2),
"")</f>
        <v>338.86</v>
      </c>
      <c r="P133">
        <f ca="1">IF(IncidentTable[[#This Row],[Actual Impact ($)]]="","",ROUND(IncidentTable[[#This Row],[Actual Impact ($)]]-IncidentTable[[#This Row],[Estimated Impact ($)]],2))</f>
        <v>44.37</v>
      </c>
      <c r="Q133" s="2">
        <f ca="1">IF(IncidentTable[[#This Row],[Actual Impact ($)]]="","",(IncidentTable[[#This Row],[Actual Impact ($)]]-IncidentTable[[#This Row],[Estimated Impact ($)]]) / IncidentTable[[#This Row],[Estimated Impact ($)]])</f>
        <v>0.15066725525484737</v>
      </c>
      <c r="R133" s="3">
        <f ca="1">IF(IncidentTable[[#This Row],[Priority]]="Critical",1,
IF(IncidentTable[[#This Row],[Priority]]="High",3,
IF(IncidentTable[[#This Row],[Priority]]="Medium",5,
IF(IncidentTable[[#This Row],[Priority]]="Low",10,""))))</f>
        <v>1</v>
      </c>
      <c r="S133" t="str">
        <f ca="1">IF(IncidentTable[[#This Row],[Resolution Time (Days)]]="","",
IF(IncidentTable[[#This Row],[Resolution Time (Days)]]&lt;=IncidentTable[[#This Row],[SLA Target (Days)]],"Yes","No"))</f>
        <v>No</v>
      </c>
    </row>
    <row r="134" spans="1:19" x14ac:dyDescent="0.25">
      <c r="A134" t="str">
        <f t="shared" ca="1" si="9"/>
        <v>INC683773</v>
      </c>
      <c r="B134" t="str" cm="1">
        <f t="array" aca="1" ref="B134" ca="1">INDEX(SystemList,RANDBETWEEN(1,ROWS(SystemList)))</f>
        <v>Regulatory System</v>
      </c>
      <c r="C134" t="str" cm="1">
        <f t="array" aca="1" ref="C134" ca="1">INDEX(IssueTypeList,RANDBETWEEN(1,ROWS(IssueTypeList)))</f>
        <v>User Access Issue</v>
      </c>
      <c r="D134" t="str" cm="1">
        <f t="array" aca="1" ref="D134" ca="1">INDEX(PriorityList,RANDBETWEEN(1,ROWS(PriorityList)))</f>
        <v>High</v>
      </c>
      <c r="E134" t="str" cm="1">
        <f t="array" aca="1" ref="E134" ca="1">INDEX(SeverityList,RANDBETWEEN(1,ROWS(SeverityList)))</f>
        <v>Minor</v>
      </c>
      <c r="F134" t="str" cm="1">
        <f t="array" aca="1" ref="F134" ca="1">INDEX(RegionList,RANDBETWEEN(1,ROWS(RegionList)))</f>
        <v>East</v>
      </c>
      <c r="G134" t="str" cm="1">
        <f t="array" aca="1" ref="G134" ca="1">INDEX(DepartmentList,RANDBETWEEN(1,ROWS(DepartmentList)))</f>
        <v>IT</v>
      </c>
      <c r="H134" s="1">
        <f t="shared" ca="1" si="10"/>
        <v>45178</v>
      </c>
      <c r="I134" s="4">
        <f ca="1">IF(IncidentTable[[#This Row],[Resolution Time (Days)]]="","",IncidentTable[[#This Row],[Created Date]]+IncidentTable[[#This Row],[Resolution Time (Days)]])</f>
        <v>45232</v>
      </c>
      <c r="J134">
        <f ca="1">IF(OR(IncidentTable[[#This Row],[Status]]="Resolved",IncidentTable[[#This Row],[Status]]="Closed"),RANDBETWEEN(1,120),"")</f>
        <v>54</v>
      </c>
      <c r="K134" t="str">
        <f t="shared" ca="1" si="8"/>
        <v>Resolved</v>
      </c>
      <c r="L134" t="str" cm="1">
        <f t="array" aca="1" ref="L134" ca="1">INDEX(AnalystList,RANDBETWEEN(1,ROWS(AnalystList)))</f>
        <v>Riley Wilson</v>
      </c>
      <c r="M134" t="str" cm="1">
        <f t="array" aca="1" ref="M134" ca="1">INDEX(RootCauseList,RANDBETWEEN(1,ROWS(RootCauseList)))</f>
        <v>Integration Failure</v>
      </c>
      <c r="N134">
        <f t="shared" ca="1" si="11"/>
        <v>2586.09</v>
      </c>
      <c r="O134">
        <f ca="1">IF(OR(IncidentTable[[#This Row],[Status]]="Resolved",IncidentTable[[#This Row],[Status]]="Closed"),
ROUND(IncidentTable[[#This Row],[Estimated Impact ($)]]*(1+RANDBETWEEN(-15,25)/100)+RAND(),2),
"")</f>
        <v>2457.33</v>
      </c>
      <c r="P134">
        <f ca="1">IF(IncidentTable[[#This Row],[Actual Impact ($)]]="","",ROUND(IncidentTable[[#This Row],[Actual Impact ($)]]-IncidentTable[[#This Row],[Estimated Impact ($)]],2))</f>
        <v>-128.76</v>
      </c>
      <c r="Q134" s="2">
        <f ca="1">IF(IncidentTable[[#This Row],[Actual Impact ($)]]="","",(IncidentTable[[#This Row],[Actual Impact ($)]]-IncidentTable[[#This Row],[Estimated Impact ($)]]) / IncidentTable[[#This Row],[Estimated Impact ($)]])</f>
        <v>-4.9789450483161919E-2</v>
      </c>
      <c r="R134" s="3">
        <f ca="1">IF(IncidentTable[[#This Row],[Priority]]="Critical",1,
IF(IncidentTable[[#This Row],[Priority]]="High",3,
IF(IncidentTable[[#This Row],[Priority]]="Medium",5,
IF(IncidentTable[[#This Row],[Priority]]="Low",10,""))))</f>
        <v>3</v>
      </c>
      <c r="S134" t="str">
        <f ca="1">IF(IncidentTable[[#This Row],[Resolution Time (Days)]]="","",
IF(IncidentTable[[#This Row],[Resolution Time (Days)]]&lt;=IncidentTable[[#This Row],[SLA Target (Days)]],"Yes","No"))</f>
        <v>No</v>
      </c>
    </row>
    <row r="135" spans="1:19" x14ac:dyDescent="0.25">
      <c r="A135" t="str">
        <f t="shared" ca="1" si="9"/>
        <v>INC578265</v>
      </c>
      <c r="B135" t="str" cm="1">
        <f t="array" aca="1" ref="B135" ca="1">INDEX(SystemList,RANDBETWEEN(1,ROWS(SystemList)))</f>
        <v>Customer Portal</v>
      </c>
      <c r="C135" t="str" cm="1">
        <f t="array" aca="1" ref="C135" ca="1">INDEX(IssueTypeList,RANDBETWEEN(1,ROWS(IssueTypeList)))</f>
        <v>Processing Delay</v>
      </c>
      <c r="D135" t="str" cm="1">
        <f t="array" aca="1" ref="D135" ca="1">INDEX(PriorityList,RANDBETWEEN(1,ROWS(PriorityList)))</f>
        <v>Medium</v>
      </c>
      <c r="E135" t="str" cm="1">
        <f t="array" aca="1" ref="E135" ca="1">INDEX(SeverityList,RANDBETWEEN(1,ROWS(SeverityList)))</f>
        <v>Critical</v>
      </c>
      <c r="F135" t="str" cm="1">
        <f t="array" aca="1" ref="F135" ca="1">INDEX(RegionList,RANDBETWEEN(1,ROWS(RegionList)))</f>
        <v>West</v>
      </c>
      <c r="G135" t="str" cm="1">
        <f t="array" aca="1" ref="G135" ca="1">INDEX(DepartmentList,RANDBETWEEN(1,ROWS(DepartmentList)))</f>
        <v>IT</v>
      </c>
      <c r="H135" s="1">
        <f t="shared" ca="1" si="10"/>
        <v>45242</v>
      </c>
      <c r="I135" s="4">
        <f ca="1">IF(IncidentTable[[#This Row],[Resolution Time (Days)]]="","",IncidentTable[[#This Row],[Created Date]]+IncidentTable[[#This Row],[Resolution Time (Days)]])</f>
        <v>45250</v>
      </c>
      <c r="J135">
        <f ca="1">IF(OR(IncidentTable[[#This Row],[Status]]="Resolved",IncidentTable[[#This Row],[Status]]="Closed"),RANDBETWEEN(1,120),"")</f>
        <v>8</v>
      </c>
      <c r="K135" t="str">
        <f t="shared" ca="1" si="8"/>
        <v>Resolved</v>
      </c>
      <c r="L135" t="str" cm="1">
        <f t="array" aca="1" ref="L135" ca="1">INDEX(AnalystList,RANDBETWEEN(1,ROWS(AnalystList)))</f>
        <v>Morgan Davis</v>
      </c>
      <c r="M135" t="str" cm="1">
        <f t="array" aca="1" ref="M135" ca="1">INDEX(RootCauseList,RANDBETWEEN(1,ROWS(RootCauseList)))</f>
        <v>System Bug</v>
      </c>
      <c r="N135">
        <f t="shared" ca="1" si="11"/>
        <v>278.92</v>
      </c>
      <c r="O135">
        <f ca="1">IF(OR(IncidentTable[[#This Row],[Status]]="Resolved",IncidentTable[[#This Row],[Status]]="Closed"),
ROUND(IncidentTable[[#This Row],[Estimated Impact ($)]]*(1+RANDBETWEEN(-15,25)/100)+RAND(),2),
"")</f>
        <v>295.89999999999998</v>
      </c>
      <c r="P135">
        <f ca="1">IF(IncidentTable[[#This Row],[Actual Impact ($)]]="","",ROUND(IncidentTable[[#This Row],[Actual Impact ($)]]-IncidentTable[[#This Row],[Estimated Impact ($)]],2))</f>
        <v>16.98</v>
      </c>
      <c r="Q135" s="2">
        <f ca="1">IF(IncidentTable[[#This Row],[Actual Impact ($)]]="","",(IncidentTable[[#This Row],[Actual Impact ($)]]-IncidentTable[[#This Row],[Estimated Impact ($)]]) / IncidentTable[[#This Row],[Estimated Impact ($)]])</f>
        <v>6.0877671016778864E-2</v>
      </c>
      <c r="R135" s="3">
        <f ca="1">IF(IncidentTable[[#This Row],[Priority]]="Critical",1,
IF(IncidentTable[[#This Row],[Priority]]="High",3,
IF(IncidentTable[[#This Row],[Priority]]="Medium",5,
IF(IncidentTable[[#This Row],[Priority]]="Low",10,""))))</f>
        <v>5</v>
      </c>
      <c r="S135" t="str">
        <f ca="1">IF(IncidentTable[[#This Row],[Resolution Time (Days)]]="","",
IF(IncidentTable[[#This Row],[Resolution Time (Days)]]&lt;=IncidentTable[[#This Row],[SLA Target (Days)]],"Yes","No"))</f>
        <v>No</v>
      </c>
    </row>
    <row r="136" spans="1:19" x14ac:dyDescent="0.25">
      <c r="A136" t="str">
        <f t="shared" ca="1" si="9"/>
        <v>INC139100</v>
      </c>
      <c r="B136" t="str" cm="1">
        <f t="array" aca="1" ref="B136" ca="1">INDEX(SystemList,RANDBETWEEN(1,ROWS(SystemList)))</f>
        <v>Reporting System</v>
      </c>
      <c r="C136" t="str" cm="1">
        <f t="array" aca="1" ref="C136" ca="1">INDEX(IssueTypeList,RANDBETWEEN(1,ROWS(IssueTypeList)))</f>
        <v>Performance Issue</v>
      </c>
      <c r="D136" t="str" cm="1">
        <f t="array" aca="1" ref="D136" ca="1">INDEX(PriorityList,RANDBETWEEN(1,ROWS(PriorityList)))</f>
        <v>High</v>
      </c>
      <c r="E136" t="str" cm="1">
        <f t="array" aca="1" ref="E136" ca="1">INDEX(SeverityList,RANDBETWEEN(1,ROWS(SeverityList)))</f>
        <v>Minor</v>
      </c>
      <c r="F136" t="str" cm="1">
        <f t="array" aca="1" ref="F136" ca="1">INDEX(RegionList,RANDBETWEEN(1,ROWS(RegionList)))</f>
        <v>West</v>
      </c>
      <c r="G136" t="str" cm="1">
        <f t="array" aca="1" ref="G136" ca="1">INDEX(DepartmentList,RANDBETWEEN(1,ROWS(DepartmentList)))</f>
        <v>Billing</v>
      </c>
      <c r="H136" s="1">
        <f t="shared" ca="1" si="10"/>
        <v>45125</v>
      </c>
      <c r="I136" s="4" t="str">
        <f ca="1">IF(IncidentTable[[#This Row],[Resolution Time (Days)]]="","",IncidentTable[[#This Row],[Created Date]]+IncidentTable[[#This Row],[Resolution Time (Days)]])</f>
        <v/>
      </c>
      <c r="J136" t="str">
        <f ca="1">IF(OR(IncidentTable[[#This Row],[Status]]="Resolved",IncidentTable[[#This Row],[Status]]="Closed"),RANDBETWEEN(1,120),"")</f>
        <v/>
      </c>
      <c r="K136" t="str">
        <f t="shared" ca="1" si="8"/>
        <v>In Progress</v>
      </c>
      <c r="L136" t="str" cm="1">
        <f t="array" aca="1" ref="L136" ca="1">INDEX(AnalystList,RANDBETWEEN(1,ROWS(AnalystList)))</f>
        <v>Taylor Smith</v>
      </c>
      <c r="M136" t="str" cm="1">
        <f t="array" aca="1" ref="M136" ca="1">INDEX(RootCauseList,RANDBETWEEN(1,ROWS(RootCauseList)))</f>
        <v>Configuration Issue</v>
      </c>
      <c r="N136">
        <f t="shared" ca="1" si="11"/>
        <v>2988.58</v>
      </c>
      <c r="O136" t="str">
        <f ca="1">IF(OR(IncidentTable[[#This Row],[Status]]="Resolved",IncidentTable[[#This Row],[Status]]="Closed"),
ROUND(IncidentTable[[#This Row],[Estimated Impact ($)]]*(1+RANDBETWEEN(-15,25)/100)+RAND(),2),
"")</f>
        <v/>
      </c>
      <c r="P136" t="str">
        <f ca="1">IF(IncidentTable[[#This Row],[Actual Impact ($)]]="","",ROUND(IncidentTable[[#This Row],[Actual Impact ($)]]-IncidentTable[[#This Row],[Estimated Impact ($)]],2))</f>
        <v/>
      </c>
      <c r="Q136" s="2" t="str">
        <f ca="1">IF(IncidentTable[[#This Row],[Actual Impact ($)]]="","",(IncidentTable[[#This Row],[Actual Impact ($)]]-IncidentTable[[#This Row],[Estimated Impact ($)]]) / IncidentTable[[#This Row],[Estimated Impact ($)]])</f>
        <v/>
      </c>
      <c r="R136" s="3">
        <f ca="1">IF(IncidentTable[[#This Row],[Priority]]="Critical",1,
IF(IncidentTable[[#This Row],[Priority]]="High",3,
IF(IncidentTable[[#This Row],[Priority]]="Medium",5,
IF(IncidentTable[[#This Row],[Priority]]="Low",10,""))))</f>
        <v>3</v>
      </c>
      <c r="S136" t="str">
        <f ca="1">IF(IncidentTable[[#This Row],[Resolution Time (Days)]]="","",
IF(IncidentTable[[#This Row],[Resolution Time (Days)]]&lt;=IncidentTable[[#This Row],[SLA Target (Days)]],"Yes","No"))</f>
        <v/>
      </c>
    </row>
    <row r="137" spans="1:19" x14ac:dyDescent="0.25">
      <c r="A137" t="str">
        <f t="shared" ca="1" si="9"/>
        <v>INC678148</v>
      </c>
      <c r="B137" t="str" cm="1">
        <f t="array" aca="1" ref="B137" ca="1">INDEX(SystemList,RANDBETWEEN(1,ROWS(SystemList)))</f>
        <v>Regulatory System</v>
      </c>
      <c r="C137" t="str" cm="1">
        <f t="array" aca="1" ref="C137" ca="1">INDEX(IssueTypeList,RANDBETWEEN(1,ROWS(IssueTypeList)))</f>
        <v>Integration Failure</v>
      </c>
      <c r="D137" t="str" cm="1">
        <f t="array" aca="1" ref="D137" ca="1">INDEX(PriorityList,RANDBETWEEN(1,ROWS(PriorityList)))</f>
        <v>Low</v>
      </c>
      <c r="E137" t="str" cm="1">
        <f t="array" aca="1" ref="E137" ca="1">INDEX(SeverityList,RANDBETWEEN(1,ROWS(SeverityList)))</f>
        <v>Minor</v>
      </c>
      <c r="F137" t="str" cm="1">
        <f t="array" aca="1" ref="F137" ca="1">INDEX(RegionList,RANDBETWEEN(1,ROWS(RegionList)))</f>
        <v>West</v>
      </c>
      <c r="G137" t="str" cm="1">
        <f t="array" aca="1" ref="G137" ca="1">INDEX(DepartmentList,RANDBETWEEN(1,ROWS(DepartmentList)))</f>
        <v>Customer Service</v>
      </c>
      <c r="H137" s="1">
        <f t="shared" ca="1" si="10"/>
        <v>45182</v>
      </c>
      <c r="I137" s="4">
        <f ca="1">IF(IncidentTable[[#This Row],[Resolution Time (Days)]]="","",IncidentTable[[#This Row],[Created Date]]+IncidentTable[[#This Row],[Resolution Time (Days)]])</f>
        <v>45282</v>
      </c>
      <c r="J137">
        <f ca="1">IF(OR(IncidentTable[[#This Row],[Status]]="Resolved",IncidentTable[[#This Row],[Status]]="Closed"),RANDBETWEEN(1,120),"")</f>
        <v>100</v>
      </c>
      <c r="K137" t="str">
        <f t="shared" ca="1" si="8"/>
        <v>Resolved</v>
      </c>
      <c r="L137" t="str" cm="1">
        <f t="array" aca="1" ref="L137" ca="1">INDEX(AnalystList,RANDBETWEEN(1,ROWS(AnalystList)))</f>
        <v>Morgan Davis</v>
      </c>
      <c r="M137" t="str" cm="1">
        <f t="array" aca="1" ref="M137" ca="1">INDEX(RootCauseList,RANDBETWEEN(1,ROWS(RootCauseList)))</f>
        <v>User Error</v>
      </c>
      <c r="N137">
        <f t="shared" ca="1" si="11"/>
        <v>2.71</v>
      </c>
      <c r="O137">
        <f ca="1">IF(OR(IncidentTable[[#This Row],[Status]]="Resolved",IncidentTable[[#This Row],[Status]]="Closed"),
ROUND(IncidentTable[[#This Row],[Estimated Impact ($)]]*(1+RANDBETWEEN(-15,25)/100)+RAND(),2),
"")</f>
        <v>3.7</v>
      </c>
      <c r="P137">
        <f ca="1">IF(IncidentTable[[#This Row],[Actual Impact ($)]]="","",ROUND(IncidentTable[[#This Row],[Actual Impact ($)]]-IncidentTable[[#This Row],[Estimated Impact ($)]],2))</f>
        <v>0.99</v>
      </c>
      <c r="Q137" s="2">
        <f ca="1">IF(IncidentTable[[#This Row],[Actual Impact ($)]]="","",(IncidentTable[[#This Row],[Actual Impact ($)]]-IncidentTable[[#This Row],[Estimated Impact ($)]]) / IncidentTable[[#This Row],[Estimated Impact ($)]])</f>
        <v>0.36531365313653147</v>
      </c>
      <c r="R137" s="3">
        <f ca="1">IF(IncidentTable[[#This Row],[Priority]]="Critical",1,
IF(IncidentTable[[#This Row],[Priority]]="High",3,
IF(IncidentTable[[#This Row],[Priority]]="Medium",5,
IF(IncidentTable[[#This Row],[Priority]]="Low",10,""))))</f>
        <v>10</v>
      </c>
      <c r="S137" t="str">
        <f ca="1">IF(IncidentTable[[#This Row],[Resolution Time (Days)]]="","",
IF(IncidentTable[[#This Row],[Resolution Time (Days)]]&lt;=IncidentTable[[#This Row],[SLA Target (Days)]],"Yes","No"))</f>
        <v>No</v>
      </c>
    </row>
    <row r="138" spans="1:19" x14ac:dyDescent="0.25">
      <c r="A138" t="str">
        <f t="shared" ca="1" si="9"/>
        <v>INC378437</v>
      </c>
      <c r="B138" t="str" cm="1">
        <f t="array" aca="1" ref="B138" ca="1">INDEX(SystemList,RANDBETWEEN(1,ROWS(SystemList)))</f>
        <v>Billing System</v>
      </c>
      <c r="C138" t="str" cm="1">
        <f t="array" aca="1" ref="C138" ca="1">INDEX(IssueTypeList,RANDBETWEEN(1,ROWS(IssueTypeList)))</f>
        <v>User Access Issue</v>
      </c>
      <c r="D138" t="str" cm="1">
        <f t="array" aca="1" ref="D138" ca="1">INDEX(PriorityList,RANDBETWEEN(1,ROWS(PriorityList)))</f>
        <v>Low</v>
      </c>
      <c r="E138" t="str" cm="1">
        <f t="array" aca="1" ref="E138" ca="1">INDEX(SeverityList,RANDBETWEEN(1,ROWS(SeverityList)))</f>
        <v>Minor</v>
      </c>
      <c r="F138" t="str" cm="1">
        <f t="array" aca="1" ref="F138" ca="1">INDEX(RegionList,RANDBETWEEN(1,ROWS(RegionList)))</f>
        <v>Southeast</v>
      </c>
      <c r="G138" t="str" cm="1">
        <f t="array" aca="1" ref="G138" ca="1">INDEX(DepartmentList,RANDBETWEEN(1,ROWS(DepartmentList)))</f>
        <v>Finance</v>
      </c>
      <c r="H138" s="1">
        <f t="shared" ca="1" si="10"/>
        <v>44958</v>
      </c>
      <c r="I138" s="4" t="str">
        <f ca="1">IF(IncidentTable[[#This Row],[Resolution Time (Days)]]="","",IncidentTable[[#This Row],[Created Date]]+IncidentTable[[#This Row],[Resolution Time (Days)]])</f>
        <v/>
      </c>
      <c r="J138" t="str">
        <f ca="1">IF(OR(IncidentTable[[#This Row],[Status]]="Resolved",IncidentTable[[#This Row],[Status]]="Closed"),RANDBETWEEN(1,120),"")</f>
        <v/>
      </c>
      <c r="K138" t="str">
        <f t="shared" ca="1" si="8"/>
        <v>Open</v>
      </c>
      <c r="L138" t="str" cm="1">
        <f t="array" aca="1" ref="L138" ca="1">INDEX(AnalystList,RANDBETWEEN(1,ROWS(AnalystList)))</f>
        <v>Taylor Smith</v>
      </c>
      <c r="M138" t="str" cm="1">
        <f t="array" aca="1" ref="M138" ca="1">INDEX(RootCauseList,RANDBETWEEN(1,ROWS(RootCauseList)))</f>
        <v>System Bug</v>
      </c>
      <c r="N138">
        <f t="shared" ca="1" si="11"/>
        <v>15219.41</v>
      </c>
      <c r="O138" t="str">
        <f ca="1">IF(OR(IncidentTable[[#This Row],[Status]]="Resolved",IncidentTable[[#This Row],[Status]]="Closed"),
ROUND(IncidentTable[[#This Row],[Estimated Impact ($)]]*(1+RANDBETWEEN(-15,25)/100)+RAND(),2),
"")</f>
        <v/>
      </c>
      <c r="P138" t="str">
        <f ca="1">IF(IncidentTable[[#This Row],[Actual Impact ($)]]="","",ROUND(IncidentTable[[#This Row],[Actual Impact ($)]]-IncidentTable[[#This Row],[Estimated Impact ($)]],2))</f>
        <v/>
      </c>
      <c r="Q138" s="2" t="str">
        <f ca="1">IF(IncidentTable[[#This Row],[Actual Impact ($)]]="","",(IncidentTable[[#This Row],[Actual Impact ($)]]-IncidentTable[[#This Row],[Estimated Impact ($)]]) / IncidentTable[[#This Row],[Estimated Impact ($)]])</f>
        <v/>
      </c>
      <c r="R138" s="3">
        <f ca="1">IF(IncidentTable[[#This Row],[Priority]]="Critical",1,
IF(IncidentTable[[#This Row],[Priority]]="High",3,
IF(IncidentTable[[#This Row],[Priority]]="Medium",5,
IF(IncidentTable[[#This Row],[Priority]]="Low",10,""))))</f>
        <v>10</v>
      </c>
      <c r="S138" t="str">
        <f ca="1">IF(IncidentTable[[#This Row],[Resolution Time (Days)]]="","",
IF(IncidentTable[[#This Row],[Resolution Time (Days)]]&lt;=IncidentTable[[#This Row],[SLA Target (Days)]],"Yes","No"))</f>
        <v/>
      </c>
    </row>
    <row r="139" spans="1:19" x14ac:dyDescent="0.25">
      <c r="A139" t="str">
        <f t="shared" ca="1" si="9"/>
        <v>INC295826</v>
      </c>
      <c r="B139" t="str" cm="1">
        <f t="array" aca="1" ref="B139" ca="1">INDEX(SystemList,RANDBETWEEN(1,ROWS(SystemList)))</f>
        <v>Policy Admin System</v>
      </c>
      <c r="C139" t="str" cm="1">
        <f t="array" aca="1" ref="C139" ca="1">INDEX(IssueTypeList,RANDBETWEEN(1,ROWS(IssueTypeList)))</f>
        <v>Complaint</v>
      </c>
      <c r="D139" t="str" cm="1">
        <f t="array" aca="1" ref="D139" ca="1">INDEX(PriorityList,RANDBETWEEN(1,ROWS(PriorityList)))</f>
        <v>Medium</v>
      </c>
      <c r="E139" t="str" cm="1">
        <f t="array" aca="1" ref="E139" ca="1">INDEX(SeverityList,RANDBETWEEN(1,ROWS(SeverityList)))</f>
        <v>Moderate</v>
      </c>
      <c r="F139" t="str" cm="1">
        <f t="array" aca="1" ref="F139" ca="1">INDEX(RegionList,RANDBETWEEN(1,ROWS(RegionList)))</f>
        <v>West</v>
      </c>
      <c r="G139" t="str" cm="1">
        <f t="array" aca="1" ref="G139" ca="1">INDEX(DepartmentList,RANDBETWEEN(1,ROWS(DepartmentList)))</f>
        <v>IT</v>
      </c>
      <c r="H139" s="1">
        <f t="shared" ca="1" si="10"/>
        <v>45257</v>
      </c>
      <c r="I139" s="4" t="str">
        <f ca="1">IF(IncidentTable[[#This Row],[Resolution Time (Days)]]="","",IncidentTable[[#This Row],[Created Date]]+IncidentTable[[#This Row],[Resolution Time (Days)]])</f>
        <v/>
      </c>
      <c r="J139" t="str">
        <f ca="1">IF(OR(IncidentTable[[#This Row],[Status]]="Resolved",IncidentTable[[#This Row],[Status]]="Closed"),RANDBETWEEN(1,120),"")</f>
        <v/>
      </c>
      <c r="K139" t="str">
        <f t="shared" ca="1" si="8"/>
        <v>Open</v>
      </c>
      <c r="L139" t="str" cm="1">
        <f t="array" aca="1" ref="L139" ca="1">INDEX(AnalystList,RANDBETWEEN(1,ROWS(AnalystList)))</f>
        <v>Casey Brown</v>
      </c>
      <c r="M139" t="str" cm="1">
        <f t="array" aca="1" ref="M139" ca="1">INDEX(RootCauseList,RANDBETWEEN(1,ROWS(RootCauseList)))</f>
        <v>System Bug</v>
      </c>
      <c r="N139">
        <f t="shared" ca="1" si="11"/>
        <v>5999.01</v>
      </c>
      <c r="O139" t="str">
        <f ca="1">IF(OR(IncidentTable[[#This Row],[Status]]="Resolved",IncidentTable[[#This Row],[Status]]="Closed"),
ROUND(IncidentTable[[#This Row],[Estimated Impact ($)]]*(1+RANDBETWEEN(-15,25)/100)+RAND(),2),
"")</f>
        <v/>
      </c>
      <c r="P139" t="str">
        <f ca="1">IF(IncidentTable[[#This Row],[Actual Impact ($)]]="","",ROUND(IncidentTable[[#This Row],[Actual Impact ($)]]-IncidentTable[[#This Row],[Estimated Impact ($)]],2))</f>
        <v/>
      </c>
      <c r="Q139" s="2" t="str">
        <f ca="1">IF(IncidentTable[[#This Row],[Actual Impact ($)]]="","",(IncidentTable[[#This Row],[Actual Impact ($)]]-IncidentTable[[#This Row],[Estimated Impact ($)]]) / IncidentTable[[#This Row],[Estimated Impact ($)]])</f>
        <v/>
      </c>
      <c r="R139" s="3">
        <f ca="1">IF(IncidentTable[[#This Row],[Priority]]="Critical",1,
IF(IncidentTable[[#This Row],[Priority]]="High",3,
IF(IncidentTable[[#This Row],[Priority]]="Medium",5,
IF(IncidentTable[[#This Row],[Priority]]="Low",10,""))))</f>
        <v>5</v>
      </c>
      <c r="S139" t="str">
        <f ca="1">IF(IncidentTable[[#This Row],[Resolution Time (Days)]]="","",
IF(IncidentTable[[#This Row],[Resolution Time (Days)]]&lt;=IncidentTable[[#This Row],[SLA Target (Days)]],"Yes","No"))</f>
        <v/>
      </c>
    </row>
    <row r="140" spans="1:19" x14ac:dyDescent="0.25">
      <c r="A140" t="str">
        <f t="shared" ca="1" si="9"/>
        <v>INC273156</v>
      </c>
      <c r="B140" t="str" cm="1">
        <f t="array" aca="1" ref="B140" ca="1">INDEX(SystemList,RANDBETWEEN(1,ROWS(SystemList)))</f>
        <v>Regulatory System</v>
      </c>
      <c r="C140" t="str" cm="1">
        <f t="array" aca="1" ref="C140" ca="1">INDEX(IssueTypeList,RANDBETWEEN(1,ROWS(IssueTypeList)))</f>
        <v>Payment Failure</v>
      </c>
      <c r="D140" t="str" cm="1">
        <f t="array" aca="1" ref="D140" ca="1">INDEX(PriorityList,RANDBETWEEN(1,ROWS(PriorityList)))</f>
        <v>Critical</v>
      </c>
      <c r="E140" t="str" cm="1">
        <f t="array" aca="1" ref="E140" ca="1">INDEX(SeverityList,RANDBETWEEN(1,ROWS(SeverityList)))</f>
        <v>Minor</v>
      </c>
      <c r="F140" t="str" cm="1">
        <f t="array" aca="1" ref="F140" ca="1">INDEX(RegionList,RANDBETWEEN(1,ROWS(RegionList)))</f>
        <v>West</v>
      </c>
      <c r="G140" t="str" cm="1">
        <f t="array" aca="1" ref="G140" ca="1">INDEX(DepartmentList,RANDBETWEEN(1,ROWS(DepartmentList)))</f>
        <v>Billing</v>
      </c>
      <c r="H140" s="1">
        <f t="shared" ca="1" si="10"/>
        <v>45454</v>
      </c>
      <c r="I140" s="4" t="str">
        <f ca="1">IF(IncidentTable[[#This Row],[Resolution Time (Days)]]="","",IncidentTable[[#This Row],[Created Date]]+IncidentTable[[#This Row],[Resolution Time (Days)]])</f>
        <v/>
      </c>
      <c r="J140" t="str">
        <f ca="1">IF(OR(IncidentTable[[#This Row],[Status]]="Resolved",IncidentTable[[#This Row],[Status]]="Closed"),RANDBETWEEN(1,120),"")</f>
        <v/>
      </c>
      <c r="K140" t="str">
        <f t="shared" ca="1" si="8"/>
        <v>Pending</v>
      </c>
      <c r="L140" t="str" cm="1">
        <f t="array" aca="1" ref="L140" ca="1">INDEX(AnalystList,RANDBETWEEN(1,ROWS(AnalystList)))</f>
        <v>Alex Johnson</v>
      </c>
      <c r="M140" t="str" cm="1">
        <f t="array" aca="1" ref="M140" ca="1">INDEX(RootCauseList,RANDBETWEEN(1,ROWS(RootCauseList)))</f>
        <v>User Error</v>
      </c>
      <c r="N140">
        <f t="shared" ca="1" si="11"/>
        <v>3423.62</v>
      </c>
      <c r="O140" t="str">
        <f ca="1">IF(OR(IncidentTable[[#This Row],[Status]]="Resolved",IncidentTable[[#This Row],[Status]]="Closed"),
ROUND(IncidentTable[[#This Row],[Estimated Impact ($)]]*(1+RANDBETWEEN(-15,25)/100)+RAND(),2),
"")</f>
        <v/>
      </c>
      <c r="P140" t="str">
        <f ca="1">IF(IncidentTable[[#This Row],[Actual Impact ($)]]="","",ROUND(IncidentTable[[#This Row],[Actual Impact ($)]]-IncidentTable[[#This Row],[Estimated Impact ($)]],2))</f>
        <v/>
      </c>
      <c r="Q140" s="2" t="str">
        <f ca="1">IF(IncidentTable[[#This Row],[Actual Impact ($)]]="","",(IncidentTable[[#This Row],[Actual Impact ($)]]-IncidentTable[[#This Row],[Estimated Impact ($)]]) / IncidentTable[[#This Row],[Estimated Impact ($)]])</f>
        <v/>
      </c>
      <c r="R140" s="3">
        <f ca="1">IF(IncidentTable[[#This Row],[Priority]]="Critical",1,
IF(IncidentTable[[#This Row],[Priority]]="High",3,
IF(IncidentTable[[#This Row],[Priority]]="Medium",5,
IF(IncidentTable[[#This Row],[Priority]]="Low",10,""))))</f>
        <v>1</v>
      </c>
      <c r="S140" t="str">
        <f ca="1">IF(IncidentTable[[#This Row],[Resolution Time (Days)]]="","",
IF(IncidentTable[[#This Row],[Resolution Time (Days)]]&lt;=IncidentTable[[#This Row],[SLA Target (Days)]],"Yes","No"))</f>
        <v/>
      </c>
    </row>
    <row r="141" spans="1:19" x14ac:dyDescent="0.25">
      <c r="A141" t="str">
        <f t="shared" ca="1" si="9"/>
        <v>INC545858</v>
      </c>
      <c r="B141" t="str" cm="1">
        <f t="array" aca="1" ref="B141" ca="1">INDEX(SystemList,RANDBETWEEN(1,ROWS(SystemList)))</f>
        <v>Regulatory System</v>
      </c>
      <c r="C141" t="str" cm="1">
        <f t="array" aca="1" ref="C141" ca="1">INDEX(IssueTypeList,RANDBETWEEN(1,ROWS(IssueTypeList)))</f>
        <v>Complaint</v>
      </c>
      <c r="D141" t="str" cm="1">
        <f t="array" aca="1" ref="D141" ca="1">INDEX(PriorityList,RANDBETWEEN(1,ROWS(PriorityList)))</f>
        <v>High</v>
      </c>
      <c r="E141" t="str" cm="1">
        <f t="array" aca="1" ref="E141" ca="1">INDEX(SeverityList,RANDBETWEEN(1,ROWS(SeverityList)))</f>
        <v>Major</v>
      </c>
      <c r="F141" t="str" cm="1">
        <f t="array" aca="1" ref="F141" ca="1">INDEX(RegionList,RANDBETWEEN(1,ROWS(RegionList)))</f>
        <v>Midwest</v>
      </c>
      <c r="G141" t="str" cm="1">
        <f t="array" aca="1" ref="G141" ca="1">INDEX(DepartmentList,RANDBETWEEN(1,ROWS(DepartmentList)))</f>
        <v>Compliance</v>
      </c>
      <c r="H141" s="1">
        <f t="shared" ca="1" si="10"/>
        <v>45382</v>
      </c>
      <c r="I141" s="4" t="str">
        <f ca="1">IF(IncidentTable[[#This Row],[Resolution Time (Days)]]="","",IncidentTable[[#This Row],[Created Date]]+IncidentTable[[#This Row],[Resolution Time (Days)]])</f>
        <v/>
      </c>
      <c r="J141" t="str">
        <f ca="1">IF(OR(IncidentTable[[#This Row],[Status]]="Resolved",IncidentTable[[#This Row],[Status]]="Closed"),RANDBETWEEN(1,120),"")</f>
        <v/>
      </c>
      <c r="K141" t="str">
        <f t="shared" ca="1" si="8"/>
        <v>Pending</v>
      </c>
      <c r="L141" t="str" cm="1">
        <f t="array" aca="1" ref="L141" ca="1">INDEX(AnalystList,RANDBETWEEN(1,ROWS(AnalystList)))</f>
        <v>Alex Johnson</v>
      </c>
      <c r="M141" t="str" cm="1">
        <f t="array" aca="1" ref="M141" ca="1">INDEX(RootCauseList,RANDBETWEEN(1,ROWS(RootCauseList)))</f>
        <v>Configuration Issue</v>
      </c>
      <c r="N141">
        <f t="shared" ca="1" si="11"/>
        <v>10635.5</v>
      </c>
      <c r="O141" t="str">
        <f ca="1">IF(OR(IncidentTable[[#This Row],[Status]]="Resolved",IncidentTable[[#This Row],[Status]]="Closed"),
ROUND(IncidentTable[[#This Row],[Estimated Impact ($)]]*(1+RANDBETWEEN(-15,25)/100)+RAND(),2),
"")</f>
        <v/>
      </c>
      <c r="P141" t="str">
        <f ca="1">IF(IncidentTable[[#This Row],[Actual Impact ($)]]="","",ROUND(IncidentTable[[#This Row],[Actual Impact ($)]]-IncidentTable[[#This Row],[Estimated Impact ($)]],2))</f>
        <v/>
      </c>
      <c r="Q141" s="2" t="str">
        <f ca="1">IF(IncidentTable[[#This Row],[Actual Impact ($)]]="","",(IncidentTable[[#This Row],[Actual Impact ($)]]-IncidentTable[[#This Row],[Estimated Impact ($)]]) / IncidentTable[[#This Row],[Estimated Impact ($)]])</f>
        <v/>
      </c>
      <c r="R141" s="3">
        <f ca="1">IF(IncidentTable[[#This Row],[Priority]]="Critical",1,
IF(IncidentTable[[#This Row],[Priority]]="High",3,
IF(IncidentTable[[#This Row],[Priority]]="Medium",5,
IF(IncidentTable[[#This Row],[Priority]]="Low",10,""))))</f>
        <v>3</v>
      </c>
      <c r="S141" t="str">
        <f ca="1">IF(IncidentTable[[#This Row],[Resolution Time (Days)]]="","",
IF(IncidentTable[[#This Row],[Resolution Time (Days)]]&lt;=IncidentTable[[#This Row],[SLA Target (Days)]],"Yes","No"))</f>
        <v/>
      </c>
    </row>
    <row r="142" spans="1:19" x14ac:dyDescent="0.25">
      <c r="A142" t="str">
        <f t="shared" ca="1" si="9"/>
        <v>INC749986</v>
      </c>
      <c r="B142" t="str" cm="1">
        <f t="array" aca="1" ref="B142" ca="1">INDEX(SystemList,RANDBETWEEN(1,ROWS(SystemList)))</f>
        <v>Reporting System</v>
      </c>
      <c r="C142" t="str" cm="1">
        <f t="array" aca="1" ref="C142" ca="1">INDEX(IssueTypeList,RANDBETWEEN(1,ROWS(IssueTypeList)))</f>
        <v>Payment Failure</v>
      </c>
      <c r="D142" t="str" cm="1">
        <f t="array" aca="1" ref="D142" ca="1">INDEX(PriorityList,RANDBETWEEN(1,ROWS(PriorityList)))</f>
        <v>Medium</v>
      </c>
      <c r="E142" t="str" cm="1">
        <f t="array" aca="1" ref="E142" ca="1">INDEX(SeverityList,RANDBETWEEN(1,ROWS(SeverityList)))</f>
        <v>Moderate</v>
      </c>
      <c r="F142" t="str" cm="1">
        <f t="array" aca="1" ref="F142" ca="1">INDEX(RegionList,RANDBETWEEN(1,ROWS(RegionList)))</f>
        <v>Central</v>
      </c>
      <c r="G142" t="str" cm="1">
        <f t="array" aca="1" ref="G142" ca="1">INDEX(DepartmentList,RANDBETWEEN(1,ROWS(DepartmentList)))</f>
        <v>Finance</v>
      </c>
      <c r="H142" s="1">
        <f t="shared" ca="1" si="10"/>
        <v>45410</v>
      </c>
      <c r="I142" s="4" t="str">
        <f ca="1">IF(IncidentTable[[#This Row],[Resolution Time (Days)]]="","",IncidentTable[[#This Row],[Created Date]]+IncidentTable[[#This Row],[Resolution Time (Days)]])</f>
        <v/>
      </c>
      <c r="J142" t="str">
        <f ca="1">IF(OR(IncidentTable[[#This Row],[Status]]="Resolved",IncidentTable[[#This Row],[Status]]="Closed"),RANDBETWEEN(1,120),"")</f>
        <v/>
      </c>
      <c r="K142" t="str">
        <f t="shared" ca="1" si="8"/>
        <v>Pending</v>
      </c>
      <c r="L142" t="str" cm="1">
        <f t="array" aca="1" ref="L142" ca="1">INDEX(AnalystList,RANDBETWEEN(1,ROWS(AnalystList)))</f>
        <v>Casey Brown</v>
      </c>
      <c r="M142" t="str" cm="1">
        <f t="array" aca="1" ref="M142" ca="1">INDEX(RootCauseList,RANDBETWEEN(1,ROWS(RootCauseList)))</f>
        <v>User Error</v>
      </c>
      <c r="N142">
        <f t="shared" ca="1" si="11"/>
        <v>2212.4299999999998</v>
      </c>
      <c r="O142" t="str">
        <f ca="1">IF(OR(IncidentTable[[#This Row],[Status]]="Resolved",IncidentTable[[#This Row],[Status]]="Closed"),
ROUND(IncidentTable[[#This Row],[Estimated Impact ($)]]*(1+RANDBETWEEN(-15,25)/100)+RAND(),2),
"")</f>
        <v/>
      </c>
      <c r="P142" t="str">
        <f ca="1">IF(IncidentTable[[#This Row],[Actual Impact ($)]]="","",ROUND(IncidentTable[[#This Row],[Actual Impact ($)]]-IncidentTable[[#This Row],[Estimated Impact ($)]],2))</f>
        <v/>
      </c>
      <c r="Q142" s="2" t="str">
        <f ca="1">IF(IncidentTable[[#This Row],[Actual Impact ($)]]="","",(IncidentTable[[#This Row],[Actual Impact ($)]]-IncidentTable[[#This Row],[Estimated Impact ($)]]) / IncidentTable[[#This Row],[Estimated Impact ($)]])</f>
        <v/>
      </c>
      <c r="R142" s="3">
        <f ca="1">IF(IncidentTable[[#This Row],[Priority]]="Critical",1,
IF(IncidentTable[[#This Row],[Priority]]="High",3,
IF(IncidentTable[[#This Row],[Priority]]="Medium",5,
IF(IncidentTable[[#This Row],[Priority]]="Low",10,""))))</f>
        <v>5</v>
      </c>
      <c r="S142" t="str">
        <f ca="1">IF(IncidentTable[[#This Row],[Resolution Time (Days)]]="","",
IF(IncidentTable[[#This Row],[Resolution Time (Days)]]&lt;=IncidentTable[[#This Row],[SLA Target (Days)]],"Yes","No"))</f>
        <v/>
      </c>
    </row>
    <row r="143" spans="1:19" x14ac:dyDescent="0.25">
      <c r="A143" t="str">
        <f t="shared" ca="1" si="9"/>
        <v>INC188799</v>
      </c>
      <c r="B143" t="str" cm="1">
        <f t="array" aca="1" ref="B143" ca="1">INDEX(SystemList,RANDBETWEEN(1,ROWS(SystemList)))</f>
        <v>Reporting System</v>
      </c>
      <c r="C143" t="str" cm="1">
        <f t="array" aca="1" ref="C143" ca="1">INDEX(IssueTypeList,RANDBETWEEN(1,ROWS(IssueTypeList)))</f>
        <v>Data Issue</v>
      </c>
      <c r="D143" t="str" cm="1">
        <f t="array" aca="1" ref="D143" ca="1">INDEX(PriorityList,RANDBETWEEN(1,ROWS(PriorityList)))</f>
        <v>High</v>
      </c>
      <c r="E143" t="str" cm="1">
        <f t="array" aca="1" ref="E143" ca="1">INDEX(SeverityList,RANDBETWEEN(1,ROWS(SeverityList)))</f>
        <v>Critical</v>
      </c>
      <c r="F143" t="str" cm="1">
        <f t="array" aca="1" ref="F143" ca="1">INDEX(RegionList,RANDBETWEEN(1,ROWS(RegionList)))</f>
        <v>Southeast</v>
      </c>
      <c r="G143" t="str" cm="1">
        <f t="array" aca="1" ref="G143" ca="1">INDEX(DepartmentList,RANDBETWEEN(1,ROWS(DepartmentList)))</f>
        <v>Claims</v>
      </c>
      <c r="H143" s="1">
        <f t="shared" ca="1" si="10"/>
        <v>44994</v>
      </c>
      <c r="I143" s="4">
        <f ca="1">IF(IncidentTable[[#This Row],[Resolution Time (Days)]]="","",IncidentTable[[#This Row],[Created Date]]+IncidentTable[[#This Row],[Resolution Time (Days)]])</f>
        <v>45058</v>
      </c>
      <c r="J143">
        <f ca="1">IF(OR(IncidentTable[[#This Row],[Status]]="Resolved",IncidentTable[[#This Row],[Status]]="Closed"),RANDBETWEEN(1,120),"")</f>
        <v>64</v>
      </c>
      <c r="K143" t="str">
        <f t="shared" ca="1" si="8"/>
        <v>Resolved</v>
      </c>
      <c r="L143" t="str" cm="1">
        <f t="array" aca="1" ref="L143" ca="1">INDEX(AnalystList,RANDBETWEEN(1,ROWS(AnalystList)))</f>
        <v>Taylor Smith</v>
      </c>
      <c r="M143" t="str" cm="1">
        <f t="array" aca="1" ref="M143" ca="1">INDEX(RootCauseList,RANDBETWEEN(1,ROWS(RootCauseList)))</f>
        <v>Unknown</v>
      </c>
      <c r="N143">
        <f t="shared" ca="1" si="11"/>
        <v>34615.919999999998</v>
      </c>
      <c r="O143">
        <f ca="1">IF(OR(IncidentTable[[#This Row],[Status]]="Resolved",IncidentTable[[#This Row],[Status]]="Closed"),
ROUND(IncidentTable[[#This Row],[Estimated Impact ($)]]*(1+RANDBETWEEN(-15,25)/100)+RAND(),2),
"")</f>
        <v>30462.55</v>
      </c>
      <c r="P143">
        <f ca="1">IF(IncidentTable[[#This Row],[Actual Impact ($)]]="","",ROUND(IncidentTable[[#This Row],[Actual Impact ($)]]-IncidentTable[[#This Row],[Estimated Impact ($)]],2))</f>
        <v>-4153.37</v>
      </c>
      <c r="Q143" s="2">
        <f ca="1">IF(IncidentTable[[#This Row],[Actual Impact ($)]]="","",(IncidentTable[[#This Row],[Actual Impact ($)]]-IncidentTable[[#This Row],[Estimated Impact ($)]]) / IncidentTable[[#This Row],[Estimated Impact ($)]])</f>
        <v>-0.11998438868589942</v>
      </c>
      <c r="R143" s="3">
        <f ca="1">IF(IncidentTable[[#This Row],[Priority]]="Critical",1,
IF(IncidentTable[[#This Row],[Priority]]="High",3,
IF(IncidentTable[[#This Row],[Priority]]="Medium",5,
IF(IncidentTable[[#This Row],[Priority]]="Low",10,""))))</f>
        <v>3</v>
      </c>
      <c r="S143" t="str">
        <f ca="1">IF(IncidentTable[[#This Row],[Resolution Time (Days)]]="","",
IF(IncidentTable[[#This Row],[Resolution Time (Days)]]&lt;=IncidentTable[[#This Row],[SLA Target (Days)]],"Yes","No"))</f>
        <v>No</v>
      </c>
    </row>
    <row r="144" spans="1:19" x14ac:dyDescent="0.25">
      <c r="A144" t="str">
        <f t="shared" ca="1" si="9"/>
        <v>INC734448</v>
      </c>
      <c r="B144" t="str" cm="1">
        <f t="array" aca="1" ref="B144" ca="1">INDEX(SystemList,RANDBETWEEN(1,ROWS(SystemList)))</f>
        <v>Customer Portal</v>
      </c>
      <c r="C144" t="str" cm="1">
        <f t="array" aca="1" ref="C144" ca="1">INDEX(IssueTypeList,RANDBETWEEN(1,ROWS(IssueTypeList)))</f>
        <v>Processing Delay</v>
      </c>
      <c r="D144" t="str" cm="1">
        <f t="array" aca="1" ref="D144" ca="1">INDEX(PriorityList,RANDBETWEEN(1,ROWS(PriorityList)))</f>
        <v>Medium</v>
      </c>
      <c r="E144" t="str" cm="1">
        <f t="array" aca="1" ref="E144" ca="1">INDEX(SeverityList,RANDBETWEEN(1,ROWS(SeverityList)))</f>
        <v>Critical</v>
      </c>
      <c r="F144" t="str" cm="1">
        <f t="array" aca="1" ref="F144" ca="1">INDEX(RegionList,RANDBETWEEN(1,ROWS(RegionList)))</f>
        <v>Midwest</v>
      </c>
      <c r="G144" t="str" cm="1">
        <f t="array" aca="1" ref="G144" ca="1">INDEX(DepartmentList,RANDBETWEEN(1,ROWS(DepartmentList)))</f>
        <v>IT</v>
      </c>
      <c r="H144" s="1">
        <f t="shared" ca="1" si="10"/>
        <v>45339</v>
      </c>
      <c r="I144" s="4" t="str">
        <f ca="1">IF(IncidentTable[[#This Row],[Resolution Time (Days)]]="","",IncidentTable[[#This Row],[Created Date]]+IncidentTable[[#This Row],[Resolution Time (Days)]])</f>
        <v/>
      </c>
      <c r="J144" t="str">
        <f ca="1">IF(OR(IncidentTable[[#This Row],[Status]]="Resolved",IncidentTable[[#This Row],[Status]]="Closed"),RANDBETWEEN(1,120),"")</f>
        <v/>
      </c>
      <c r="K144" t="str">
        <f t="shared" ca="1" si="8"/>
        <v>Open</v>
      </c>
      <c r="L144" t="str" cm="1">
        <f t="array" aca="1" ref="L144" ca="1">INDEX(AnalystList,RANDBETWEEN(1,ROWS(AnalystList)))</f>
        <v>Jordan Lee</v>
      </c>
      <c r="M144" t="str" cm="1">
        <f t="array" aca="1" ref="M144" ca="1">INDEX(RootCauseList,RANDBETWEEN(1,ROWS(RootCauseList)))</f>
        <v>User Error</v>
      </c>
      <c r="N144">
        <f t="shared" ca="1" si="11"/>
        <v>285.49</v>
      </c>
      <c r="O144" t="str">
        <f ca="1">IF(OR(IncidentTable[[#This Row],[Status]]="Resolved",IncidentTable[[#This Row],[Status]]="Closed"),
ROUND(IncidentTable[[#This Row],[Estimated Impact ($)]]*(1+RANDBETWEEN(-15,25)/100)+RAND(),2),
"")</f>
        <v/>
      </c>
      <c r="P144" t="str">
        <f ca="1">IF(IncidentTable[[#This Row],[Actual Impact ($)]]="","",ROUND(IncidentTable[[#This Row],[Actual Impact ($)]]-IncidentTable[[#This Row],[Estimated Impact ($)]],2))</f>
        <v/>
      </c>
      <c r="Q144" s="2" t="str">
        <f ca="1">IF(IncidentTable[[#This Row],[Actual Impact ($)]]="","",(IncidentTable[[#This Row],[Actual Impact ($)]]-IncidentTable[[#This Row],[Estimated Impact ($)]]) / IncidentTable[[#This Row],[Estimated Impact ($)]])</f>
        <v/>
      </c>
      <c r="R144" s="3">
        <f ca="1">IF(IncidentTable[[#This Row],[Priority]]="Critical",1,
IF(IncidentTable[[#This Row],[Priority]]="High",3,
IF(IncidentTable[[#This Row],[Priority]]="Medium",5,
IF(IncidentTable[[#This Row],[Priority]]="Low",10,""))))</f>
        <v>5</v>
      </c>
      <c r="S144" t="str">
        <f ca="1">IF(IncidentTable[[#This Row],[Resolution Time (Days)]]="","",
IF(IncidentTable[[#This Row],[Resolution Time (Days)]]&lt;=IncidentTable[[#This Row],[SLA Target (Days)]],"Yes","No"))</f>
        <v/>
      </c>
    </row>
    <row r="145" spans="1:19" x14ac:dyDescent="0.25">
      <c r="A145" t="str">
        <f t="shared" ca="1" si="9"/>
        <v>INC944743</v>
      </c>
      <c r="B145" t="str" cm="1">
        <f t="array" aca="1" ref="B145" ca="1">INDEX(SystemList,RANDBETWEEN(1,ROWS(SystemList)))</f>
        <v>Regulatory System</v>
      </c>
      <c r="C145" t="str" cm="1">
        <f t="array" aca="1" ref="C145" ca="1">INDEX(IssueTypeList,RANDBETWEEN(1,ROWS(IssueTypeList)))</f>
        <v>Performance Issue</v>
      </c>
      <c r="D145" t="str" cm="1">
        <f t="array" aca="1" ref="D145" ca="1">INDEX(PriorityList,RANDBETWEEN(1,ROWS(PriorityList)))</f>
        <v>Medium</v>
      </c>
      <c r="E145" t="str" cm="1">
        <f t="array" aca="1" ref="E145" ca="1">INDEX(SeverityList,RANDBETWEEN(1,ROWS(SeverityList)))</f>
        <v>Minor</v>
      </c>
      <c r="F145" t="str" cm="1">
        <f t="array" aca="1" ref="F145" ca="1">INDEX(RegionList,RANDBETWEEN(1,ROWS(RegionList)))</f>
        <v>West</v>
      </c>
      <c r="G145" t="str" cm="1">
        <f t="array" aca="1" ref="G145" ca="1">INDEX(DepartmentList,RANDBETWEEN(1,ROWS(DepartmentList)))</f>
        <v>Finance</v>
      </c>
      <c r="H145" s="1">
        <f t="shared" ca="1" si="10"/>
        <v>45336</v>
      </c>
      <c r="I145" s="4">
        <f ca="1">IF(IncidentTable[[#This Row],[Resolution Time (Days)]]="","",IncidentTable[[#This Row],[Created Date]]+IncidentTable[[#This Row],[Resolution Time (Days)]])</f>
        <v>45439</v>
      </c>
      <c r="J145">
        <f ca="1">IF(OR(IncidentTable[[#This Row],[Status]]="Resolved",IncidentTable[[#This Row],[Status]]="Closed"),RANDBETWEEN(1,120),"")</f>
        <v>103</v>
      </c>
      <c r="K145" t="str">
        <f t="shared" ca="1" si="8"/>
        <v>Resolved</v>
      </c>
      <c r="L145" t="str" cm="1">
        <f t="array" aca="1" ref="L145" ca="1">INDEX(AnalystList,RANDBETWEEN(1,ROWS(AnalystList)))</f>
        <v>Taylor Smith</v>
      </c>
      <c r="M145" t="str" cm="1">
        <f t="array" aca="1" ref="M145" ca="1">INDEX(RootCauseList,RANDBETWEEN(1,ROWS(RootCauseList)))</f>
        <v>User Error</v>
      </c>
      <c r="N145">
        <f t="shared" ca="1" si="11"/>
        <v>664.69</v>
      </c>
      <c r="O145">
        <f ca="1">IF(OR(IncidentTable[[#This Row],[Status]]="Resolved",IncidentTable[[#This Row],[Status]]="Closed"),
ROUND(IncidentTable[[#This Row],[Estimated Impact ($)]]*(1+RANDBETWEEN(-15,25)/100)+RAND(),2),
"")</f>
        <v>571.75</v>
      </c>
      <c r="P145">
        <f ca="1">IF(IncidentTable[[#This Row],[Actual Impact ($)]]="","",ROUND(IncidentTable[[#This Row],[Actual Impact ($)]]-IncidentTable[[#This Row],[Estimated Impact ($)]],2))</f>
        <v>-92.94</v>
      </c>
      <c r="Q145" s="2">
        <f ca="1">IF(IncidentTable[[#This Row],[Actual Impact ($)]]="","",(IncidentTable[[#This Row],[Actual Impact ($)]]-IncidentTable[[#This Row],[Estimated Impact ($)]]) / IncidentTable[[#This Row],[Estimated Impact ($)]])</f>
        <v>-0.13982457987934233</v>
      </c>
      <c r="R145" s="3">
        <f ca="1">IF(IncidentTable[[#This Row],[Priority]]="Critical",1,
IF(IncidentTable[[#This Row],[Priority]]="High",3,
IF(IncidentTable[[#This Row],[Priority]]="Medium",5,
IF(IncidentTable[[#This Row],[Priority]]="Low",10,""))))</f>
        <v>5</v>
      </c>
      <c r="S145" t="str">
        <f ca="1">IF(IncidentTable[[#This Row],[Resolution Time (Days)]]="","",
IF(IncidentTable[[#This Row],[Resolution Time (Days)]]&lt;=IncidentTable[[#This Row],[SLA Target (Days)]],"Yes","No"))</f>
        <v>No</v>
      </c>
    </row>
    <row r="146" spans="1:19" x14ac:dyDescent="0.25">
      <c r="A146" t="str">
        <f t="shared" ca="1" si="9"/>
        <v>INC869661</v>
      </c>
      <c r="B146" t="str" cm="1">
        <f t="array" aca="1" ref="B146" ca="1">INDEX(SystemList,RANDBETWEEN(1,ROWS(SystemList)))</f>
        <v>Policy Admin System</v>
      </c>
      <c r="C146" t="str" cm="1">
        <f t="array" aca="1" ref="C146" ca="1">INDEX(IssueTypeList,RANDBETWEEN(1,ROWS(IssueTypeList)))</f>
        <v>Complaint</v>
      </c>
      <c r="D146" t="str" cm="1">
        <f t="array" aca="1" ref="D146" ca="1">INDEX(PriorityList,RANDBETWEEN(1,ROWS(PriorityList)))</f>
        <v>Low</v>
      </c>
      <c r="E146" t="str" cm="1">
        <f t="array" aca="1" ref="E146" ca="1">INDEX(SeverityList,RANDBETWEEN(1,ROWS(SeverityList)))</f>
        <v>Minor</v>
      </c>
      <c r="F146" t="str" cm="1">
        <f t="array" aca="1" ref="F146" ca="1">INDEX(RegionList,RANDBETWEEN(1,ROWS(RegionList)))</f>
        <v>Southeast</v>
      </c>
      <c r="G146" t="str" cm="1">
        <f t="array" aca="1" ref="G146" ca="1">INDEX(DepartmentList,RANDBETWEEN(1,ROWS(DepartmentList)))</f>
        <v>Billing</v>
      </c>
      <c r="H146" s="1">
        <f t="shared" ca="1" si="10"/>
        <v>45234</v>
      </c>
      <c r="I146" s="4" t="str">
        <f ca="1">IF(IncidentTable[[#This Row],[Resolution Time (Days)]]="","",IncidentTable[[#This Row],[Created Date]]+IncidentTable[[#This Row],[Resolution Time (Days)]])</f>
        <v/>
      </c>
      <c r="J146" t="str">
        <f ca="1">IF(OR(IncidentTable[[#This Row],[Status]]="Resolved",IncidentTable[[#This Row],[Status]]="Closed"),RANDBETWEEN(1,120),"")</f>
        <v/>
      </c>
      <c r="K146" t="str">
        <f t="shared" ca="1" si="8"/>
        <v>Open</v>
      </c>
      <c r="L146" t="str" cm="1">
        <f t="array" aca="1" ref="L146" ca="1">INDEX(AnalystList,RANDBETWEEN(1,ROWS(AnalystList)))</f>
        <v>Taylor Smith</v>
      </c>
      <c r="M146" t="str" cm="1">
        <f t="array" aca="1" ref="M146" ca="1">INDEX(RootCauseList,RANDBETWEEN(1,ROWS(RootCauseList)))</f>
        <v>Integration Failure</v>
      </c>
      <c r="N146">
        <f t="shared" ca="1" si="11"/>
        <v>41.55</v>
      </c>
      <c r="O146" t="str">
        <f ca="1">IF(OR(IncidentTable[[#This Row],[Status]]="Resolved",IncidentTable[[#This Row],[Status]]="Closed"),
ROUND(IncidentTable[[#This Row],[Estimated Impact ($)]]*(1+RANDBETWEEN(-15,25)/100)+RAND(),2),
"")</f>
        <v/>
      </c>
      <c r="P146" t="str">
        <f ca="1">IF(IncidentTable[[#This Row],[Actual Impact ($)]]="","",ROUND(IncidentTable[[#This Row],[Actual Impact ($)]]-IncidentTable[[#This Row],[Estimated Impact ($)]],2))</f>
        <v/>
      </c>
      <c r="Q146" s="2" t="str">
        <f ca="1">IF(IncidentTable[[#This Row],[Actual Impact ($)]]="","",(IncidentTable[[#This Row],[Actual Impact ($)]]-IncidentTable[[#This Row],[Estimated Impact ($)]]) / IncidentTable[[#This Row],[Estimated Impact ($)]])</f>
        <v/>
      </c>
      <c r="R146" s="3">
        <f ca="1">IF(IncidentTable[[#This Row],[Priority]]="Critical",1,
IF(IncidentTable[[#This Row],[Priority]]="High",3,
IF(IncidentTable[[#This Row],[Priority]]="Medium",5,
IF(IncidentTable[[#This Row],[Priority]]="Low",10,""))))</f>
        <v>10</v>
      </c>
      <c r="S146" t="str">
        <f ca="1">IF(IncidentTable[[#This Row],[Resolution Time (Days)]]="","",
IF(IncidentTable[[#This Row],[Resolution Time (Days)]]&lt;=IncidentTable[[#This Row],[SLA Target (Days)]],"Yes","No"))</f>
        <v/>
      </c>
    </row>
    <row r="147" spans="1:19" x14ac:dyDescent="0.25">
      <c r="A147" t="str">
        <f t="shared" ca="1" si="9"/>
        <v>INC965293</v>
      </c>
      <c r="B147" t="str" cm="1">
        <f t="array" aca="1" ref="B147" ca="1">INDEX(SystemList,RANDBETWEEN(1,ROWS(SystemList)))</f>
        <v>Reporting System</v>
      </c>
      <c r="C147" t="str" cm="1">
        <f t="array" aca="1" ref="C147" ca="1">INDEX(IssueTypeList,RANDBETWEEN(1,ROWS(IssueTypeList)))</f>
        <v>Data Issue</v>
      </c>
      <c r="D147" t="str" cm="1">
        <f t="array" aca="1" ref="D147" ca="1">INDEX(PriorityList,RANDBETWEEN(1,ROWS(PriorityList)))</f>
        <v>Low</v>
      </c>
      <c r="E147" t="str" cm="1">
        <f t="array" aca="1" ref="E147" ca="1">INDEX(SeverityList,RANDBETWEEN(1,ROWS(SeverityList)))</f>
        <v>Moderate</v>
      </c>
      <c r="F147" t="str" cm="1">
        <f t="array" aca="1" ref="F147" ca="1">INDEX(RegionList,RANDBETWEEN(1,ROWS(RegionList)))</f>
        <v>West</v>
      </c>
      <c r="G147" t="str" cm="1">
        <f t="array" aca="1" ref="G147" ca="1">INDEX(DepartmentList,RANDBETWEEN(1,ROWS(DepartmentList)))</f>
        <v>IT</v>
      </c>
      <c r="H147" s="1">
        <f t="shared" ca="1" si="10"/>
        <v>45236</v>
      </c>
      <c r="I147" s="4" t="str">
        <f ca="1">IF(IncidentTable[[#This Row],[Resolution Time (Days)]]="","",IncidentTable[[#This Row],[Created Date]]+IncidentTable[[#This Row],[Resolution Time (Days)]])</f>
        <v/>
      </c>
      <c r="J147" t="str">
        <f ca="1">IF(OR(IncidentTable[[#This Row],[Status]]="Resolved",IncidentTable[[#This Row],[Status]]="Closed"),RANDBETWEEN(1,120),"")</f>
        <v/>
      </c>
      <c r="K147" t="str">
        <f t="shared" ca="1" si="8"/>
        <v>Pending</v>
      </c>
      <c r="L147" t="str" cm="1">
        <f t="array" aca="1" ref="L147" ca="1">INDEX(AnalystList,RANDBETWEEN(1,ROWS(AnalystList)))</f>
        <v>Riley Wilson</v>
      </c>
      <c r="M147" t="str" cm="1">
        <f t="array" aca="1" ref="M147" ca="1">INDEX(RootCauseList,RANDBETWEEN(1,ROWS(RootCauseList)))</f>
        <v>Unknown</v>
      </c>
      <c r="N147">
        <f t="shared" ca="1" si="11"/>
        <v>20365.080000000002</v>
      </c>
      <c r="O147" t="str">
        <f ca="1">IF(OR(IncidentTable[[#This Row],[Status]]="Resolved",IncidentTable[[#This Row],[Status]]="Closed"),
ROUND(IncidentTable[[#This Row],[Estimated Impact ($)]]*(1+RANDBETWEEN(-15,25)/100)+RAND(),2),
"")</f>
        <v/>
      </c>
      <c r="P147" t="str">
        <f ca="1">IF(IncidentTable[[#This Row],[Actual Impact ($)]]="","",ROUND(IncidentTable[[#This Row],[Actual Impact ($)]]-IncidentTable[[#This Row],[Estimated Impact ($)]],2))</f>
        <v/>
      </c>
      <c r="Q147" s="2" t="str">
        <f ca="1">IF(IncidentTable[[#This Row],[Actual Impact ($)]]="","",(IncidentTable[[#This Row],[Actual Impact ($)]]-IncidentTable[[#This Row],[Estimated Impact ($)]]) / IncidentTable[[#This Row],[Estimated Impact ($)]])</f>
        <v/>
      </c>
      <c r="R147" s="3">
        <f ca="1">IF(IncidentTable[[#This Row],[Priority]]="Critical",1,
IF(IncidentTable[[#This Row],[Priority]]="High",3,
IF(IncidentTable[[#This Row],[Priority]]="Medium",5,
IF(IncidentTable[[#This Row],[Priority]]="Low",10,""))))</f>
        <v>10</v>
      </c>
      <c r="S147" t="str">
        <f ca="1">IF(IncidentTable[[#This Row],[Resolution Time (Days)]]="","",
IF(IncidentTable[[#This Row],[Resolution Time (Days)]]&lt;=IncidentTable[[#This Row],[SLA Target (Days)]],"Yes","No"))</f>
        <v/>
      </c>
    </row>
    <row r="148" spans="1:19" x14ac:dyDescent="0.25">
      <c r="A148" t="str">
        <f t="shared" ca="1" si="9"/>
        <v>INC270396</v>
      </c>
      <c r="B148" t="str" cm="1">
        <f t="array" aca="1" ref="B148" ca="1">INDEX(SystemList,RANDBETWEEN(1,ROWS(SystemList)))</f>
        <v>Reporting System</v>
      </c>
      <c r="C148" t="str" cm="1">
        <f t="array" aca="1" ref="C148" ca="1">INDEX(IssueTypeList,RANDBETWEEN(1,ROWS(IssueTypeList)))</f>
        <v>Data Issue</v>
      </c>
      <c r="D148" t="str" cm="1">
        <f t="array" aca="1" ref="D148" ca="1">INDEX(PriorityList,RANDBETWEEN(1,ROWS(PriorityList)))</f>
        <v>Medium</v>
      </c>
      <c r="E148" t="str" cm="1">
        <f t="array" aca="1" ref="E148" ca="1">INDEX(SeverityList,RANDBETWEEN(1,ROWS(SeverityList)))</f>
        <v>Major</v>
      </c>
      <c r="F148" t="str" cm="1">
        <f t="array" aca="1" ref="F148" ca="1">INDEX(RegionList,RANDBETWEEN(1,ROWS(RegionList)))</f>
        <v>Midwest</v>
      </c>
      <c r="G148" t="str" cm="1">
        <f t="array" aca="1" ref="G148" ca="1">INDEX(DepartmentList,RANDBETWEEN(1,ROWS(DepartmentList)))</f>
        <v>IT</v>
      </c>
      <c r="H148" s="1">
        <f t="shared" ca="1" si="10"/>
        <v>45142</v>
      </c>
      <c r="I148" s="4" t="str">
        <f ca="1">IF(IncidentTable[[#This Row],[Resolution Time (Days)]]="","",IncidentTable[[#This Row],[Created Date]]+IncidentTable[[#This Row],[Resolution Time (Days)]])</f>
        <v/>
      </c>
      <c r="J148" t="str">
        <f ca="1">IF(OR(IncidentTable[[#This Row],[Status]]="Resolved",IncidentTable[[#This Row],[Status]]="Closed"),RANDBETWEEN(1,120),"")</f>
        <v/>
      </c>
      <c r="K148" t="str">
        <f t="shared" ca="1" si="8"/>
        <v>In Progress</v>
      </c>
      <c r="L148" t="str" cm="1">
        <f t="array" aca="1" ref="L148" ca="1">INDEX(AnalystList,RANDBETWEEN(1,ROWS(AnalystList)))</f>
        <v>Taylor Smith</v>
      </c>
      <c r="M148" t="str" cm="1">
        <f t="array" aca="1" ref="M148" ca="1">INDEX(RootCauseList,RANDBETWEEN(1,ROWS(RootCauseList)))</f>
        <v>Configuration Issue</v>
      </c>
      <c r="N148">
        <f t="shared" ca="1" si="11"/>
        <v>5.35</v>
      </c>
      <c r="O148" t="str">
        <f ca="1">IF(OR(IncidentTable[[#This Row],[Status]]="Resolved",IncidentTable[[#This Row],[Status]]="Closed"),
ROUND(IncidentTable[[#This Row],[Estimated Impact ($)]]*(1+RANDBETWEEN(-15,25)/100)+RAND(),2),
"")</f>
        <v/>
      </c>
      <c r="P148" t="str">
        <f ca="1">IF(IncidentTable[[#This Row],[Actual Impact ($)]]="","",ROUND(IncidentTable[[#This Row],[Actual Impact ($)]]-IncidentTable[[#This Row],[Estimated Impact ($)]],2))</f>
        <v/>
      </c>
      <c r="Q148" s="2" t="str">
        <f ca="1">IF(IncidentTable[[#This Row],[Actual Impact ($)]]="","",(IncidentTable[[#This Row],[Actual Impact ($)]]-IncidentTable[[#This Row],[Estimated Impact ($)]]) / IncidentTable[[#This Row],[Estimated Impact ($)]])</f>
        <v/>
      </c>
      <c r="R148" s="3">
        <f ca="1">IF(IncidentTable[[#This Row],[Priority]]="Critical",1,
IF(IncidentTable[[#This Row],[Priority]]="High",3,
IF(IncidentTable[[#This Row],[Priority]]="Medium",5,
IF(IncidentTable[[#This Row],[Priority]]="Low",10,""))))</f>
        <v>5</v>
      </c>
      <c r="S148" t="str">
        <f ca="1">IF(IncidentTable[[#This Row],[Resolution Time (Days)]]="","",
IF(IncidentTable[[#This Row],[Resolution Time (Days)]]&lt;=IncidentTable[[#This Row],[SLA Target (Days)]],"Yes","No"))</f>
        <v/>
      </c>
    </row>
    <row r="149" spans="1:19" x14ac:dyDescent="0.25">
      <c r="A149" t="str">
        <f t="shared" ca="1" si="9"/>
        <v>INC747440</v>
      </c>
      <c r="B149" t="str" cm="1">
        <f t="array" aca="1" ref="B149" ca="1">INDEX(SystemList,RANDBETWEEN(1,ROWS(SystemList)))</f>
        <v>Reporting System</v>
      </c>
      <c r="C149" t="str" cm="1">
        <f t="array" aca="1" ref="C149" ca="1">INDEX(IssueTypeList,RANDBETWEEN(1,ROWS(IssueTypeList)))</f>
        <v>Integration Failure</v>
      </c>
      <c r="D149" t="str" cm="1">
        <f t="array" aca="1" ref="D149" ca="1">INDEX(PriorityList,RANDBETWEEN(1,ROWS(PriorityList)))</f>
        <v>Low</v>
      </c>
      <c r="E149" t="str" cm="1">
        <f t="array" aca="1" ref="E149" ca="1">INDEX(SeverityList,RANDBETWEEN(1,ROWS(SeverityList)))</f>
        <v>Minor</v>
      </c>
      <c r="F149" t="str" cm="1">
        <f t="array" aca="1" ref="F149" ca="1">INDEX(RegionList,RANDBETWEEN(1,ROWS(RegionList)))</f>
        <v>East</v>
      </c>
      <c r="G149" t="str" cm="1">
        <f t="array" aca="1" ref="G149" ca="1">INDEX(DepartmentList,RANDBETWEEN(1,ROWS(DepartmentList)))</f>
        <v>IT</v>
      </c>
      <c r="H149" s="1">
        <f t="shared" ca="1" si="10"/>
        <v>45217</v>
      </c>
      <c r="I149" s="4">
        <f ca="1">IF(IncidentTable[[#This Row],[Resolution Time (Days)]]="","",IncidentTable[[#This Row],[Created Date]]+IncidentTable[[#This Row],[Resolution Time (Days)]])</f>
        <v>45283</v>
      </c>
      <c r="J149">
        <f ca="1">IF(OR(IncidentTable[[#This Row],[Status]]="Resolved",IncidentTable[[#This Row],[Status]]="Closed"),RANDBETWEEN(1,120),"")</f>
        <v>66</v>
      </c>
      <c r="K149" t="str">
        <f t="shared" ca="1" si="8"/>
        <v>Resolved</v>
      </c>
      <c r="L149" t="str" cm="1">
        <f t="array" aca="1" ref="L149" ca="1">INDEX(AnalystList,RANDBETWEEN(1,ROWS(AnalystList)))</f>
        <v>Jordan Lee</v>
      </c>
      <c r="M149" t="str" cm="1">
        <f t="array" aca="1" ref="M149" ca="1">INDEX(RootCauseList,RANDBETWEEN(1,ROWS(RootCauseList)))</f>
        <v>Process Gap</v>
      </c>
      <c r="N149">
        <f t="shared" ca="1" si="11"/>
        <v>1671.97</v>
      </c>
      <c r="O149">
        <f ca="1">IF(OR(IncidentTable[[#This Row],[Status]]="Resolved",IncidentTable[[#This Row],[Status]]="Closed"),
ROUND(IncidentTable[[#This Row],[Estimated Impact ($)]]*(1+RANDBETWEEN(-15,25)/100)+RAND(),2),
"")</f>
        <v>1488.52</v>
      </c>
      <c r="P149">
        <f ca="1">IF(IncidentTable[[#This Row],[Actual Impact ($)]]="","",ROUND(IncidentTable[[#This Row],[Actual Impact ($)]]-IncidentTable[[#This Row],[Estimated Impact ($)]],2))</f>
        <v>-183.45</v>
      </c>
      <c r="Q149" s="2">
        <f ca="1">IF(IncidentTable[[#This Row],[Actual Impact ($)]]="","",(IncidentTable[[#This Row],[Actual Impact ($)]]-IncidentTable[[#This Row],[Estimated Impact ($)]]) / IncidentTable[[#This Row],[Estimated Impact ($)]])</f>
        <v>-0.10972086819739592</v>
      </c>
      <c r="R149" s="3">
        <f ca="1">IF(IncidentTable[[#This Row],[Priority]]="Critical",1,
IF(IncidentTable[[#This Row],[Priority]]="High",3,
IF(IncidentTable[[#This Row],[Priority]]="Medium",5,
IF(IncidentTable[[#This Row],[Priority]]="Low",10,""))))</f>
        <v>10</v>
      </c>
      <c r="S149" t="str">
        <f ca="1">IF(IncidentTable[[#This Row],[Resolution Time (Days)]]="","",
IF(IncidentTable[[#This Row],[Resolution Time (Days)]]&lt;=IncidentTable[[#This Row],[SLA Target (Days)]],"Yes","No"))</f>
        <v>No</v>
      </c>
    </row>
    <row r="150" spans="1:19" x14ac:dyDescent="0.25">
      <c r="A150" t="str">
        <f t="shared" ca="1" si="9"/>
        <v>INC865798</v>
      </c>
      <c r="B150" t="str" cm="1">
        <f t="array" aca="1" ref="B150" ca="1">INDEX(SystemList,RANDBETWEEN(1,ROWS(SystemList)))</f>
        <v>Customer Portal</v>
      </c>
      <c r="C150" t="str" cm="1">
        <f t="array" aca="1" ref="C150" ca="1">INDEX(IssueTypeList,RANDBETWEEN(1,ROWS(IssueTypeList)))</f>
        <v>User Access Issue</v>
      </c>
      <c r="D150" t="str" cm="1">
        <f t="array" aca="1" ref="D150" ca="1">INDEX(PriorityList,RANDBETWEEN(1,ROWS(PriorityList)))</f>
        <v>High</v>
      </c>
      <c r="E150" t="str" cm="1">
        <f t="array" aca="1" ref="E150" ca="1">INDEX(SeverityList,RANDBETWEEN(1,ROWS(SeverityList)))</f>
        <v>Critical</v>
      </c>
      <c r="F150" t="str" cm="1">
        <f t="array" aca="1" ref="F150" ca="1">INDEX(RegionList,RANDBETWEEN(1,ROWS(RegionList)))</f>
        <v>East</v>
      </c>
      <c r="G150" t="str" cm="1">
        <f t="array" aca="1" ref="G150" ca="1">INDEX(DepartmentList,RANDBETWEEN(1,ROWS(DepartmentList)))</f>
        <v>IT</v>
      </c>
      <c r="H150" s="1">
        <f t="shared" ca="1" si="10"/>
        <v>45090</v>
      </c>
      <c r="I150" s="4" t="str">
        <f ca="1">IF(IncidentTable[[#This Row],[Resolution Time (Days)]]="","",IncidentTable[[#This Row],[Created Date]]+IncidentTable[[#This Row],[Resolution Time (Days)]])</f>
        <v/>
      </c>
      <c r="J150" t="str">
        <f ca="1">IF(OR(IncidentTable[[#This Row],[Status]]="Resolved",IncidentTable[[#This Row],[Status]]="Closed"),RANDBETWEEN(1,120),"")</f>
        <v/>
      </c>
      <c r="K150" t="str">
        <f t="shared" ca="1" si="8"/>
        <v>Open</v>
      </c>
      <c r="L150" t="str" cm="1">
        <f t="array" aca="1" ref="L150" ca="1">INDEX(AnalystList,RANDBETWEEN(1,ROWS(AnalystList)))</f>
        <v>Riley Wilson</v>
      </c>
      <c r="M150" t="str" cm="1">
        <f t="array" aca="1" ref="M150" ca="1">INDEX(RootCauseList,RANDBETWEEN(1,ROWS(RootCauseList)))</f>
        <v>Network Failure</v>
      </c>
      <c r="N150">
        <f t="shared" ca="1" si="11"/>
        <v>16694.73</v>
      </c>
      <c r="O150" t="str">
        <f ca="1">IF(OR(IncidentTable[[#This Row],[Status]]="Resolved",IncidentTable[[#This Row],[Status]]="Closed"),
ROUND(IncidentTable[[#This Row],[Estimated Impact ($)]]*(1+RANDBETWEEN(-15,25)/100)+RAND(),2),
"")</f>
        <v/>
      </c>
      <c r="P150" t="str">
        <f ca="1">IF(IncidentTable[[#This Row],[Actual Impact ($)]]="","",ROUND(IncidentTable[[#This Row],[Actual Impact ($)]]-IncidentTable[[#This Row],[Estimated Impact ($)]],2))</f>
        <v/>
      </c>
      <c r="Q150" s="2" t="str">
        <f ca="1">IF(IncidentTable[[#This Row],[Actual Impact ($)]]="","",(IncidentTable[[#This Row],[Actual Impact ($)]]-IncidentTable[[#This Row],[Estimated Impact ($)]]) / IncidentTable[[#This Row],[Estimated Impact ($)]])</f>
        <v/>
      </c>
      <c r="R150" s="3">
        <f ca="1">IF(IncidentTable[[#This Row],[Priority]]="Critical",1,
IF(IncidentTable[[#This Row],[Priority]]="High",3,
IF(IncidentTable[[#This Row],[Priority]]="Medium",5,
IF(IncidentTable[[#This Row],[Priority]]="Low",10,""))))</f>
        <v>3</v>
      </c>
      <c r="S150" t="str">
        <f ca="1">IF(IncidentTable[[#This Row],[Resolution Time (Days)]]="","",
IF(IncidentTable[[#This Row],[Resolution Time (Days)]]&lt;=IncidentTable[[#This Row],[SLA Target (Days)]],"Yes","No"))</f>
        <v/>
      </c>
    </row>
    <row r="151" spans="1:19" x14ac:dyDescent="0.25">
      <c r="A151" t="str">
        <f t="shared" ca="1" si="9"/>
        <v>INC966792</v>
      </c>
      <c r="B151" t="str" cm="1">
        <f t="array" aca="1" ref="B151" ca="1">INDEX(SystemList,RANDBETWEEN(1,ROWS(SystemList)))</f>
        <v>Reporting System</v>
      </c>
      <c r="C151" t="str" cm="1">
        <f t="array" aca="1" ref="C151" ca="1">INDEX(IssueTypeList,RANDBETWEEN(1,ROWS(IssueTypeList)))</f>
        <v>Integration Failure</v>
      </c>
      <c r="D151" t="str" cm="1">
        <f t="array" aca="1" ref="D151" ca="1">INDEX(PriorityList,RANDBETWEEN(1,ROWS(PriorityList)))</f>
        <v>High</v>
      </c>
      <c r="E151" t="str" cm="1">
        <f t="array" aca="1" ref="E151" ca="1">INDEX(SeverityList,RANDBETWEEN(1,ROWS(SeverityList)))</f>
        <v>Major</v>
      </c>
      <c r="F151" t="str" cm="1">
        <f t="array" aca="1" ref="F151" ca="1">INDEX(RegionList,RANDBETWEEN(1,ROWS(RegionList)))</f>
        <v>Midwest</v>
      </c>
      <c r="G151" t="str" cm="1">
        <f t="array" aca="1" ref="G151" ca="1">INDEX(DepartmentList,RANDBETWEEN(1,ROWS(DepartmentList)))</f>
        <v>Compliance</v>
      </c>
      <c r="H151" s="1">
        <f t="shared" ca="1" si="10"/>
        <v>45002</v>
      </c>
      <c r="I151" s="4" t="str">
        <f ca="1">IF(IncidentTable[[#This Row],[Resolution Time (Days)]]="","",IncidentTable[[#This Row],[Created Date]]+IncidentTable[[#This Row],[Resolution Time (Days)]])</f>
        <v/>
      </c>
      <c r="J151" t="str">
        <f ca="1">IF(OR(IncidentTable[[#This Row],[Status]]="Resolved",IncidentTable[[#This Row],[Status]]="Closed"),RANDBETWEEN(1,120),"")</f>
        <v/>
      </c>
      <c r="K151" t="str">
        <f t="shared" ca="1" si="8"/>
        <v>Open</v>
      </c>
      <c r="L151" t="str" cm="1">
        <f t="array" aca="1" ref="L151" ca="1">INDEX(AnalystList,RANDBETWEEN(1,ROWS(AnalystList)))</f>
        <v>Jordan Lee</v>
      </c>
      <c r="M151" t="str" cm="1">
        <f t="array" aca="1" ref="M151" ca="1">INDEX(RootCauseList,RANDBETWEEN(1,ROWS(RootCauseList)))</f>
        <v>Unknown</v>
      </c>
      <c r="N151">
        <f t="shared" ca="1" si="11"/>
        <v>353.48</v>
      </c>
      <c r="O151" t="str">
        <f ca="1">IF(OR(IncidentTable[[#This Row],[Status]]="Resolved",IncidentTable[[#This Row],[Status]]="Closed"),
ROUND(IncidentTable[[#This Row],[Estimated Impact ($)]]*(1+RANDBETWEEN(-15,25)/100)+RAND(),2),
"")</f>
        <v/>
      </c>
      <c r="P151" t="str">
        <f ca="1">IF(IncidentTable[[#This Row],[Actual Impact ($)]]="","",ROUND(IncidentTable[[#This Row],[Actual Impact ($)]]-IncidentTable[[#This Row],[Estimated Impact ($)]],2))</f>
        <v/>
      </c>
      <c r="Q151" s="2" t="str">
        <f ca="1">IF(IncidentTable[[#This Row],[Actual Impact ($)]]="","",(IncidentTable[[#This Row],[Actual Impact ($)]]-IncidentTable[[#This Row],[Estimated Impact ($)]]) / IncidentTable[[#This Row],[Estimated Impact ($)]])</f>
        <v/>
      </c>
      <c r="R151" s="3">
        <f ca="1">IF(IncidentTable[[#This Row],[Priority]]="Critical",1,
IF(IncidentTable[[#This Row],[Priority]]="High",3,
IF(IncidentTable[[#This Row],[Priority]]="Medium",5,
IF(IncidentTable[[#This Row],[Priority]]="Low",10,""))))</f>
        <v>3</v>
      </c>
      <c r="S151" t="str">
        <f ca="1">IF(IncidentTable[[#This Row],[Resolution Time (Days)]]="","",
IF(IncidentTable[[#This Row],[Resolution Time (Days)]]&lt;=IncidentTable[[#This Row],[SLA Target (Days)]],"Yes","No"))</f>
        <v/>
      </c>
    </row>
    <row r="152" spans="1:19" x14ac:dyDescent="0.25">
      <c r="A152" t="str">
        <f t="shared" ca="1" si="9"/>
        <v>INC512626</v>
      </c>
      <c r="B152" t="str" cm="1">
        <f t="array" aca="1" ref="B152" ca="1">INDEX(SystemList,RANDBETWEEN(1,ROWS(SystemList)))</f>
        <v>Payment Processing</v>
      </c>
      <c r="C152" t="str" cm="1">
        <f t="array" aca="1" ref="C152" ca="1">INDEX(IssueTypeList,RANDBETWEEN(1,ROWS(IssueTypeList)))</f>
        <v>Complaint</v>
      </c>
      <c r="D152" t="str" cm="1">
        <f t="array" aca="1" ref="D152" ca="1">INDEX(PriorityList,RANDBETWEEN(1,ROWS(PriorityList)))</f>
        <v>High</v>
      </c>
      <c r="E152" t="str" cm="1">
        <f t="array" aca="1" ref="E152" ca="1">INDEX(SeverityList,RANDBETWEEN(1,ROWS(SeverityList)))</f>
        <v>Minor</v>
      </c>
      <c r="F152" t="str" cm="1">
        <f t="array" aca="1" ref="F152" ca="1">INDEX(RegionList,RANDBETWEEN(1,ROWS(RegionList)))</f>
        <v>East</v>
      </c>
      <c r="G152" t="str" cm="1">
        <f t="array" aca="1" ref="G152" ca="1">INDEX(DepartmentList,RANDBETWEEN(1,ROWS(DepartmentList)))</f>
        <v>Claims</v>
      </c>
      <c r="H152" s="1">
        <f t="shared" ca="1" si="10"/>
        <v>45379</v>
      </c>
      <c r="I152" s="4">
        <f ca="1">IF(IncidentTable[[#This Row],[Resolution Time (Days)]]="","",IncidentTable[[#This Row],[Created Date]]+IncidentTable[[#This Row],[Resolution Time (Days)]])</f>
        <v>45397</v>
      </c>
      <c r="J152">
        <f ca="1">IF(OR(IncidentTable[[#This Row],[Status]]="Resolved",IncidentTable[[#This Row],[Status]]="Closed"),RANDBETWEEN(1,120),"")</f>
        <v>18</v>
      </c>
      <c r="K152" t="str">
        <f t="shared" ca="1" si="8"/>
        <v>Closed</v>
      </c>
      <c r="L152" t="str" cm="1">
        <f t="array" aca="1" ref="L152" ca="1">INDEX(AnalystList,RANDBETWEEN(1,ROWS(AnalystList)))</f>
        <v>Alex Johnson</v>
      </c>
      <c r="M152" t="str" cm="1">
        <f t="array" aca="1" ref="M152" ca="1">INDEX(RootCauseList,RANDBETWEEN(1,ROWS(RootCauseList)))</f>
        <v>Unknown</v>
      </c>
      <c r="N152">
        <f t="shared" ca="1" si="11"/>
        <v>647.69000000000005</v>
      </c>
      <c r="O152">
        <f ca="1">IF(OR(IncidentTable[[#This Row],[Status]]="Resolved",IncidentTable[[#This Row],[Status]]="Closed"),
ROUND(IncidentTable[[#This Row],[Estimated Impact ($)]]*(1+RANDBETWEEN(-15,25)/100)+RAND(),2),
"")</f>
        <v>615.87</v>
      </c>
      <c r="P152">
        <f ca="1">IF(IncidentTable[[#This Row],[Actual Impact ($)]]="","",ROUND(IncidentTable[[#This Row],[Actual Impact ($)]]-IncidentTable[[#This Row],[Estimated Impact ($)]],2))</f>
        <v>-31.82</v>
      </c>
      <c r="Q152" s="2">
        <f ca="1">IF(IncidentTable[[#This Row],[Actual Impact ($)]]="","",(IncidentTable[[#This Row],[Actual Impact ($)]]-IncidentTable[[#This Row],[Estimated Impact ($)]]) / IncidentTable[[#This Row],[Estimated Impact ($)]])</f>
        <v>-4.9128441075205802E-2</v>
      </c>
      <c r="R152" s="3">
        <f ca="1">IF(IncidentTable[[#This Row],[Priority]]="Critical",1,
IF(IncidentTable[[#This Row],[Priority]]="High",3,
IF(IncidentTable[[#This Row],[Priority]]="Medium",5,
IF(IncidentTable[[#This Row],[Priority]]="Low",10,""))))</f>
        <v>3</v>
      </c>
      <c r="S152" t="str">
        <f ca="1">IF(IncidentTable[[#This Row],[Resolution Time (Days)]]="","",
IF(IncidentTable[[#This Row],[Resolution Time (Days)]]&lt;=IncidentTable[[#This Row],[SLA Target (Days)]],"Yes","No"))</f>
        <v>No</v>
      </c>
    </row>
    <row r="153" spans="1:19" x14ac:dyDescent="0.25">
      <c r="A153" t="str">
        <f t="shared" ca="1" si="9"/>
        <v>INC267394</v>
      </c>
      <c r="B153" t="str" cm="1">
        <f t="array" aca="1" ref="B153" ca="1">INDEX(SystemList,RANDBETWEEN(1,ROWS(SystemList)))</f>
        <v>Reporting System</v>
      </c>
      <c r="C153" t="str" cm="1">
        <f t="array" aca="1" ref="C153" ca="1">INDEX(IssueTypeList,RANDBETWEEN(1,ROWS(IssueTypeList)))</f>
        <v>Data Issue</v>
      </c>
      <c r="D153" t="str" cm="1">
        <f t="array" aca="1" ref="D153" ca="1">INDEX(PriorityList,RANDBETWEEN(1,ROWS(PriorityList)))</f>
        <v>High</v>
      </c>
      <c r="E153" t="str" cm="1">
        <f t="array" aca="1" ref="E153" ca="1">INDEX(SeverityList,RANDBETWEEN(1,ROWS(SeverityList)))</f>
        <v>Critical</v>
      </c>
      <c r="F153" t="str" cm="1">
        <f t="array" aca="1" ref="F153" ca="1">INDEX(RegionList,RANDBETWEEN(1,ROWS(RegionList)))</f>
        <v>East</v>
      </c>
      <c r="G153" t="str" cm="1">
        <f t="array" aca="1" ref="G153" ca="1">INDEX(DepartmentList,RANDBETWEEN(1,ROWS(DepartmentList)))</f>
        <v>Billing</v>
      </c>
      <c r="H153" s="1">
        <f t="shared" ca="1" si="10"/>
        <v>45087</v>
      </c>
      <c r="I153" s="4" t="str">
        <f ca="1">IF(IncidentTable[[#This Row],[Resolution Time (Days)]]="","",IncidentTable[[#This Row],[Created Date]]+IncidentTable[[#This Row],[Resolution Time (Days)]])</f>
        <v/>
      </c>
      <c r="J153" t="str">
        <f ca="1">IF(OR(IncidentTable[[#This Row],[Status]]="Resolved",IncidentTable[[#This Row],[Status]]="Closed"),RANDBETWEEN(1,120),"")</f>
        <v/>
      </c>
      <c r="K153" t="str">
        <f t="shared" ca="1" si="8"/>
        <v>Open</v>
      </c>
      <c r="L153" t="str" cm="1">
        <f t="array" aca="1" ref="L153" ca="1">INDEX(AnalystList,RANDBETWEEN(1,ROWS(AnalystList)))</f>
        <v>Riley Wilson</v>
      </c>
      <c r="M153" t="str" cm="1">
        <f t="array" aca="1" ref="M153" ca="1">INDEX(RootCauseList,RANDBETWEEN(1,ROWS(RootCauseList)))</f>
        <v>System Bug</v>
      </c>
      <c r="N153">
        <f t="shared" ca="1" si="11"/>
        <v>0.05</v>
      </c>
      <c r="O153" t="str">
        <f ca="1">IF(OR(IncidentTable[[#This Row],[Status]]="Resolved",IncidentTable[[#This Row],[Status]]="Closed"),
ROUND(IncidentTable[[#This Row],[Estimated Impact ($)]]*(1+RANDBETWEEN(-15,25)/100)+RAND(),2),
"")</f>
        <v/>
      </c>
      <c r="P153" t="str">
        <f ca="1">IF(IncidentTable[[#This Row],[Actual Impact ($)]]="","",ROUND(IncidentTable[[#This Row],[Actual Impact ($)]]-IncidentTable[[#This Row],[Estimated Impact ($)]],2))</f>
        <v/>
      </c>
      <c r="Q153" s="2" t="str">
        <f ca="1">IF(IncidentTable[[#This Row],[Actual Impact ($)]]="","",(IncidentTable[[#This Row],[Actual Impact ($)]]-IncidentTable[[#This Row],[Estimated Impact ($)]]) / IncidentTable[[#This Row],[Estimated Impact ($)]])</f>
        <v/>
      </c>
      <c r="R153" s="3">
        <f ca="1">IF(IncidentTable[[#This Row],[Priority]]="Critical",1,
IF(IncidentTable[[#This Row],[Priority]]="High",3,
IF(IncidentTable[[#This Row],[Priority]]="Medium",5,
IF(IncidentTable[[#This Row],[Priority]]="Low",10,""))))</f>
        <v>3</v>
      </c>
      <c r="S153" t="str">
        <f ca="1">IF(IncidentTable[[#This Row],[Resolution Time (Days)]]="","",
IF(IncidentTable[[#This Row],[Resolution Time (Days)]]&lt;=IncidentTable[[#This Row],[SLA Target (Days)]],"Yes","No"))</f>
        <v/>
      </c>
    </row>
    <row r="154" spans="1:19" x14ac:dyDescent="0.25">
      <c r="A154" t="str">
        <f t="shared" ca="1" si="9"/>
        <v>INC350342</v>
      </c>
      <c r="B154" t="str" cm="1">
        <f t="array" aca="1" ref="B154" ca="1">INDEX(SystemList,RANDBETWEEN(1,ROWS(SystemList)))</f>
        <v>Billing System</v>
      </c>
      <c r="C154" t="str" cm="1">
        <f t="array" aca="1" ref="C154" ca="1">INDEX(IssueTypeList,RANDBETWEEN(1,ROWS(IssueTypeList)))</f>
        <v>Performance Issue</v>
      </c>
      <c r="D154" t="str" cm="1">
        <f t="array" aca="1" ref="D154" ca="1">INDEX(PriorityList,RANDBETWEEN(1,ROWS(PriorityList)))</f>
        <v>High</v>
      </c>
      <c r="E154" t="str" cm="1">
        <f t="array" aca="1" ref="E154" ca="1">INDEX(SeverityList,RANDBETWEEN(1,ROWS(SeverityList)))</f>
        <v>Minor</v>
      </c>
      <c r="F154" t="str" cm="1">
        <f t="array" aca="1" ref="F154" ca="1">INDEX(RegionList,RANDBETWEEN(1,ROWS(RegionList)))</f>
        <v>Central</v>
      </c>
      <c r="G154" t="str" cm="1">
        <f t="array" aca="1" ref="G154" ca="1">INDEX(DepartmentList,RANDBETWEEN(1,ROWS(DepartmentList)))</f>
        <v>Claims</v>
      </c>
      <c r="H154" s="1">
        <f t="shared" ca="1" si="10"/>
        <v>44940</v>
      </c>
      <c r="I154" s="4" t="str">
        <f ca="1">IF(IncidentTable[[#This Row],[Resolution Time (Days)]]="","",IncidentTable[[#This Row],[Created Date]]+IncidentTable[[#This Row],[Resolution Time (Days)]])</f>
        <v/>
      </c>
      <c r="J154" t="str">
        <f ca="1">IF(OR(IncidentTable[[#This Row],[Status]]="Resolved",IncidentTable[[#This Row],[Status]]="Closed"),RANDBETWEEN(1,120),"")</f>
        <v/>
      </c>
      <c r="K154" t="str">
        <f t="shared" ca="1" si="8"/>
        <v>In Progress</v>
      </c>
      <c r="L154" t="str" cm="1">
        <f t="array" aca="1" ref="L154" ca="1">INDEX(AnalystList,RANDBETWEEN(1,ROWS(AnalystList)))</f>
        <v>Casey Brown</v>
      </c>
      <c r="M154" t="str" cm="1">
        <f t="array" aca="1" ref="M154" ca="1">INDEX(RootCauseList,RANDBETWEEN(1,ROWS(RootCauseList)))</f>
        <v>Data Error</v>
      </c>
      <c r="N154">
        <f t="shared" ca="1" si="11"/>
        <v>117.32</v>
      </c>
      <c r="O154" t="str">
        <f ca="1">IF(OR(IncidentTable[[#This Row],[Status]]="Resolved",IncidentTable[[#This Row],[Status]]="Closed"),
ROUND(IncidentTable[[#This Row],[Estimated Impact ($)]]*(1+RANDBETWEEN(-15,25)/100)+RAND(),2),
"")</f>
        <v/>
      </c>
      <c r="P154" t="str">
        <f ca="1">IF(IncidentTable[[#This Row],[Actual Impact ($)]]="","",ROUND(IncidentTable[[#This Row],[Actual Impact ($)]]-IncidentTable[[#This Row],[Estimated Impact ($)]],2))</f>
        <v/>
      </c>
      <c r="Q154" s="2" t="str">
        <f ca="1">IF(IncidentTable[[#This Row],[Actual Impact ($)]]="","",(IncidentTable[[#This Row],[Actual Impact ($)]]-IncidentTable[[#This Row],[Estimated Impact ($)]]) / IncidentTable[[#This Row],[Estimated Impact ($)]])</f>
        <v/>
      </c>
      <c r="R154" s="3">
        <f ca="1">IF(IncidentTable[[#This Row],[Priority]]="Critical",1,
IF(IncidentTable[[#This Row],[Priority]]="High",3,
IF(IncidentTable[[#This Row],[Priority]]="Medium",5,
IF(IncidentTable[[#This Row],[Priority]]="Low",10,""))))</f>
        <v>3</v>
      </c>
      <c r="S154" t="str">
        <f ca="1">IF(IncidentTable[[#This Row],[Resolution Time (Days)]]="","",
IF(IncidentTable[[#This Row],[Resolution Time (Days)]]&lt;=IncidentTable[[#This Row],[SLA Target (Days)]],"Yes","No"))</f>
        <v/>
      </c>
    </row>
    <row r="155" spans="1:19" x14ac:dyDescent="0.25">
      <c r="A155" t="str">
        <f t="shared" ca="1" si="9"/>
        <v>INC342281</v>
      </c>
      <c r="B155" t="str" cm="1">
        <f t="array" aca="1" ref="B155" ca="1">INDEX(SystemList,RANDBETWEEN(1,ROWS(SystemList)))</f>
        <v>Claims System</v>
      </c>
      <c r="C155" t="str" cm="1">
        <f t="array" aca="1" ref="C155" ca="1">INDEX(IssueTypeList,RANDBETWEEN(1,ROWS(IssueTypeList)))</f>
        <v>User Access Issue</v>
      </c>
      <c r="D155" t="str" cm="1">
        <f t="array" aca="1" ref="D155" ca="1">INDEX(PriorityList,RANDBETWEEN(1,ROWS(PriorityList)))</f>
        <v>Critical</v>
      </c>
      <c r="E155" t="str" cm="1">
        <f t="array" aca="1" ref="E155" ca="1">INDEX(SeverityList,RANDBETWEEN(1,ROWS(SeverityList)))</f>
        <v>Critical</v>
      </c>
      <c r="F155" t="str" cm="1">
        <f t="array" aca="1" ref="F155" ca="1">INDEX(RegionList,RANDBETWEEN(1,ROWS(RegionList)))</f>
        <v>West</v>
      </c>
      <c r="G155" t="str" cm="1">
        <f t="array" aca="1" ref="G155" ca="1">INDEX(DepartmentList,RANDBETWEEN(1,ROWS(DepartmentList)))</f>
        <v>Compliance</v>
      </c>
      <c r="H155" s="1">
        <f t="shared" ca="1" si="10"/>
        <v>45334</v>
      </c>
      <c r="I155" s="4">
        <f ca="1">IF(IncidentTable[[#This Row],[Resolution Time (Days)]]="","",IncidentTable[[#This Row],[Created Date]]+IncidentTable[[#This Row],[Resolution Time (Days)]])</f>
        <v>45376</v>
      </c>
      <c r="J155">
        <f ca="1">IF(OR(IncidentTable[[#This Row],[Status]]="Resolved",IncidentTable[[#This Row],[Status]]="Closed"),RANDBETWEEN(1,120),"")</f>
        <v>42</v>
      </c>
      <c r="K155" t="str">
        <f t="shared" ca="1" si="8"/>
        <v>Closed</v>
      </c>
      <c r="L155" t="str" cm="1">
        <f t="array" aca="1" ref="L155" ca="1">INDEX(AnalystList,RANDBETWEEN(1,ROWS(AnalystList)))</f>
        <v>Casey Brown</v>
      </c>
      <c r="M155" t="str" cm="1">
        <f t="array" aca="1" ref="M155" ca="1">INDEX(RootCauseList,RANDBETWEEN(1,ROWS(RootCauseList)))</f>
        <v>Configuration Issue</v>
      </c>
      <c r="N155">
        <f t="shared" ca="1" si="11"/>
        <v>25669.67</v>
      </c>
      <c r="O155">
        <f ca="1">IF(OR(IncidentTable[[#This Row],[Status]]="Resolved",IncidentTable[[#This Row],[Status]]="Closed"),
ROUND(IncidentTable[[#This Row],[Estimated Impact ($)]]*(1+RANDBETWEEN(-15,25)/100)+RAND(),2),
"")</f>
        <v>24643.48</v>
      </c>
      <c r="P155">
        <f ca="1">IF(IncidentTable[[#This Row],[Actual Impact ($)]]="","",ROUND(IncidentTable[[#This Row],[Actual Impact ($)]]-IncidentTable[[#This Row],[Estimated Impact ($)]],2))</f>
        <v>-1026.19</v>
      </c>
      <c r="Q155" s="2">
        <f ca="1">IF(IncidentTable[[#This Row],[Actual Impact ($)]]="","",(IncidentTable[[#This Row],[Actual Impact ($)]]-IncidentTable[[#This Row],[Estimated Impact ($)]]) / IncidentTable[[#This Row],[Estimated Impact ($)]])</f>
        <v>-3.9976750772409572E-2</v>
      </c>
      <c r="R155" s="3">
        <f ca="1">IF(IncidentTable[[#This Row],[Priority]]="Critical",1,
IF(IncidentTable[[#This Row],[Priority]]="High",3,
IF(IncidentTable[[#This Row],[Priority]]="Medium",5,
IF(IncidentTable[[#This Row],[Priority]]="Low",10,""))))</f>
        <v>1</v>
      </c>
      <c r="S155" t="str">
        <f ca="1">IF(IncidentTable[[#This Row],[Resolution Time (Days)]]="","",
IF(IncidentTable[[#This Row],[Resolution Time (Days)]]&lt;=IncidentTable[[#This Row],[SLA Target (Days)]],"Yes","No"))</f>
        <v>No</v>
      </c>
    </row>
    <row r="156" spans="1:19" x14ac:dyDescent="0.25">
      <c r="A156" t="str">
        <f t="shared" ca="1" si="9"/>
        <v>INC339776</v>
      </c>
      <c r="B156" t="str" cm="1">
        <f t="array" aca="1" ref="B156" ca="1">INDEX(SystemList,RANDBETWEEN(1,ROWS(SystemList)))</f>
        <v>Regulatory System</v>
      </c>
      <c r="C156" t="str" cm="1">
        <f t="array" aca="1" ref="C156" ca="1">INDEX(IssueTypeList,RANDBETWEEN(1,ROWS(IssueTypeList)))</f>
        <v>Complaint</v>
      </c>
      <c r="D156" t="str" cm="1">
        <f t="array" aca="1" ref="D156" ca="1">INDEX(PriorityList,RANDBETWEEN(1,ROWS(PriorityList)))</f>
        <v>High</v>
      </c>
      <c r="E156" t="str" cm="1">
        <f t="array" aca="1" ref="E156" ca="1">INDEX(SeverityList,RANDBETWEEN(1,ROWS(SeverityList)))</f>
        <v>Major</v>
      </c>
      <c r="F156" t="str" cm="1">
        <f t="array" aca="1" ref="F156" ca="1">INDEX(RegionList,RANDBETWEEN(1,ROWS(RegionList)))</f>
        <v>West</v>
      </c>
      <c r="G156" t="str" cm="1">
        <f t="array" aca="1" ref="G156" ca="1">INDEX(DepartmentList,RANDBETWEEN(1,ROWS(DepartmentList)))</f>
        <v>Billing</v>
      </c>
      <c r="H156" s="1">
        <f t="shared" ca="1" si="10"/>
        <v>45418</v>
      </c>
      <c r="I156" s="4" t="str">
        <f ca="1">IF(IncidentTable[[#This Row],[Resolution Time (Days)]]="","",IncidentTable[[#This Row],[Created Date]]+IncidentTable[[#This Row],[Resolution Time (Days)]])</f>
        <v/>
      </c>
      <c r="J156" t="str">
        <f ca="1">IF(OR(IncidentTable[[#This Row],[Status]]="Resolved",IncidentTable[[#This Row],[Status]]="Closed"),RANDBETWEEN(1,120),"")</f>
        <v/>
      </c>
      <c r="K156" t="str">
        <f t="shared" ca="1" si="8"/>
        <v>Open</v>
      </c>
      <c r="L156" t="str" cm="1">
        <f t="array" aca="1" ref="L156" ca="1">INDEX(AnalystList,RANDBETWEEN(1,ROWS(AnalystList)))</f>
        <v>Alex Johnson</v>
      </c>
      <c r="M156" t="str" cm="1">
        <f t="array" aca="1" ref="M156" ca="1">INDEX(RootCauseList,RANDBETWEEN(1,ROWS(RootCauseList)))</f>
        <v>Process Gap</v>
      </c>
      <c r="N156">
        <f t="shared" ca="1" si="11"/>
        <v>600.22</v>
      </c>
      <c r="O156" t="str">
        <f ca="1">IF(OR(IncidentTable[[#This Row],[Status]]="Resolved",IncidentTable[[#This Row],[Status]]="Closed"),
ROUND(IncidentTable[[#This Row],[Estimated Impact ($)]]*(1+RANDBETWEEN(-15,25)/100)+RAND(),2),
"")</f>
        <v/>
      </c>
      <c r="P156" t="str">
        <f ca="1">IF(IncidentTable[[#This Row],[Actual Impact ($)]]="","",ROUND(IncidentTable[[#This Row],[Actual Impact ($)]]-IncidentTable[[#This Row],[Estimated Impact ($)]],2))</f>
        <v/>
      </c>
      <c r="Q156" s="2" t="str">
        <f ca="1">IF(IncidentTable[[#This Row],[Actual Impact ($)]]="","",(IncidentTable[[#This Row],[Actual Impact ($)]]-IncidentTable[[#This Row],[Estimated Impact ($)]]) / IncidentTable[[#This Row],[Estimated Impact ($)]])</f>
        <v/>
      </c>
      <c r="R156" s="3">
        <f ca="1">IF(IncidentTable[[#This Row],[Priority]]="Critical",1,
IF(IncidentTable[[#This Row],[Priority]]="High",3,
IF(IncidentTable[[#This Row],[Priority]]="Medium",5,
IF(IncidentTable[[#This Row],[Priority]]="Low",10,""))))</f>
        <v>3</v>
      </c>
      <c r="S156" t="str">
        <f ca="1">IF(IncidentTable[[#This Row],[Resolution Time (Days)]]="","",
IF(IncidentTable[[#This Row],[Resolution Time (Days)]]&lt;=IncidentTable[[#This Row],[SLA Target (Days)]],"Yes","No"))</f>
        <v/>
      </c>
    </row>
    <row r="157" spans="1:19" x14ac:dyDescent="0.25">
      <c r="A157" t="str">
        <f t="shared" ca="1" si="9"/>
        <v>INC250682</v>
      </c>
      <c r="B157" t="str" cm="1">
        <f t="array" aca="1" ref="B157" ca="1">INDEX(SystemList,RANDBETWEEN(1,ROWS(SystemList)))</f>
        <v>Reporting System</v>
      </c>
      <c r="C157" t="str" cm="1">
        <f t="array" aca="1" ref="C157" ca="1">INDEX(IssueTypeList,RANDBETWEEN(1,ROWS(IssueTypeList)))</f>
        <v>System Error</v>
      </c>
      <c r="D157" t="str" cm="1">
        <f t="array" aca="1" ref="D157" ca="1">INDEX(PriorityList,RANDBETWEEN(1,ROWS(PriorityList)))</f>
        <v>High</v>
      </c>
      <c r="E157" t="str" cm="1">
        <f t="array" aca="1" ref="E157" ca="1">INDEX(SeverityList,RANDBETWEEN(1,ROWS(SeverityList)))</f>
        <v>Minor</v>
      </c>
      <c r="F157" t="str" cm="1">
        <f t="array" aca="1" ref="F157" ca="1">INDEX(RegionList,RANDBETWEEN(1,ROWS(RegionList)))</f>
        <v>West</v>
      </c>
      <c r="G157" t="str" cm="1">
        <f t="array" aca="1" ref="G157" ca="1">INDEX(DepartmentList,RANDBETWEEN(1,ROWS(DepartmentList)))</f>
        <v>Compliance</v>
      </c>
      <c r="H157" s="1">
        <f t="shared" ca="1" si="10"/>
        <v>45326</v>
      </c>
      <c r="I157" s="4" t="str">
        <f ca="1">IF(IncidentTable[[#This Row],[Resolution Time (Days)]]="","",IncidentTable[[#This Row],[Created Date]]+IncidentTable[[#This Row],[Resolution Time (Days)]])</f>
        <v/>
      </c>
      <c r="J157" t="str">
        <f ca="1">IF(OR(IncidentTable[[#This Row],[Status]]="Resolved",IncidentTable[[#This Row],[Status]]="Closed"),RANDBETWEEN(1,120),"")</f>
        <v/>
      </c>
      <c r="K157" t="str">
        <f t="shared" ca="1" si="8"/>
        <v>Pending</v>
      </c>
      <c r="L157" t="str" cm="1">
        <f t="array" aca="1" ref="L157" ca="1">INDEX(AnalystList,RANDBETWEEN(1,ROWS(AnalystList)))</f>
        <v>Taylor Smith</v>
      </c>
      <c r="M157" t="str" cm="1">
        <f t="array" aca="1" ref="M157" ca="1">INDEX(RootCauseList,RANDBETWEEN(1,ROWS(RootCauseList)))</f>
        <v>Data Error</v>
      </c>
      <c r="N157">
        <f t="shared" ca="1" si="11"/>
        <v>220.55</v>
      </c>
      <c r="O157" t="str">
        <f ca="1">IF(OR(IncidentTable[[#This Row],[Status]]="Resolved",IncidentTable[[#This Row],[Status]]="Closed"),
ROUND(IncidentTable[[#This Row],[Estimated Impact ($)]]*(1+RANDBETWEEN(-15,25)/100)+RAND(),2),
"")</f>
        <v/>
      </c>
      <c r="P157" t="str">
        <f ca="1">IF(IncidentTable[[#This Row],[Actual Impact ($)]]="","",ROUND(IncidentTable[[#This Row],[Actual Impact ($)]]-IncidentTable[[#This Row],[Estimated Impact ($)]],2))</f>
        <v/>
      </c>
      <c r="Q157" s="2" t="str">
        <f ca="1">IF(IncidentTable[[#This Row],[Actual Impact ($)]]="","",(IncidentTable[[#This Row],[Actual Impact ($)]]-IncidentTable[[#This Row],[Estimated Impact ($)]]) / IncidentTable[[#This Row],[Estimated Impact ($)]])</f>
        <v/>
      </c>
      <c r="R157" s="3">
        <f ca="1">IF(IncidentTable[[#This Row],[Priority]]="Critical",1,
IF(IncidentTable[[#This Row],[Priority]]="High",3,
IF(IncidentTable[[#This Row],[Priority]]="Medium",5,
IF(IncidentTable[[#This Row],[Priority]]="Low",10,""))))</f>
        <v>3</v>
      </c>
      <c r="S157" t="str">
        <f ca="1">IF(IncidentTable[[#This Row],[Resolution Time (Days)]]="","",
IF(IncidentTable[[#This Row],[Resolution Time (Days)]]&lt;=IncidentTable[[#This Row],[SLA Target (Days)]],"Yes","No"))</f>
        <v/>
      </c>
    </row>
    <row r="158" spans="1:19" x14ac:dyDescent="0.25">
      <c r="A158" t="str">
        <f t="shared" ca="1" si="9"/>
        <v>INC478184</v>
      </c>
      <c r="B158" t="str" cm="1">
        <f t="array" aca="1" ref="B158" ca="1">INDEX(SystemList,RANDBETWEEN(1,ROWS(SystemList)))</f>
        <v>Customer Portal</v>
      </c>
      <c r="C158" t="str" cm="1">
        <f t="array" aca="1" ref="C158" ca="1">INDEX(IssueTypeList,RANDBETWEEN(1,ROWS(IssueTypeList)))</f>
        <v>Integration Failure</v>
      </c>
      <c r="D158" t="str" cm="1">
        <f t="array" aca="1" ref="D158" ca="1">INDEX(PriorityList,RANDBETWEEN(1,ROWS(PriorityList)))</f>
        <v>Low</v>
      </c>
      <c r="E158" t="str" cm="1">
        <f t="array" aca="1" ref="E158" ca="1">INDEX(SeverityList,RANDBETWEEN(1,ROWS(SeverityList)))</f>
        <v>Minor</v>
      </c>
      <c r="F158" t="str" cm="1">
        <f t="array" aca="1" ref="F158" ca="1">INDEX(RegionList,RANDBETWEEN(1,ROWS(RegionList)))</f>
        <v>West</v>
      </c>
      <c r="G158" t="str" cm="1">
        <f t="array" aca="1" ref="G158" ca="1">INDEX(DepartmentList,RANDBETWEEN(1,ROWS(DepartmentList)))</f>
        <v>Compliance</v>
      </c>
      <c r="H158" s="1">
        <f t="shared" ca="1" si="10"/>
        <v>44951</v>
      </c>
      <c r="I158" s="4">
        <f ca="1">IF(IncidentTable[[#This Row],[Resolution Time (Days)]]="","",IncidentTable[[#This Row],[Created Date]]+IncidentTable[[#This Row],[Resolution Time (Days)]])</f>
        <v>45046</v>
      </c>
      <c r="J158">
        <f ca="1">IF(OR(IncidentTable[[#This Row],[Status]]="Resolved",IncidentTable[[#This Row],[Status]]="Closed"),RANDBETWEEN(1,120),"")</f>
        <v>95</v>
      </c>
      <c r="K158" t="str">
        <f t="shared" ca="1" si="8"/>
        <v>Resolved</v>
      </c>
      <c r="L158" t="str" cm="1">
        <f t="array" aca="1" ref="L158" ca="1">INDEX(AnalystList,RANDBETWEEN(1,ROWS(AnalystList)))</f>
        <v>Jordan Lee</v>
      </c>
      <c r="M158" t="str" cm="1">
        <f t="array" aca="1" ref="M158" ca="1">INDEX(RootCauseList,RANDBETWEEN(1,ROWS(RootCauseList)))</f>
        <v>User Error</v>
      </c>
      <c r="N158">
        <f t="shared" ca="1" si="11"/>
        <v>231.4</v>
      </c>
      <c r="O158">
        <f ca="1">IF(OR(IncidentTable[[#This Row],[Status]]="Resolved",IncidentTable[[#This Row],[Status]]="Closed"),
ROUND(IncidentTable[[#This Row],[Estimated Impact ($)]]*(1+RANDBETWEEN(-15,25)/100)+RAND(),2),
"")</f>
        <v>246.26</v>
      </c>
      <c r="P158">
        <f ca="1">IF(IncidentTable[[#This Row],[Actual Impact ($)]]="","",ROUND(IncidentTable[[#This Row],[Actual Impact ($)]]-IncidentTable[[#This Row],[Estimated Impact ($)]],2))</f>
        <v>14.86</v>
      </c>
      <c r="Q158" s="2">
        <f ca="1">IF(IncidentTable[[#This Row],[Actual Impact ($)]]="","",(IncidentTable[[#This Row],[Actual Impact ($)]]-IncidentTable[[#This Row],[Estimated Impact ($)]]) / IncidentTable[[#This Row],[Estimated Impact ($)]])</f>
        <v>6.4217804667242806E-2</v>
      </c>
      <c r="R158" s="3">
        <f ca="1">IF(IncidentTable[[#This Row],[Priority]]="Critical",1,
IF(IncidentTable[[#This Row],[Priority]]="High",3,
IF(IncidentTable[[#This Row],[Priority]]="Medium",5,
IF(IncidentTable[[#This Row],[Priority]]="Low",10,""))))</f>
        <v>10</v>
      </c>
      <c r="S158" t="str">
        <f ca="1">IF(IncidentTable[[#This Row],[Resolution Time (Days)]]="","",
IF(IncidentTable[[#This Row],[Resolution Time (Days)]]&lt;=IncidentTable[[#This Row],[SLA Target (Days)]],"Yes","No"))</f>
        <v>No</v>
      </c>
    </row>
    <row r="159" spans="1:19" x14ac:dyDescent="0.25">
      <c r="A159" t="str">
        <f t="shared" ca="1" si="9"/>
        <v>INC146477</v>
      </c>
      <c r="B159" t="str" cm="1">
        <f t="array" aca="1" ref="B159" ca="1">INDEX(SystemList,RANDBETWEEN(1,ROWS(SystemList)))</f>
        <v>Billing System</v>
      </c>
      <c r="C159" t="str" cm="1">
        <f t="array" aca="1" ref="C159" ca="1">INDEX(IssueTypeList,RANDBETWEEN(1,ROWS(IssueTypeList)))</f>
        <v>Processing Delay</v>
      </c>
      <c r="D159" t="str" cm="1">
        <f t="array" aca="1" ref="D159" ca="1">INDEX(PriorityList,RANDBETWEEN(1,ROWS(PriorityList)))</f>
        <v>Critical</v>
      </c>
      <c r="E159" t="str" cm="1">
        <f t="array" aca="1" ref="E159" ca="1">INDEX(SeverityList,RANDBETWEEN(1,ROWS(SeverityList)))</f>
        <v>Moderate</v>
      </c>
      <c r="F159" t="str" cm="1">
        <f t="array" aca="1" ref="F159" ca="1">INDEX(RegionList,RANDBETWEEN(1,ROWS(RegionList)))</f>
        <v>Midwest</v>
      </c>
      <c r="G159" t="str" cm="1">
        <f t="array" aca="1" ref="G159" ca="1">INDEX(DepartmentList,RANDBETWEEN(1,ROWS(DepartmentList)))</f>
        <v>Billing</v>
      </c>
      <c r="H159" s="1">
        <f t="shared" ca="1" si="10"/>
        <v>45225</v>
      </c>
      <c r="I159" s="4" t="str">
        <f ca="1">IF(IncidentTable[[#This Row],[Resolution Time (Days)]]="","",IncidentTable[[#This Row],[Created Date]]+IncidentTable[[#This Row],[Resolution Time (Days)]])</f>
        <v/>
      </c>
      <c r="J159" t="str">
        <f ca="1">IF(OR(IncidentTable[[#This Row],[Status]]="Resolved",IncidentTable[[#This Row],[Status]]="Closed"),RANDBETWEEN(1,120),"")</f>
        <v/>
      </c>
      <c r="K159" t="str">
        <f t="shared" ca="1" si="8"/>
        <v>Open</v>
      </c>
      <c r="L159" t="str" cm="1">
        <f t="array" aca="1" ref="L159" ca="1">INDEX(AnalystList,RANDBETWEEN(1,ROWS(AnalystList)))</f>
        <v>Casey Brown</v>
      </c>
      <c r="M159" t="str" cm="1">
        <f t="array" aca="1" ref="M159" ca="1">INDEX(RootCauseList,RANDBETWEEN(1,ROWS(RootCauseList)))</f>
        <v>Configuration Issue</v>
      </c>
      <c r="N159">
        <f t="shared" ca="1" si="11"/>
        <v>24.14</v>
      </c>
      <c r="O159" t="str">
        <f ca="1">IF(OR(IncidentTable[[#This Row],[Status]]="Resolved",IncidentTable[[#This Row],[Status]]="Closed"),
ROUND(IncidentTable[[#This Row],[Estimated Impact ($)]]*(1+RANDBETWEEN(-15,25)/100)+RAND(),2),
"")</f>
        <v/>
      </c>
      <c r="P159" t="str">
        <f ca="1">IF(IncidentTable[[#This Row],[Actual Impact ($)]]="","",ROUND(IncidentTable[[#This Row],[Actual Impact ($)]]-IncidentTable[[#This Row],[Estimated Impact ($)]],2))</f>
        <v/>
      </c>
      <c r="Q159" s="2" t="str">
        <f ca="1">IF(IncidentTable[[#This Row],[Actual Impact ($)]]="","",(IncidentTable[[#This Row],[Actual Impact ($)]]-IncidentTable[[#This Row],[Estimated Impact ($)]]) / IncidentTable[[#This Row],[Estimated Impact ($)]])</f>
        <v/>
      </c>
      <c r="R159" s="3">
        <f ca="1">IF(IncidentTable[[#This Row],[Priority]]="Critical",1,
IF(IncidentTable[[#This Row],[Priority]]="High",3,
IF(IncidentTable[[#This Row],[Priority]]="Medium",5,
IF(IncidentTable[[#This Row],[Priority]]="Low",10,""))))</f>
        <v>1</v>
      </c>
      <c r="S159" t="str">
        <f ca="1">IF(IncidentTable[[#This Row],[Resolution Time (Days)]]="","",
IF(IncidentTable[[#This Row],[Resolution Time (Days)]]&lt;=IncidentTable[[#This Row],[SLA Target (Days)]],"Yes","No"))</f>
        <v/>
      </c>
    </row>
    <row r="160" spans="1:19" x14ac:dyDescent="0.25">
      <c r="A160" t="str">
        <f t="shared" ca="1" si="9"/>
        <v>INC911567</v>
      </c>
      <c r="B160" t="str" cm="1">
        <f t="array" aca="1" ref="B160" ca="1">INDEX(SystemList,RANDBETWEEN(1,ROWS(SystemList)))</f>
        <v>Reporting System</v>
      </c>
      <c r="C160" t="str" cm="1">
        <f t="array" aca="1" ref="C160" ca="1">INDEX(IssueTypeList,RANDBETWEEN(1,ROWS(IssueTypeList)))</f>
        <v>Data Issue</v>
      </c>
      <c r="D160" t="str" cm="1">
        <f t="array" aca="1" ref="D160" ca="1">INDEX(PriorityList,RANDBETWEEN(1,ROWS(PriorityList)))</f>
        <v>Low</v>
      </c>
      <c r="E160" t="str" cm="1">
        <f t="array" aca="1" ref="E160" ca="1">INDEX(SeverityList,RANDBETWEEN(1,ROWS(SeverityList)))</f>
        <v>Moderate</v>
      </c>
      <c r="F160" t="str" cm="1">
        <f t="array" aca="1" ref="F160" ca="1">INDEX(RegionList,RANDBETWEEN(1,ROWS(RegionList)))</f>
        <v>Southeast</v>
      </c>
      <c r="G160" t="str" cm="1">
        <f t="array" aca="1" ref="G160" ca="1">INDEX(DepartmentList,RANDBETWEEN(1,ROWS(DepartmentList)))</f>
        <v>Customer Service</v>
      </c>
      <c r="H160" s="1">
        <f t="shared" ca="1" si="10"/>
        <v>45231</v>
      </c>
      <c r="I160" s="4">
        <f ca="1">IF(IncidentTable[[#This Row],[Resolution Time (Days)]]="","",IncidentTable[[#This Row],[Created Date]]+IncidentTable[[#This Row],[Resolution Time (Days)]])</f>
        <v>45246</v>
      </c>
      <c r="J160">
        <f ca="1">IF(OR(IncidentTable[[#This Row],[Status]]="Resolved",IncidentTable[[#This Row],[Status]]="Closed"),RANDBETWEEN(1,120),"")</f>
        <v>15</v>
      </c>
      <c r="K160" t="str">
        <f t="shared" ca="1" si="8"/>
        <v>Closed</v>
      </c>
      <c r="L160" t="str" cm="1">
        <f t="array" aca="1" ref="L160" ca="1">INDEX(AnalystList,RANDBETWEEN(1,ROWS(AnalystList)))</f>
        <v>Morgan Davis</v>
      </c>
      <c r="M160" t="str" cm="1">
        <f t="array" aca="1" ref="M160" ca="1">INDEX(RootCauseList,RANDBETWEEN(1,ROWS(RootCauseList)))</f>
        <v>System Bug</v>
      </c>
      <c r="N160">
        <f t="shared" ca="1" si="11"/>
        <v>2307.1999999999998</v>
      </c>
      <c r="O160">
        <f ca="1">IF(OR(IncidentTable[[#This Row],[Status]]="Resolved",IncidentTable[[#This Row],[Status]]="Closed"),
ROUND(IncidentTable[[#This Row],[Estimated Impact ($)]]*(1+RANDBETWEEN(-15,25)/100)+RAND(),2),
"")</f>
        <v>2422.88</v>
      </c>
      <c r="P160">
        <f ca="1">IF(IncidentTable[[#This Row],[Actual Impact ($)]]="","",ROUND(IncidentTable[[#This Row],[Actual Impact ($)]]-IncidentTable[[#This Row],[Estimated Impact ($)]],2))</f>
        <v>115.68</v>
      </c>
      <c r="Q160" s="2">
        <f ca="1">IF(IncidentTable[[#This Row],[Actual Impact ($)]]="","",(IncidentTable[[#This Row],[Actual Impact ($)]]-IncidentTable[[#This Row],[Estimated Impact ($)]]) / IncidentTable[[#This Row],[Estimated Impact ($)]])</f>
        <v>5.0138696255201239E-2</v>
      </c>
      <c r="R160" s="3">
        <f ca="1">IF(IncidentTable[[#This Row],[Priority]]="Critical",1,
IF(IncidentTable[[#This Row],[Priority]]="High",3,
IF(IncidentTable[[#This Row],[Priority]]="Medium",5,
IF(IncidentTable[[#This Row],[Priority]]="Low",10,""))))</f>
        <v>10</v>
      </c>
      <c r="S160" t="str">
        <f ca="1">IF(IncidentTable[[#This Row],[Resolution Time (Days)]]="","",
IF(IncidentTable[[#This Row],[Resolution Time (Days)]]&lt;=IncidentTable[[#This Row],[SLA Target (Days)]],"Yes","No"))</f>
        <v>No</v>
      </c>
    </row>
    <row r="161" spans="1:19" x14ac:dyDescent="0.25">
      <c r="A161" t="str">
        <f t="shared" ca="1" si="9"/>
        <v>INC814328</v>
      </c>
      <c r="B161" t="str" cm="1">
        <f t="array" aca="1" ref="B161" ca="1">INDEX(SystemList,RANDBETWEEN(1,ROWS(SystemList)))</f>
        <v>Payment Processing</v>
      </c>
      <c r="C161" t="str" cm="1">
        <f t="array" aca="1" ref="C161" ca="1">INDEX(IssueTypeList,RANDBETWEEN(1,ROWS(IssueTypeList)))</f>
        <v>Integration Failure</v>
      </c>
      <c r="D161" t="str" cm="1">
        <f t="array" aca="1" ref="D161" ca="1">INDEX(PriorityList,RANDBETWEEN(1,ROWS(PriorityList)))</f>
        <v>Critical</v>
      </c>
      <c r="E161" t="str" cm="1">
        <f t="array" aca="1" ref="E161" ca="1">INDEX(SeverityList,RANDBETWEEN(1,ROWS(SeverityList)))</f>
        <v>Minor</v>
      </c>
      <c r="F161" t="str" cm="1">
        <f t="array" aca="1" ref="F161" ca="1">INDEX(RegionList,RANDBETWEEN(1,ROWS(RegionList)))</f>
        <v>Central</v>
      </c>
      <c r="G161" t="str" cm="1">
        <f t="array" aca="1" ref="G161" ca="1">INDEX(DepartmentList,RANDBETWEEN(1,ROWS(DepartmentList)))</f>
        <v>Claims</v>
      </c>
      <c r="H161" s="1">
        <f t="shared" ca="1" si="10"/>
        <v>45277</v>
      </c>
      <c r="I161" s="4" t="str">
        <f ca="1">IF(IncidentTable[[#This Row],[Resolution Time (Days)]]="","",IncidentTable[[#This Row],[Created Date]]+IncidentTable[[#This Row],[Resolution Time (Days)]])</f>
        <v/>
      </c>
      <c r="J161" t="str">
        <f ca="1">IF(OR(IncidentTable[[#This Row],[Status]]="Resolved",IncidentTable[[#This Row],[Status]]="Closed"),RANDBETWEEN(1,120),"")</f>
        <v/>
      </c>
      <c r="K161" t="str">
        <f t="shared" ca="1" si="8"/>
        <v>In Progress</v>
      </c>
      <c r="L161" t="str" cm="1">
        <f t="array" aca="1" ref="L161" ca="1">INDEX(AnalystList,RANDBETWEEN(1,ROWS(AnalystList)))</f>
        <v>Jordan Lee</v>
      </c>
      <c r="M161" t="str" cm="1">
        <f t="array" aca="1" ref="M161" ca="1">INDEX(RootCauseList,RANDBETWEEN(1,ROWS(RootCauseList)))</f>
        <v>Network Failure</v>
      </c>
      <c r="N161">
        <f t="shared" ca="1" si="11"/>
        <v>5673.72</v>
      </c>
      <c r="O161" t="str">
        <f ca="1">IF(OR(IncidentTable[[#This Row],[Status]]="Resolved",IncidentTable[[#This Row],[Status]]="Closed"),
ROUND(IncidentTable[[#This Row],[Estimated Impact ($)]]*(1+RANDBETWEEN(-15,25)/100)+RAND(),2),
"")</f>
        <v/>
      </c>
      <c r="P161" t="str">
        <f ca="1">IF(IncidentTable[[#This Row],[Actual Impact ($)]]="","",ROUND(IncidentTable[[#This Row],[Actual Impact ($)]]-IncidentTable[[#This Row],[Estimated Impact ($)]],2))</f>
        <v/>
      </c>
      <c r="Q161" s="2" t="str">
        <f ca="1">IF(IncidentTable[[#This Row],[Actual Impact ($)]]="","",(IncidentTable[[#This Row],[Actual Impact ($)]]-IncidentTable[[#This Row],[Estimated Impact ($)]]) / IncidentTable[[#This Row],[Estimated Impact ($)]])</f>
        <v/>
      </c>
      <c r="R161" s="3">
        <f ca="1">IF(IncidentTable[[#This Row],[Priority]]="Critical",1,
IF(IncidentTable[[#This Row],[Priority]]="High",3,
IF(IncidentTable[[#This Row],[Priority]]="Medium",5,
IF(IncidentTable[[#This Row],[Priority]]="Low",10,""))))</f>
        <v>1</v>
      </c>
      <c r="S161" t="str">
        <f ca="1">IF(IncidentTable[[#This Row],[Resolution Time (Days)]]="","",
IF(IncidentTable[[#This Row],[Resolution Time (Days)]]&lt;=IncidentTable[[#This Row],[SLA Target (Days)]],"Yes","No"))</f>
        <v/>
      </c>
    </row>
    <row r="162" spans="1:19" x14ac:dyDescent="0.25">
      <c r="A162" t="str">
        <f t="shared" ca="1" si="9"/>
        <v>INC531747</v>
      </c>
      <c r="B162" t="str" cm="1">
        <f t="array" aca="1" ref="B162" ca="1">INDEX(SystemList,RANDBETWEEN(1,ROWS(SystemList)))</f>
        <v>Claims System</v>
      </c>
      <c r="C162" t="str" cm="1">
        <f t="array" aca="1" ref="C162" ca="1">INDEX(IssueTypeList,RANDBETWEEN(1,ROWS(IssueTypeList)))</f>
        <v>User Access Issue</v>
      </c>
      <c r="D162" t="str" cm="1">
        <f t="array" aca="1" ref="D162" ca="1">INDEX(PriorityList,RANDBETWEEN(1,ROWS(PriorityList)))</f>
        <v>Low</v>
      </c>
      <c r="E162" t="str" cm="1">
        <f t="array" aca="1" ref="E162" ca="1">INDEX(SeverityList,RANDBETWEEN(1,ROWS(SeverityList)))</f>
        <v>Critical</v>
      </c>
      <c r="F162" t="str" cm="1">
        <f t="array" aca="1" ref="F162" ca="1">INDEX(RegionList,RANDBETWEEN(1,ROWS(RegionList)))</f>
        <v>Southeast</v>
      </c>
      <c r="G162" t="str" cm="1">
        <f t="array" aca="1" ref="G162" ca="1">INDEX(DepartmentList,RANDBETWEEN(1,ROWS(DepartmentList)))</f>
        <v>Finance</v>
      </c>
      <c r="H162" s="1">
        <f t="shared" ca="1" si="10"/>
        <v>45349</v>
      </c>
      <c r="I162" s="4">
        <f ca="1">IF(IncidentTable[[#This Row],[Resolution Time (Days)]]="","",IncidentTable[[#This Row],[Created Date]]+IncidentTable[[#This Row],[Resolution Time (Days)]])</f>
        <v>45419</v>
      </c>
      <c r="J162">
        <f ca="1">IF(OR(IncidentTable[[#This Row],[Status]]="Resolved",IncidentTable[[#This Row],[Status]]="Closed"),RANDBETWEEN(1,120),"")</f>
        <v>70</v>
      </c>
      <c r="K162" t="str">
        <f t="shared" ca="1" si="8"/>
        <v>Closed</v>
      </c>
      <c r="L162" t="str" cm="1">
        <f t="array" aca="1" ref="L162" ca="1">INDEX(AnalystList,RANDBETWEEN(1,ROWS(AnalystList)))</f>
        <v>Alex Johnson</v>
      </c>
      <c r="M162" t="str" cm="1">
        <f t="array" aca="1" ref="M162" ca="1">INDEX(RootCauseList,RANDBETWEEN(1,ROWS(RootCauseList)))</f>
        <v>Configuration Issue</v>
      </c>
      <c r="N162">
        <f t="shared" ca="1" si="11"/>
        <v>0.37</v>
      </c>
      <c r="O162">
        <f ca="1">IF(OR(IncidentTable[[#This Row],[Status]]="Resolved",IncidentTable[[#This Row],[Status]]="Closed"),
ROUND(IncidentTable[[#This Row],[Estimated Impact ($)]]*(1+RANDBETWEEN(-15,25)/100)+RAND(),2),
"")</f>
        <v>1.17</v>
      </c>
      <c r="P162">
        <f ca="1">IF(IncidentTable[[#This Row],[Actual Impact ($)]]="","",ROUND(IncidentTable[[#This Row],[Actual Impact ($)]]-IncidentTable[[#This Row],[Estimated Impact ($)]],2))</f>
        <v>0.8</v>
      </c>
      <c r="Q162" s="2">
        <f ca="1">IF(IncidentTable[[#This Row],[Actual Impact ($)]]="","",(IncidentTable[[#This Row],[Actual Impact ($)]]-IncidentTable[[#This Row],[Estimated Impact ($)]]) / IncidentTable[[#This Row],[Estimated Impact ($)]])</f>
        <v>2.1621621621621618</v>
      </c>
      <c r="R162" s="3">
        <f ca="1">IF(IncidentTable[[#This Row],[Priority]]="Critical",1,
IF(IncidentTable[[#This Row],[Priority]]="High",3,
IF(IncidentTable[[#This Row],[Priority]]="Medium",5,
IF(IncidentTable[[#This Row],[Priority]]="Low",10,""))))</f>
        <v>10</v>
      </c>
      <c r="S162" t="str">
        <f ca="1">IF(IncidentTable[[#This Row],[Resolution Time (Days)]]="","",
IF(IncidentTable[[#This Row],[Resolution Time (Days)]]&lt;=IncidentTable[[#This Row],[SLA Target (Days)]],"Yes","No"))</f>
        <v>No</v>
      </c>
    </row>
    <row r="163" spans="1:19" x14ac:dyDescent="0.25">
      <c r="A163" t="str">
        <f t="shared" ca="1" si="9"/>
        <v>INC862785</v>
      </c>
      <c r="B163" t="str" cm="1">
        <f t="array" aca="1" ref="B163" ca="1">INDEX(SystemList,RANDBETWEEN(1,ROWS(SystemList)))</f>
        <v>Claims System</v>
      </c>
      <c r="C163" t="str" cm="1">
        <f t="array" aca="1" ref="C163" ca="1">INDEX(IssueTypeList,RANDBETWEEN(1,ROWS(IssueTypeList)))</f>
        <v>Performance Issue</v>
      </c>
      <c r="D163" t="str" cm="1">
        <f t="array" aca="1" ref="D163" ca="1">INDEX(PriorityList,RANDBETWEEN(1,ROWS(PriorityList)))</f>
        <v>Medium</v>
      </c>
      <c r="E163" t="str" cm="1">
        <f t="array" aca="1" ref="E163" ca="1">INDEX(SeverityList,RANDBETWEEN(1,ROWS(SeverityList)))</f>
        <v>Critical</v>
      </c>
      <c r="F163" t="str" cm="1">
        <f t="array" aca="1" ref="F163" ca="1">INDEX(RegionList,RANDBETWEEN(1,ROWS(RegionList)))</f>
        <v>Southeast</v>
      </c>
      <c r="G163" t="str" cm="1">
        <f t="array" aca="1" ref="G163" ca="1">INDEX(DepartmentList,RANDBETWEEN(1,ROWS(DepartmentList)))</f>
        <v>Compliance</v>
      </c>
      <c r="H163" s="1">
        <f t="shared" ca="1" si="10"/>
        <v>45379</v>
      </c>
      <c r="I163" s="4" t="str">
        <f ca="1">IF(IncidentTable[[#This Row],[Resolution Time (Days)]]="","",IncidentTable[[#This Row],[Created Date]]+IncidentTable[[#This Row],[Resolution Time (Days)]])</f>
        <v/>
      </c>
      <c r="J163" t="str">
        <f ca="1">IF(OR(IncidentTable[[#This Row],[Status]]="Resolved",IncidentTable[[#This Row],[Status]]="Closed"),RANDBETWEEN(1,120),"")</f>
        <v/>
      </c>
      <c r="K163" t="str">
        <f t="shared" ca="1" si="8"/>
        <v>In Progress</v>
      </c>
      <c r="L163" t="str" cm="1">
        <f t="array" aca="1" ref="L163" ca="1">INDEX(AnalystList,RANDBETWEEN(1,ROWS(AnalystList)))</f>
        <v>Jordan Lee</v>
      </c>
      <c r="M163" t="str" cm="1">
        <f t="array" aca="1" ref="M163" ca="1">INDEX(RootCauseList,RANDBETWEEN(1,ROWS(RootCauseList)))</f>
        <v>Network Failure</v>
      </c>
      <c r="N163">
        <f t="shared" ca="1" si="11"/>
        <v>268.81</v>
      </c>
      <c r="O163" t="str">
        <f ca="1">IF(OR(IncidentTable[[#This Row],[Status]]="Resolved",IncidentTable[[#This Row],[Status]]="Closed"),
ROUND(IncidentTable[[#This Row],[Estimated Impact ($)]]*(1+RANDBETWEEN(-15,25)/100)+RAND(),2),
"")</f>
        <v/>
      </c>
      <c r="P163" t="str">
        <f ca="1">IF(IncidentTable[[#This Row],[Actual Impact ($)]]="","",ROUND(IncidentTable[[#This Row],[Actual Impact ($)]]-IncidentTable[[#This Row],[Estimated Impact ($)]],2))</f>
        <v/>
      </c>
      <c r="Q163" s="2" t="str">
        <f ca="1">IF(IncidentTable[[#This Row],[Actual Impact ($)]]="","",(IncidentTable[[#This Row],[Actual Impact ($)]]-IncidentTable[[#This Row],[Estimated Impact ($)]]) / IncidentTable[[#This Row],[Estimated Impact ($)]])</f>
        <v/>
      </c>
      <c r="R163" s="3">
        <f ca="1">IF(IncidentTable[[#This Row],[Priority]]="Critical",1,
IF(IncidentTable[[#This Row],[Priority]]="High",3,
IF(IncidentTable[[#This Row],[Priority]]="Medium",5,
IF(IncidentTable[[#This Row],[Priority]]="Low",10,""))))</f>
        <v>5</v>
      </c>
      <c r="S163" t="str">
        <f ca="1">IF(IncidentTable[[#This Row],[Resolution Time (Days)]]="","",
IF(IncidentTable[[#This Row],[Resolution Time (Days)]]&lt;=IncidentTable[[#This Row],[SLA Target (Days)]],"Yes","No"))</f>
        <v/>
      </c>
    </row>
    <row r="164" spans="1:19" x14ac:dyDescent="0.25">
      <c r="A164" t="str">
        <f t="shared" ca="1" si="9"/>
        <v>INC739123</v>
      </c>
      <c r="B164" t="str" cm="1">
        <f t="array" aca="1" ref="B164" ca="1">INDEX(SystemList,RANDBETWEEN(1,ROWS(SystemList)))</f>
        <v>Claims System</v>
      </c>
      <c r="C164" t="str" cm="1">
        <f t="array" aca="1" ref="C164" ca="1">INDEX(IssueTypeList,RANDBETWEEN(1,ROWS(IssueTypeList)))</f>
        <v>Processing Delay</v>
      </c>
      <c r="D164" t="str" cm="1">
        <f t="array" aca="1" ref="D164" ca="1">INDEX(PriorityList,RANDBETWEEN(1,ROWS(PriorityList)))</f>
        <v>Medium</v>
      </c>
      <c r="E164" t="str" cm="1">
        <f t="array" aca="1" ref="E164" ca="1">INDEX(SeverityList,RANDBETWEEN(1,ROWS(SeverityList)))</f>
        <v>Critical</v>
      </c>
      <c r="F164" t="str" cm="1">
        <f t="array" aca="1" ref="F164" ca="1">INDEX(RegionList,RANDBETWEEN(1,ROWS(RegionList)))</f>
        <v>Central</v>
      </c>
      <c r="G164" t="str" cm="1">
        <f t="array" aca="1" ref="G164" ca="1">INDEX(DepartmentList,RANDBETWEEN(1,ROWS(DepartmentList)))</f>
        <v>Finance</v>
      </c>
      <c r="H164" s="1">
        <f t="shared" ca="1" si="10"/>
        <v>45362</v>
      </c>
      <c r="I164" s="4">
        <f ca="1">IF(IncidentTable[[#This Row],[Resolution Time (Days)]]="","",IncidentTable[[#This Row],[Created Date]]+IncidentTable[[#This Row],[Resolution Time (Days)]])</f>
        <v>45410</v>
      </c>
      <c r="J164">
        <f ca="1">IF(OR(IncidentTable[[#This Row],[Status]]="Resolved",IncidentTable[[#This Row],[Status]]="Closed"),RANDBETWEEN(1,120),"")</f>
        <v>48</v>
      </c>
      <c r="K164" t="str">
        <f t="shared" ca="1" si="8"/>
        <v>Resolved</v>
      </c>
      <c r="L164" t="str" cm="1">
        <f t="array" aca="1" ref="L164" ca="1">INDEX(AnalystList,RANDBETWEEN(1,ROWS(AnalystList)))</f>
        <v>Casey Brown</v>
      </c>
      <c r="M164" t="str" cm="1">
        <f t="array" aca="1" ref="M164" ca="1">INDEX(RootCauseList,RANDBETWEEN(1,ROWS(RootCauseList)))</f>
        <v>Process Gap</v>
      </c>
      <c r="N164">
        <f t="shared" ca="1" si="11"/>
        <v>27.78</v>
      </c>
      <c r="O164">
        <f ca="1">IF(OR(IncidentTable[[#This Row],[Status]]="Resolved",IncidentTable[[#This Row],[Status]]="Closed"),
ROUND(IncidentTable[[#This Row],[Estimated Impact ($)]]*(1+RANDBETWEEN(-15,25)/100)+RAND(),2),
"")</f>
        <v>34.53</v>
      </c>
      <c r="P164">
        <f ca="1">IF(IncidentTable[[#This Row],[Actual Impact ($)]]="","",ROUND(IncidentTable[[#This Row],[Actual Impact ($)]]-IncidentTable[[#This Row],[Estimated Impact ($)]],2))</f>
        <v>6.75</v>
      </c>
      <c r="Q164" s="2">
        <f ca="1">IF(IncidentTable[[#This Row],[Actual Impact ($)]]="","",(IncidentTable[[#This Row],[Actual Impact ($)]]-IncidentTable[[#This Row],[Estimated Impact ($)]]) / IncidentTable[[#This Row],[Estimated Impact ($)]])</f>
        <v>0.24298056155507558</v>
      </c>
      <c r="R164" s="3">
        <f ca="1">IF(IncidentTable[[#This Row],[Priority]]="Critical",1,
IF(IncidentTable[[#This Row],[Priority]]="High",3,
IF(IncidentTable[[#This Row],[Priority]]="Medium",5,
IF(IncidentTable[[#This Row],[Priority]]="Low",10,""))))</f>
        <v>5</v>
      </c>
      <c r="S164" t="str">
        <f ca="1">IF(IncidentTable[[#This Row],[Resolution Time (Days)]]="","",
IF(IncidentTable[[#This Row],[Resolution Time (Days)]]&lt;=IncidentTable[[#This Row],[SLA Target (Days)]],"Yes","No"))</f>
        <v>No</v>
      </c>
    </row>
    <row r="165" spans="1:19" x14ac:dyDescent="0.25">
      <c r="A165" t="str">
        <f t="shared" ca="1" si="9"/>
        <v>INC885195</v>
      </c>
      <c r="B165" t="str" cm="1">
        <f t="array" aca="1" ref="B165" ca="1">INDEX(SystemList,RANDBETWEEN(1,ROWS(SystemList)))</f>
        <v>Regulatory System</v>
      </c>
      <c r="C165" t="str" cm="1">
        <f t="array" aca="1" ref="C165" ca="1">INDEX(IssueTypeList,RANDBETWEEN(1,ROWS(IssueTypeList)))</f>
        <v>Data Issue</v>
      </c>
      <c r="D165" t="str" cm="1">
        <f t="array" aca="1" ref="D165" ca="1">INDEX(PriorityList,RANDBETWEEN(1,ROWS(PriorityList)))</f>
        <v>Critical</v>
      </c>
      <c r="E165" t="str" cm="1">
        <f t="array" aca="1" ref="E165" ca="1">INDEX(SeverityList,RANDBETWEEN(1,ROWS(SeverityList)))</f>
        <v>Major</v>
      </c>
      <c r="F165" t="str" cm="1">
        <f t="array" aca="1" ref="F165" ca="1">INDEX(RegionList,RANDBETWEEN(1,ROWS(RegionList)))</f>
        <v>Central</v>
      </c>
      <c r="G165" t="str" cm="1">
        <f t="array" aca="1" ref="G165" ca="1">INDEX(DepartmentList,RANDBETWEEN(1,ROWS(DepartmentList)))</f>
        <v>Billing</v>
      </c>
      <c r="H165" s="1">
        <f t="shared" ca="1" si="10"/>
        <v>45119</v>
      </c>
      <c r="I165" s="4" t="str">
        <f ca="1">IF(IncidentTable[[#This Row],[Resolution Time (Days)]]="","",IncidentTable[[#This Row],[Created Date]]+IncidentTable[[#This Row],[Resolution Time (Days)]])</f>
        <v/>
      </c>
      <c r="J165" t="str">
        <f ca="1">IF(OR(IncidentTable[[#This Row],[Status]]="Resolved",IncidentTable[[#This Row],[Status]]="Closed"),RANDBETWEEN(1,120),"")</f>
        <v/>
      </c>
      <c r="K165" t="str">
        <f t="shared" ca="1" si="8"/>
        <v>Pending</v>
      </c>
      <c r="L165" t="str" cm="1">
        <f t="array" aca="1" ref="L165" ca="1">INDEX(AnalystList,RANDBETWEEN(1,ROWS(AnalystList)))</f>
        <v>Jordan Lee</v>
      </c>
      <c r="M165" t="str" cm="1">
        <f t="array" aca="1" ref="M165" ca="1">INDEX(RootCauseList,RANDBETWEEN(1,ROWS(RootCauseList)))</f>
        <v>User Error</v>
      </c>
      <c r="N165">
        <f t="shared" ca="1" si="11"/>
        <v>22688.04</v>
      </c>
      <c r="O165" t="str">
        <f ca="1">IF(OR(IncidentTable[[#This Row],[Status]]="Resolved",IncidentTable[[#This Row],[Status]]="Closed"),
ROUND(IncidentTable[[#This Row],[Estimated Impact ($)]]*(1+RANDBETWEEN(-15,25)/100)+RAND(),2),
"")</f>
        <v/>
      </c>
      <c r="P165" t="str">
        <f ca="1">IF(IncidentTable[[#This Row],[Actual Impact ($)]]="","",ROUND(IncidentTable[[#This Row],[Actual Impact ($)]]-IncidentTable[[#This Row],[Estimated Impact ($)]],2))</f>
        <v/>
      </c>
      <c r="Q165" s="2" t="str">
        <f ca="1">IF(IncidentTable[[#This Row],[Actual Impact ($)]]="","",(IncidentTable[[#This Row],[Actual Impact ($)]]-IncidentTable[[#This Row],[Estimated Impact ($)]]) / IncidentTable[[#This Row],[Estimated Impact ($)]])</f>
        <v/>
      </c>
      <c r="R165" s="3">
        <f ca="1">IF(IncidentTable[[#This Row],[Priority]]="Critical",1,
IF(IncidentTable[[#This Row],[Priority]]="High",3,
IF(IncidentTable[[#This Row],[Priority]]="Medium",5,
IF(IncidentTable[[#This Row],[Priority]]="Low",10,""))))</f>
        <v>1</v>
      </c>
      <c r="S165" t="str">
        <f ca="1">IF(IncidentTable[[#This Row],[Resolution Time (Days)]]="","",
IF(IncidentTable[[#This Row],[Resolution Time (Days)]]&lt;=IncidentTable[[#This Row],[SLA Target (Days)]],"Yes","No"))</f>
        <v/>
      </c>
    </row>
    <row r="166" spans="1:19" x14ac:dyDescent="0.25">
      <c r="A166" t="str">
        <f t="shared" ca="1" si="9"/>
        <v>INC896420</v>
      </c>
      <c r="B166" t="str" cm="1">
        <f t="array" aca="1" ref="B166" ca="1">INDEX(SystemList,RANDBETWEEN(1,ROWS(SystemList)))</f>
        <v>Regulatory System</v>
      </c>
      <c r="C166" t="str" cm="1">
        <f t="array" aca="1" ref="C166" ca="1">INDEX(IssueTypeList,RANDBETWEEN(1,ROWS(IssueTypeList)))</f>
        <v>Payment Failure</v>
      </c>
      <c r="D166" t="str" cm="1">
        <f t="array" aca="1" ref="D166" ca="1">INDEX(PriorityList,RANDBETWEEN(1,ROWS(PriorityList)))</f>
        <v>Critical</v>
      </c>
      <c r="E166" t="str" cm="1">
        <f t="array" aca="1" ref="E166" ca="1">INDEX(SeverityList,RANDBETWEEN(1,ROWS(SeverityList)))</f>
        <v>Minor</v>
      </c>
      <c r="F166" t="str" cm="1">
        <f t="array" aca="1" ref="F166" ca="1">INDEX(RegionList,RANDBETWEEN(1,ROWS(RegionList)))</f>
        <v>East</v>
      </c>
      <c r="G166" t="str" cm="1">
        <f t="array" aca="1" ref="G166" ca="1">INDEX(DepartmentList,RANDBETWEEN(1,ROWS(DepartmentList)))</f>
        <v>IT</v>
      </c>
      <c r="H166" s="1">
        <f t="shared" ca="1" si="10"/>
        <v>44988</v>
      </c>
      <c r="I166" s="4">
        <f ca="1">IF(IncidentTable[[#This Row],[Resolution Time (Days)]]="","",IncidentTable[[#This Row],[Created Date]]+IncidentTable[[#This Row],[Resolution Time (Days)]])</f>
        <v>45045</v>
      </c>
      <c r="J166">
        <f ca="1">IF(OR(IncidentTable[[#This Row],[Status]]="Resolved",IncidentTable[[#This Row],[Status]]="Closed"),RANDBETWEEN(1,120),"")</f>
        <v>57</v>
      </c>
      <c r="K166" t="str">
        <f t="shared" ca="1" si="8"/>
        <v>Closed</v>
      </c>
      <c r="L166" t="str" cm="1">
        <f t="array" aca="1" ref="L166" ca="1">INDEX(AnalystList,RANDBETWEEN(1,ROWS(AnalystList)))</f>
        <v>Taylor Smith</v>
      </c>
      <c r="M166" t="str" cm="1">
        <f t="array" aca="1" ref="M166" ca="1">INDEX(RootCauseList,RANDBETWEEN(1,ROWS(RootCauseList)))</f>
        <v>Unknown</v>
      </c>
      <c r="N166">
        <f t="shared" ca="1" si="11"/>
        <v>54.31</v>
      </c>
      <c r="O166">
        <f ca="1">IF(OR(IncidentTable[[#This Row],[Status]]="Resolved",IncidentTable[[#This Row],[Status]]="Closed"),
ROUND(IncidentTable[[#This Row],[Estimated Impact ($)]]*(1+RANDBETWEEN(-15,25)/100)+RAND(),2),
"")</f>
        <v>62.45</v>
      </c>
      <c r="P166">
        <f ca="1">IF(IncidentTable[[#This Row],[Actual Impact ($)]]="","",ROUND(IncidentTable[[#This Row],[Actual Impact ($)]]-IncidentTable[[#This Row],[Estimated Impact ($)]],2))</f>
        <v>8.14</v>
      </c>
      <c r="Q166" s="2">
        <f ca="1">IF(IncidentTable[[#This Row],[Actual Impact ($)]]="","",(IncidentTable[[#This Row],[Actual Impact ($)]]-IncidentTable[[#This Row],[Estimated Impact ($)]]) / IncidentTable[[#This Row],[Estimated Impact ($)]])</f>
        <v>0.14988031670042351</v>
      </c>
      <c r="R166" s="3">
        <f ca="1">IF(IncidentTable[[#This Row],[Priority]]="Critical",1,
IF(IncidentTable[[#This Row],[Priority]]="High",3,
IF(IncidentTable[[#This Row],[Priority]]="Medium",5,
IF(IncidentTable[[#This Row],[Priority]]="Low",10,""))))</f>
        <v>1</v>
      </c>
      <c r="S166" t="str">
        <f ca="1">IF(IncidentTable[[#This Row],[Resolution Time (Days)]]="","",
IF(IncidentTable[[#This Row],[Resolution Time (Days)]]&lt;=IncidentTable[[#This Row],[SLA Target (Days)]],"Yes","No"))</f>
        <v>No</v>
      </c>
    </row>
    <row r="167" spans="1:19" x14ac:dyDescent="0.25">
      <c r="A167" t="str">
        <f t="shared" ca="1" si="9"/>
        <v>INC831834</v>
      </c>
      <c r="B167" t="str" cm="1">
        <f t="array" aca="1" ref="B167" ca="1">INDEX(SystemList,RANDBETWEEN(1,ROWS(SystemList)))</f>
        <v>Billing System</v>
      </c>
      <c r="C167" t="str" cm="1">
        <f t="array" aca="1" ref="C167" ca="1">INDEX(IssueTypeList,RANDBETWEEN(1,ROWS(IssueTypeList)))</f>
        <v>Payment Failure</v>
      </c>
      <c r="D167" t="str" cm="1">
        <f t="array" aca="1" ref="D167" ca="1">INDEX(PriorityList,RANDBETWEEN(1,ROWS(PriorityList)))</f>
        <v>High</v>
      </c>
      <c r="E167" t="str" cm="1">
        <f t="array" aca="1" ref="E167" ca="1">INDEX(SeverityList,RANDBETWEEN(1,ROWS(SeverityList)))</f>
        <v>Minor</v>
      </c>
      <c r="F167" t="str" cm="1">
        <f t="array" aca="1" ref="F167" ca="1">INDEX(RegionList,RANDBETWEEN(1,ROWS(RegionList)))</f>
        <v>West</v>
      </c>
      <c r="G167" t="str" cm="1">
        <f t="array" aca="1" ref="G167" ca="1">INDEX(DepartmentList,RANDBETWEEN(1,ROWS(DepartmentList)))</f>
        <v>IT</v>
      </c>
      <c r="H167" s="1">
        <f t="shared" ca="1" si="10"/>
        <v>45160</v>
      </c>
      <c r="I167" s="4" t="str">
        <f ca="1">IF(IncidentTable[[#This Row],[Resolution Time (Days)]]="","",IncidentTable[[#This Row],[Created Date]]+IncidentTable[[#This Row],[Resolution Time (Days)]])</f>
        <v/>
      </c>
      <c r="J167" t="str">
        <f ca="1">IF(OR(IncidentTable[[#This Row],[Status]]="Resolved",IncidentTable[[#This Row],[Status]]="Closed"),RANDBETWEEN(1,120),"")</f>
        <v/>
      </c>
      <c r="K167" t="str">
        <f t="shared" ca="1" si="8"/>
        <v>In Progress</v>
      </c>
      <c r="L167" t="str" cm="1">
        <f t="array" aca="1" ref="L167" ca="1">INDEX(AnalystList,RANDBETWEEN(1,ROWS(AnalystList)))</f>
        <v>Casey Brown</v>
      </c>
      <c r="M167" t="str" cm="1">
        <f t="array" aca="1" ref="M167" ca="1">INDEX(RootCauseList,RANDBETWEEN(1,ROWS(RootCauseList)))</f>
        <v>User Error</v>
      </c>
      <c r="N167">
        <f t="shared" ca="1" si="11"/>
        <v>12227.6</v>
      </c>
      <c r="O167" t="str">
        <f ca="1">IF(OR(IncidentTable[[#This Row],[Status]]="Resolved",IncidentTable[[#This Row],[Status]]="Closed"),
ROUND(IncidentTable[[#This Row],[Estimated Impact ($)]]*(1+RANDBETWEEN(-15,25)/100)+RAND(),2),
"")</f>
        <v/>
      </c>
      <c r="P167" t="str">
        <f ca="1">IF(IncidentTable[[#This Row],[Actual Impact ($)]]="","",ROUND(IncidentTable[[#This Row],[Actual Impact ($)]]-IncidentTable[[#This Row],[Estimated Impact ($)]],2))</f>
        <v/>
      </c>
      <c r="Q167" s="2" t="str">
        <f ca="1">IF(IncidentTable[[#This Row],[Actual Impact ($)]]="","",(IncidentTable[[#This Row],[Actual Impact ($)]]-IncidentTable[[#This Row],[Estimated Impact ($)]]) / IncidentTable[[#This Row],[Estimated Impact ($)]])</f>
        <v/>
      </c>
      <c r="R167" s="3">
        <f ca="1">IF(IncidentTable[[#This Row],[Priority]]="Critical",1,
IF(IncidentTable[[#This Row],[Priority]]="High",3,
IF(IncidentTable[[#This Row],[Priority]]="Medium",5,
IF(IncidentTable[[#This Row],[Priority]]="Low",10,""))))</f>
        <v>3</v>
      </c>
      <c r="S167" t="str">
        <f ca="1">IF(IncidentTable[[#This Row],[Resolution Time (Days)]]="","",
IF(IncidentTable[[#This Row],[Resolution Time (Days)]]&lt;=IncidentTable[[#This Row],[SLA Target (Days)]],"Yes","No"))</f>
        <v/>
      </c>
    </row>
    <row r="168" spans="1:19" x14ac:dyDescent="0.25">
      <c r="A168" t="str">
        <f t="shared" ca="1" si="9"/>
        <v>INC111213</v>
      </c>
      <c r="B168" t="str" cm="1">
        <f t="array" aca="1" ref="B168" ca="1">INDEX(SystemList,RANDBETWEEN(1,ROWS(SystemList)))</f>
        <v>Payment Processing</v>
      </c>
      <c r="C168" t="str" cm="1">
        <f t="array" aca="1" ref="C168" ca="1">INDEX(IssueTypeList,RANDBETWEEN(1,ROWS(IssueTypeList)))</f>
        <v>System Error</v>
      </c>
      <c r="D168" t="str" cm="1">
        <f t="array" aca="1" ref="D168" ca="1">INDEX(PriorityList,RANDBETWEEN(1,ROWS(PriorityList)))</f>
        <v>High</v>
      </c>
      <c r="E168" t="str" cm="1">
        <f t="array" aca="1" ref="E168" ca="1">INDEX(SeverityList,RANDBETWEEN(1,ROWS(SeverityList)))</f>
        <v>Major</v>
      </c>
      <c r="F168" t="str" cm="1">
        <f t="array" aca="1" ref="F168" ca="1">INDEX(RegionList,RANDBETWEEN(1,ROWS(RegionList)))</f>
        <v>East</v>
      </c>
      <c r="G168" t="str" cm="1">
        <f t="array" aca="1" ref="G168" ca="1">INDEX(DepartmentList,RANDBETWEEN(1,ROWS(DepartmentList)))</f>
        <v>Billing</v>
      </c>
      <c r="H168" s="1">
        <f t="shared" ca="1" si="10"/>
        <v>44968</v>
      </c>
      <c r="I168" s="4" t="str">
        <f ca="1">IF(IncidentTable[[#This Row],[Resolution Time (Days)]]="","",IncidentTable[[#This Row],[Created Date]]+IncidentTable[[#This Row],[Resolution Time (Days)]])</f>
        <v/>
      </c>
      <c r="J168" t="str">
        <f ca="1">IF(OR(IncidentTable[[#This Row],[Status]]="Resolved",IncidentTable[[#This Row],[Status]]="Closed"),RANDBETWEEN(1,120),"")</f>
        <v/>
      </c>
      <c r="K168" t="str">
        <f t="shared" ca="1" si="8"/>
        <v>Open</v>
      </c>
      <c r="L168" t="str" cm="1">
        <f t="array" aca="1" ref="L168" ca="1">INDEX(AnalystList,RANDBETWEEN(1,ROWS(AnalystList)))</f>
        <v>Morgan Davis</v>
      </c>
      <c r="M168" t="str" cm="1">
        <f t="array" aca="1" ref="M168" ca="1">INDEX(RootCauseList,RANDBETWEEN(1,ROWS(RootCauseList)))</f>
        <v>User Error</v>
      </c>
      <c r="N168">
        <f t="shared" ca="1" si="11"/>
        <v>3.77</v>
      </c>
      <c r="O168" t="str">
        <f ca="1">IF(OR(IncidentTable[[#This Row],[Status]]="Resolved",IncidentTable[[#This Row],[Status]]="Closed"),
ROUND(IncidentTable[[#This Row],[Estimated Impact ($)]]*(1+RANDBETWEEN(-15,25)/100)+RAND(),2),
"")</f>
        <v/>
      </c>
      <c r="P168" t="str">
        <f ca="1">IF(IncidentTable[[#This Row],[Actual Impact ($)]]="","",ROUND(IncidentTable[[#This Row],[Actual Impact ($)]]-IncidentTable[[#This Row],[Estimated Impact ($)]],2))</f>
        <v/>
      </c>
      <c r="Q168" s="2" t="str">
        <f ca="1">IF(IncidentTable[[#This Row],[Actual Impact ($)]]="","",(IncidentTable[[#This Row],[Actual Impact ($)]]-IncidentTable[[#This Row],[Estimated Impact ($)]]) / IncidentTable[[#This Row],[Estimated Impact ($)]])</f>
        <v/>
      </c>
      <c r="R168" s="3">
        <f ca="1">IF(IncidentTable[[#This Row],[Priority]]="Critical",1,
IF(IncidentTable[[#This Row],[Priority]]="High",3,
IF(IncidentTable[[#This Row],[Priority]]="Medium",5,
IF(IncidentTable[[#This Row],[Priority]]="Low",10,""))))</f>
        <v>3</v>
      </c>
      <c r="S168" t="str">
        <f ca="1">IF(IncidentTable[[#This Row],[Resolution Time (Days)]]="","",
IF(IncidentTable[[#This Row],[Resolution Time (Days)]]&lt;=IncidentTable[[#This Row],[SLA Target (Days)]],"Yes","No"))</f>
        <v/>
      </c>
    </row>
    <row r="169" spans="1:19" x14ac:dyDescent="0.25">
      <c r="A169" t="str">
        <f t="shared" ca="1" si="9"/>
        <v>INC976229</v>
      </c>
      <c r="B169" t="str" cm="1">
        <f t="array" aca="1" ref="B169" ca="1">INDEX(SystemList,RANDBETWEEN(1,ROWS(SystemList)))</f>
        <v>Billing System</v>
      </c>
      <c r="C169" t="str" cm="1">
        <f t="array" aca="1" ref="C169" ca="1">INDEX(IssueTypeList,RANDBETWEEN(1,ROWS(IssueTypeList)))</f>
        <v>System Error</v>
      </c>
      <c r="D169" t="str" cm="1">
        <f t="array" aca="1" ref="D169" ca="1">INDEX(PriorityList,RANDBETWEEN(1,ROWS(PriorityList)))</f>
        <v>High</v>
      </c>
      <c r="E169" t="str" cm="1">
        <f t="array" aca="1" ref="E169" ca="1">INDEX(SeverityList,RANDBETWEEN(1,ROWS(SeverityList)))</f>
        <v>Major</v>
      </c>
      <c r="F169" t="str" cm="1">
        <f t="array" aca="1" ref="F169" ca="1">INDEX(RegionList,RANDBETWEEN(1,ROWS(RegionList)))</f>
        <v>Southeast</v>
      </c>
      <c r="G169" t="str" cm="1">
        <f t="array" aca="1" ref="G169" ca="1">INDEX(DepartmentList,RANDBETWEEN(1,ROWS(DepartmentList)))</f>
        <v>Claims</v>
      </c>
      <c r="H169" s="1">
        <f t="shared" ca="1" si="10"/>
        <v>45258</v>
      </c>
      <c r="I169" s="4" t="str">
        <f ca="1">IF(IncidentTable[[#This Row],[Resolution Time (Days)]]="","",IncidentTable[[#This Row],[Created Date]]+IncidentTable[[#This Row],[Resolution Time (Days)]])</f>
        <v/>
      </c>
      <c r="J169" t="str">
        <f ca="1">IF(OR(IncidentTable[[#This Row],[Status]]="Resolved",IncidentTable[[#This Row],[Status]]="Closed"),RANDBETWEEN(1,120),"")</f>
        <v/>
      </c>
      <c r="K169" t="str">
        <f t="shared" ca="1" si="8"/>
        <v>Pending</v>
      </c>
      <c r="L169" t="str" cm="1">
        <f t="array" aca="1" ref="L169" ca="1">INDEX(AnalystList,RANDBETWEEN(1,ROWS(AnalystList)))</f>
        <v>Morgan Davis</v>
      </c>
      <c r="M169" t="str" cm="1">
        <f t="array" aca="1" ref="M169" ca="1">INDEX(RootCauseList,RANDBETWEEN(1,ROWS(RootCauseList)))</f>
        <v>Integration Failure</v>
      </c>
      <c r="N169">
        <f t="shared" ca="1" si="11"/>
        <v>2491.38</v>
      </c>
      <c r="O169" t="str">
        <f ca="1">IF(OR(IncidentTable[[#This Row],[Status]]="Resolved",IncidentTable[[#This Row],[Status]]="Closed"),
ROUND(IncidentTable[[#This Row],[Estimated Impact ($)]]*(1+RANDBETWEEN(-15,25)/100)+RAND(),2),
"")</f>
        <v/>
      </c>
      <c r="P169" t="str">
        <f ca="1">IF(IncidentTable[[#This Row],[Actual Impact ($)]]="","",ROUND(IncidentTable[[#This Row],[Actual Impact ($)]]-IncidentTable[[#This Row],[Estimated Impact ($)]],2))</f>
        <v/>
      </c>
      <c r="Q169" s="2" t="str">
        <f ca="1">IF(IncidentTable[[#This Row],[Actual Impact ($)]]="","",(IncidentTable[[#This Row],[Actual Impact ($)]]-IncidentTable[[#This Row],[Estimated Impact ($)]]) / IncidentTable[[#This Row],[Estimated Impact ($)]])</f>
        <v/>
      </c>
      <c r="R169" s="3">
        <f ca="1">IF(IncidentTable[[#This Row],[Priority]]="Critical",1,
IF(IncidentTable[[#This Row],[Priority]]="High",3,
IF(IncidentTable[[#This Row],[Priority]]="Medium",5,
IF(IncidentTable[[#This Row],[Priority]]="Low",10,""))))</f>
        <v>3</v>
      </c>
      <c r="S169" t="str">
        <f ca="1">IF(IncidentTable[[#This Row],[Resolution Time (Days)]]="","",
IF(IncidentTable[[#This Row],[Resolution Time (Days)]]&lt;=IncidentTable[[#This Row],[SLA Target (Days)]],"Yes","No"))</f>
        <v/>
      </c>
    </row>
    <row r="170" spans="1:19" x14ac:dyDescent="0.25">
      <c r="A170" t="str">
        <f t="shared" ca="1" si="9"/>
        <v>INC532874</v>
      </c>
      <c r="B170" t="str" cm="1">
        <f t="array" aca="1" ref="B170" ca="1">INDEX(SystemList,RANDBETWEEN(1,ROWS(SystemList)))</f>
        <v>Payment Processing</v>
      </c>
      <c r="C170" t="str" cm="1">
        <f t="array" aca="1" ref="C170" ca="1">INDEX(IssueTypeList,RANDBETWEEN(1,ROWS(IssueTypeList)))</f>
        <v>Performance Issue</v>
      </c>
      <c r="D170" t="str" cm="1">
        <f t="array" aca="1" ref="D170" ca="1">INDEX(PriorityList,RANDBETWEEN(1,ROWS(PriorityList)))</f>
        <v>Low</v>
      </c>
      <c r="E170" t="str" cm="1">
        <f t="array" aca="1" ref="E170" ca="1">INDEX(SeverityList,RANDBETWEEN(1,ROWS(SeverityList)))</f>
        <v>Minor</v>
      </c>
      <c r="F170" t="str" cm="1">
        <f t="array" aca="1" ref="F170" ca="1">INDEX(RegionList,RANDBETWEEN(1,ROWS(RegionList)))</f>
        <v>West</v>
      </c>
      <c r="G170" t="str" cm="1">
        <f t="array" aca="1" ref="G170" ca="1">INDEX(DepartmentList,RANDBETWEEN(1,ROWS(DepartmentList)))</f>
        <v>Customer Service</v>
      </c>
      <c r="H170" s="1">
        <f t="shared" ca="1" si="10"/>
        <v>45214</v>
      </c>
      <c r="I170" s="4" t="str">
        <f ca="1">IF(IncidentTable[[#This Row],[Resolution Time (Days)]]="","",IncidentTable[[#This Row],[Created Date]]+IncidentTable[[#This Row],[Resolution Time (Days)]])</f>
        <v/>
      </c>
      <c r="J170" t="str">
        <f ca="1">IF(OR(IncidentTable[[#This Row],[Status]]="Resolved",IncidentTable[[#This Row],[Status]]="Closed"),RANDBETWEEN(1,120),"")</f>
        <v/>
      </c>
      <c r="K170" t="str">
        <f t="shared" ca="1" si="8"/>
        <v>Pending</v>
      </c>
      <c r="L170" t="str" cm="1">
        <f t="array" aca="1" ref="L170" ca="1">INDEX(AnalystList,RANDBETWEEN(1,ROWS(AnalystList)))</f>
        <v>Taylor Smith</v>
      </c>
      <c r="M170" t="str" cm="1">
        <f t="array" aca="1" ref="M170" ca="1">INDEX(RootCauseList,RANDBETWEEN(1,ROWS(RootCauseList)))</f>
        <v>Integration Failure</v>
      </c>
      <c r="N170">
        <f t="shared" ca="1" si="11"/>
        <v>10.69</v>
      </c>
      <c r="O170" t="str">
        <f ca="1">IF(OR(IncidentTable[[#This Row],[Status]]="Resolved",IncidentTable[[#This Row],[Status]]="Closed"),
ROUND(IncidentTable[[#This Row],[Estimated Impact ($)]]*(1+RANDBETWEEN(-15,25)/100)+RAND(),2),
"")</f>
        <v/>
      </c>
      <c r="P170" t="str">
        <f ca="1">IF(IncidentTable[[#This Row],[Actual Impact ($)]]="","",ROUND(IncidentTable[[#This Row],[Actual Impact ($)]]-IncidentTable[[#This Row],[Estimated Impact ($)]],2))</f>
        <v/>
      </c>
      <c r="Q170" s="2" t="str">
        <f ca="1">IF(IncidentTable[[#This Row],[Actual Impact ($)]]="","",(IncidentTable[[#This Row],[Actual Impact ($)]]-IncidentTable[[#This Row],[Estimated Impact ($)]]) / IncidentTable[[#This Row],[Estimated Impact ($)]])</f>
        <v/>
      </c>
      <c r="R170" s="3">
        <f ca="1">IF(IncidentTable[[#This Row],[Priority]]="Critical",1,
IF(IncidentTable[[#This Row],[Priority]]="High",3,
IF(IncidentTable[[#This Row],[Priority]]="Medium",5,
IF(IncidentTable[[#This Row],[Priority]]="Low",10,""))))</f>
        <v>10</v>
      </c>
      <c r="S170" t="str">
        <f ca="1">IF(IncidentTable[[#This Row],[Resolution Time (Days)]]="","",
IF(IncidentTable[[#This Row],[Resolution Time (Days)]]&lt;=IncidentTable[[#This Row],[SLA Target (Days)]],"Yes","No"))</f>
        <v/>
      </c>
    </row>
    <row r="171" spans="1:19" x14ac:dyDescent="0.25">
      <c r="A171" t="str">
        <f t="shared" ca="1" si="9"/>
        <v>INC116243</v>
      </c>
      <c r="B171" t="str" cm="1">
        <f t="array" aca="1" ref="B171" ca="1">INDEX(SystemList,RANDBETWEEN(1,ROWS(SystemList)))</f>
        <v>Claims System</v>
      </c>
      <c r="C171" t="str" cm="1">
        <f t="array" aca="1" ref="C171" ca="1">INDEX(IssueTypeList,RANDBETWEEN(1,ROWS(IssueTypeList)))</f>
        <v>Payment Failure</v>
      </c>
      <c r="D171" t="str" cm="1">
        <f t="array" aca="1" ref="D171" ca="1">INDEX(PriorityList,RANDBETWEEN(1,ROWS(PriorityList)))</f>
        <v>High</v>
      </c>
      <c r="E171" t="str" cm="1">
        <f t="array" aca="1" ref="E171" ca="1">INDEX(SeverityList,RANDBETWEEN(1,ROWS(SeverityList)))</f>
        <v>Moderate</v>
      </c>
      <c r="F171" t="str" cm="1">
        <f t="array" aca="1" ref="F171" ca="1">INDEX(RegionList,RANDBETWEEN(1,ROWS(RegionList)))</f>
        <v>West</v>
      </c>
      <c r="G171" t="str" cm="1">
        <f t="array" aca="1" ref="G171" ca="1">INDEX(DepartmentList,RANDBETWEEN(1,ROWS(DepartmentList)))</f>
        <v>IT</v>
      </c>
      <c r="H171" s="1">
        <f t="shared" ca="1" si="10"/>
        <v>44999</v>
      </c>
      <c r="I171" s="4" t="str">
        <f ca="1">IF(IncidentTable[[#This Row],[Resolution Time (Days)]]="","",IncidentTable[[#This Row],[Created Date]]+IncidentTable[[#This Row],[Resolution Time (Days)]])</f>
        <v/>
      </c>
      <c r="J171" t="str">
        <f ca="1">IF(OR(IncidentTable[[#This Row],[Status]]="Resolved",IncidentTable[[#This Row],[Status]]="Closed"),RANDBETWEEN(1,120),"")</f>
        <v/>
      </c>
      <c r="K171" t="str">
        <f t="shared" ca="1" si="8"/>
        <v>In Progress</v>
      </c>
      <c r="L171" t="str" cm="1">
        <f t="array" aca="1" ref="L171" ca="1">INDEX(AnalystList,RANDBETWEEN(1,ROWS(AnalystList)))</f>
        <v>Riley Wilson</v>
      </c>
      <c r="M171" t="str" cm="1">
        <f t="array" aca="1" ref="M171" ca="1">INDEX(RootCauseList,RANDBETWEEN(1,ROWS(RootCauseList)))</f>
        <v>User Error</v>
      </c>
      <c r="N171">
        <f t="shared" ca="1" si="11"/>
        <v>173.02</v>
      </c>
      <c r="O171" t="str">
        <f ca="1">IF(OR(IncidentTable[[#This Row],[Status]]="Resolved",IncidentTable[[#This Row],[Status]]="Closed"),
ROUND(IncidentTable[[#This Row],[Estimated Impact ($)]]*(1+RANDBETWEEN(-15,25)/100)+RAND(),2),
"")</f>
        <v/>
      </c>
      <c r="P171" t="str">
        <f ca="1">IF(IncidentTable[[#This Row],[Actual Impact ($)]]="","",ROUND(IncidentTable[[#This Row],[Actual Impact ($)]]-IncidentTable[[#This Row],[Estimated Impact ($)]],2))</f>
        <v/>
      </c>
      <c r="Q171" s="2" t="str">
        <f ca="1">IF(IncidentTable[[#This Row],[Actual Impact ($)]]="","",(IncidentTable[[#This Row],[Actual Impact ($)]]-IncidentTable[[#This Row],[Estimated Impact ($)]]) / IncidentTable[[#This Row],[Estimated Impact ($)]])</f>
        <v/>
      </c>
      <c r="R171" s="3">
        <f ca="1">IF(IncidentTable[[#This Row],[Priority]]="Critical",1,
IF(IncidentTable[[#This Row],[Priority]]="High",3,
IF(IncidentTable[[#This Row],[Priority]]="Medium",5,
IF(IncidentTable[[#This Row],[Priority]]="Low",10,""))))</f>
        <v>3</v>
      </c>
      <c r="S171" t="str">
        <f ca="1">IF(IncidentTable[[#This Row],[Resolution Time (Days)]]="","",
IF(IncidentTable[[#This Row],[Resolution Time (Days)]]&lt;=IncidentTable[[#This Row],[SLA Target (Days)]],"Yes","No"))</f>
        <v/>
      </c>
    </row>
    <row r="172" spans="1:19" x14ac:dyDescent="0.25">
      <c r="A172" t="str">
        <f t="shared" ca="1" si="9"/>
        <v>INC301402</v>
      </c>
      <c r="B172" t="str" cm="1">
        <f t="array" aca="1" ref="B172" ca="1">INDEX(SystemList,RANDBETWEEN(1,ROWS(SystemList)))</f>
        <v>Payment Processing</v>
      </c>
      <c r="C172" t="str" cm="1">
        <f t="array" aca="1" ref="C172" ca="1">INDEX(IssueTypeList,RANDBETWEEN(1,ROWS(IssueTypeList)))</f>
        <v>Complaint</v>
      </c>
      <c r="D172" t="str" cm="1">
        <f t="array" aca="1" ref="D172" ca="1">INDEX(PriorityList,RANDBETWEEN(1,ROWS(PriorityList)))</f>
        <v>Low</v>
      </c>
      <c r="E172" t="str" cm="1">
        <f t="array" aca="1" ref="E172" ca="1">INDEX(SeverityList,RANDBETWEEN(1,ROWS(SeverityList)))</f>
        <v>Minor</v>
      </c>
      <c r="F172" t="str" cm="1">
        <f t="array" aca="1" ref="F172" ca="1">INDEX(RegionList,RANDBETWEEN(1,ROWS(RegionList)))</f>
        <v>Southeast</v>
      </c>
      <c r="G172" t="str" cm="1">
        <f t="array" aca="1" ref="G172" ca="1">INDEX(DepartmentList,RANDBETWEEN(1,ROWS(DepartmentList)))</f>
        <v>Customer Service</v>
      </c>
      <c r="H172" s="1">
        <f t="shared" ca="1" si="10"/>
        <v>45290</v>
      </c>
      <c r="I172" s="4">
        <f ca="1">IF(IncidentTable[[#This Row],[Resolution Time (Days)]]="","",IncidentTable[[#This Row],[Created Date]]+IncidentTable[[#This Row],[Resolution Time (Days)]])</f>
        <v>45298</v>
      </c>
      <c r="J172">
        <f ca="1">IF(OR(IncidentTable[[#This Row],[Status]]="Resolved",IncidentTable[[#This Row],[Status]]="Closed"),RANDBETWEEN(1,120),"")</f>
        <v>8</v>
      </c>
      <c r="K172" t="str">
        <f t="shared" ca="1" si="8"/>
        <v>Resolved</v>
      </c>
      <c r="L172" t="str" cm="1">
        <f t="array" aca="1" ref="L172" ca="1">INDEX(AnalystList,RANDBETWEEN(1,ROWS(AnalystList)))</f>
        <v>Taylor Smith</v>
      </c>
      <c r="M172" t="str" cm="1">
        <f t="array" aca="1" ref="M172" ca="1">INDEX(RootCauseList,RANDBETWEEN(1,ROWS(RootCauseList)))</f>
        <v>System Bug</v>
      </c>
      <c r="N172">
        <f t="shared" ca="1" si="11"/>
        <v>544.26</v>
      </c>
      <c r="O172">
        <f ca="1">IF(OR(IncidentTable[[#This Row],[Status]]="Resolved",IncidentTable[[#This Row],[Status]]="Closed"),
ROUND(IncidentTable[[#This Row],[Estimated Impact ($)]]*(1+RANDBETWEEN(-15,25)/100)+RAND(),2),
"")</f>
        <v>517.70000000000005</v>
      </c>
      <c r="P172">
        <f ca="1">IF(IncidentTable[[#This Row],[Actual Impact ($)]]="","",ROUND(IncidentTable[[#This Row],[Actual Impact ($)]]-IncidentTable[[#This Row],[Estimated Impact ($)]],2))</f>
        <v>-26.56</v>
      </c>
      <c r="Q172" s="2">
        <f ca="1">IF(IncidentTable[[#This Row],[Actual Impact ($)]]="","",(IncidentTable[[#This Row],[Actual Impact ($)]]-IncidentTable[[#This Row],[Estimated Impact ($)]]) / IncidentTable[[#This Row],[Estimated Impact ($)]])</f>
        <v>-4.8800205784000197E-2</v>
      </c>
      <c r="R172" s="3">
        <f ca="1">IF(IncidentTable[[#This Row],[Priority]]="Critical",1,
IF(IncidentTable[[#This Row],[Priority]]="High",3,
IF(IncidentTable[[#This Row],[Priority]]="Medium",5,
IF(IncidentTable[[#This Row],[Priority]]="Low",10,""))))</f>
        <v>10</v>
      </c>
      <c r="S172" t="str">
        <f ca="1">IF(IncidentTable[[#This Row],[Resolution Time (Days)]]="","",
IF(IncidentTable[[#This Row],[Resolution Time (Days)]]&lt;=IncidentTable[[#This Row],[SLA Target (Days)]],"Yes","No"))</f>
        <v>Yes</v>
      </c>
    </row>
    <row r="173" spans="1:19" x14ac:dyDescent="0.25">
      <c r="A173" t="str">
        <f t="shared" ca="1" si="9"/>
        <v>INC824759</v>
      </c>
      <c r="B173" t="str" cm="1">
        <f t="array" aca="1" ref="B173" ca="1">INDEX(SystemList,RANDBETWEEN(1,ROWS(SystemList)))</f>
        <v>Claims System</v>
      </c>
      <c r="C173" t="str" cm="1">
        <f t="array" aca="1" ref="C173" ca="1">INDEX(IssueTypeList,RANDBETWEEN(1,ROWS(IssueTypeList)))</f>
        <v>User Access Issue</v>
      </c>
      <c r="D173" t="str" cm="1">
        <f t="array" aca="1" ref="D173" ca="1">INDEX(PriorityList,RANDBETWEEN(1,ROWS(PriorityList)))</f>
        <v>Low</v>
      </c>
      <c r="E173" t="str" cm="1">
        <f t="array" aca="1" ref="E173" ca="1">INDEX(SeverityList,RANDBETWEEN(1,ROWS(SeverityList)))</f>
        <v>Minor</v>
      </c>
      <c r="F173" t="str" cm="1">
        <f t="array" aca="1" ref="F173" ca="1">INDEX(RegionList,RANDBETWEEN(1,ROWS(RegionList)))</f>
        <v>Central</v>
      </c>
      <c r="G173" t="str" cm="1">
        <f t="array" aca="1" ref="G173" ca="1">INDEX(DepartmentList,RANDBETWEEN(1,ROWS(DepartmentList)))</f>
        <v>Customer Service</v>
      </c>
      <c r="H173" s="1">
        <f t="shared" ca="1" si="10"/>
        <v>45037</v>
      </c>
      <c r="I173" s="4" t="str">
        <f ca="1">IF(IncidentTable[[#This Row],[Resolution Time (Days)]]="","",IncidentTable[[#This Row],[Created Date]]+IncidentTable[[#This Row],[Resolution Time (Days)]])</f>
        <v/>
      </c>
      <c r="J173" t="str">
        <f ca="1">IF(OR(IncidentTable[[#This Row],[Status]]="Resolved",IncidentTable[[#This Row],[Status]]="Closed"),RANDBETWEEN(1,120),"")</f>
        <v/>
      </c>
      <c r="K173" t="str">
        <f t="shared" ca="1" si="8"/>
        <v>Pending</v>
      </c>
      <c r="L173" t="str" cm="1">
        <f t="array" aca="1" ref="L173" ca="1">INDEX(AnalystList,RANDBETWEEN(1,ROWS(AnalystList)))</f>
        <v>Jordan Lee</v>
      </c>
      <c r="M173" t="str" cm="1">
        <f t="array" aca="1" ref="M173" ca="1">INDEX(RootCauseList,RANDBETWEEN(1,ROWS(RootCauseList)))</f>
        <v>Integration Failure</v>
      </c>
      <c r="N173">
        <f t="shared" ca="1" si="11"/>
        <v>3534.94</v>
      </c>
      <c r="O173" t="str">
        <f ca="1">IF(OR(IncidentTable[[#This Row],[Status]]="Resolved",IncidentTable[[#This Row],[Status]]="Closed"),
ROUND(IncidentTable[[#This Row],[Estimated Impact ($)]]*(1+RANDBETWEEN(-15,25)/100)+RAND(),2),
"")</f>
        <v/>
      </c>
      <c r="P173" t="str">
        <f ca="1">IF(IncidentTable[[#This Row],[Actual Impact ($)]]="","",ROUND(IncidentTable[[#This Row],[Actual Impact ($)]]-IncidentTable[[#This Row],[Estimated Impact ($)]],2))</f>
        <v/>
      </c>
      <c r="Q173" s="2" t="str">
        <f ca="1">IF(IncidentTable[[#This Row],[Actual Impact ($)]]="","",(IncidentTable[[#This Row],[Actual Impact ($)]]-IncidentTable[[#This Row],[Estimated Impact ($)]]) / IncidentTable[[#This Row],[Estimated Impact ($)]])</f>
        <v/>
      </c>
      <c r="R173" s="3">
        <f ca="1">IF(IncidentTable[[#This Row],[Priority]]="Critical",1,
IF(IncidentTable[[#This Row],[Priority]]="High",3,
IF(IncidentTable[[#This Row],[Priority]]="Medium",5,
IF(IncidentTable[[#This Row],[Priority]]="Low",10,""))))</f>
        <v>10</v>
      </c>
      <c r="S173" t="str">
        <f ca="1">IF(IncidentTable[[#This Row],[Resolution Time (Days)]]="","",
IF(IncidentTable[[#This Row],[Resolution Time (Days)]]&lt;=IncidentTable[[#This Row],[SLA Target (Days)]],"Yes","No"))</f>
        <v/>
      </c>
    </row>
    <row r="174" spans="1:19" x14ac:dyDescent="0.25">
      <c r="A174" t="str">
        <f t="shared" ca="1" si="9"/>
        <v>INC911709</v>
      </c>
      <c r="B174" t="str" cm="1">
        <f t="array" aca="1" ref="B174" ca="1">INDEX(SystemList,RANDBETWEEN(1,ROWS(SystemList)))</f>
        <v>Billing System</v>
      </c>
      <c r="C174" t="str" cm="1">
        <f t="array" aca="1" ref="C174" ca="1">INDEX(IssueTypeList,RANDBETWEEN(1,ROWS(IssueTypeList)))</f>
        <v>System Error</v>
      </c>
      <c r="D174" t="str" cm="1">
        <f t="array" aca="1" ref="D174" ca="1">INDEX(PriorityList,RANDBETWEEN(1,ROWS(PriorityList)))</f>
        <v>High</v>
      </c>
      <c r="E174" t="str" cm="1">
        <f t="array" aca="1" ref="E174" ca="1">INDEX(SeverityList,RANDBETWEEN(1,ROWS(SeverityList)))</f>
        <v>Critical</v>
      </c>
      <c r="F174" t="str" cm="1">
        <f t="array" aca="1" ref="F174" ca="1">INDEX(RegionList,RANDBETWEEN(1,ROWS(RegionList)))</f>
        <v>Central</v>
      </c>
      <c r="G174" t="str" cm="1">
        <f t="array" aca="1" ref="G174" ca="1">INDEX(DepartmentList,RANDBETWEEN(1,ROWS(DepartmentList)))</f>
        <v>Finance</v>
      </c>
      <c r="H174" s="1">
        <f t="shared" ca="1" si="10"/>
        <v>45121</v>
      </c>
      <c r="I174" s="4" t="str">
        <f ca="1">IF(IncidentTable[[#This Row],[Resolution Time (Days)]]="","",IncidentTable[[#This Row],[Created Date]]+IncidentTable[[#This Row],[Resolution Time (Days)]])</f>
        <v/>
      </c>
      <c r="J174" t="str">
        <f ca="1">IF(OR(IncidentTable[[#This Row],[Status]]="Resolved",IncidentTable[[#This Row],[Status]]="Closed"),RANDBETWEEN(1,120),"")</f>
        <v/>
      </c>
      <c r="K174" t="str">
        <f t="shared" ca="1" si="8"/>
        <v>Pending</v>
      </c>
      <c r="L174" t="str" cm="1">
        <f t="array" aca="1" ref="L174" ca="1">INDEX(AnalystList,RANDBETWEEN(1,ROWS(AnalystList)))</f>
        <v>Casey Brown</v>
      </c>
      <c r="M174" t="str" cm="1">
        <f t="array" aca="1" ref="M174" ca="1">INDEX(RootCauseList,RANDBETWEEN(1,ROWS(RootCauseList)))</f>
        <v>Data Error</v>
      </c>
      <c r="N174">
        <f t="shared" ca="1" si="11"/>
        <v>122.93</v>
      </c>
      <c r="O174" t="str">
        <f ca="1">IF(OR(IncidentTable[[#This Row],[Status]]="Resolved",IncidentTable[[#This Row],[Status]]="Closed"),
ROUND(IncidentTable[[#This Row],[Estimated Impact ($)]]*(1+RANDBETWEEN(-15,25)/100)+RAND(),2),
"")</f>
        <v/>
      </c>
      <c r="P174" t="str">
        <f ca="1">IF(IncidentTable[[#This Row],[Actual Impact ($)]]="","",ROUND(IncidentTable[[#This Row],[Actual Impact ($)]]-IncidentTable[[#This Row],[Estimated Impact ($)]],2))</f>
        <v/>
      </c>
      <c r="Q174" s="2" t="str">
        <f ca="1">IF(IncidentTable[[#This Row],[Actual Impact ($)]]="","",(IncidentTable[[#This Row],[Actual Impact ($)]]-IncidentTable[[#This Row],[Estimated Impact ($)]]) / IncidentTable[[#This Row],[Estimated Impact ($)]])</f>
        <v/>
      </c>
      <c r="R174" s="3">
        <f ca="1">IF(IncidentTable[[#This Row],[Priority]]="Critical",1,
IF(IncidentTable[[#This Row],[Priority]]="High",3,
IF(IncidentTable[[#This Row],[Priority]]="Medium",5,
IF(IncidentTable[[#This Row],[Priority]]="Low",10,""))))</f>
        <v>3</v>
      </c>
      <c r="S174" t="str">
        <f ca="1">IF(IncidentTable[[#This Row],[Resolution Time (Days)]]="","",
IF(IncidentTable[[#This Row],[Resolution Time (Days)]]&lt;=IncidentTable[[#This Row],[SLA Target (Days)]],"Yes","No"))</f>
        <v/>
      </c>
    </row>
    <row r="175" spans="1:19" x14ac:dyDescent="0.25">
      <c r="A175" t="str">
        <f t="shared" ca="1" si="9"/>
        <v>INC280847</v>
      </c>
      <c r="B175" t="str" cm="1">
        <f t="array" aca="1" ref="B175" ca="1">INDEX(SystemList,RANDBETWEEN(1,ROWS(SystemList)))</f>
        <v>Policy Admin System</v>
      </c>
      <c r="C175" t="str" cm="1">
        <f t="array" aca="1" ref="C175" ca="1">INDEX(IssueTypeList,RANDBETWEEN(1,ROWS(IssueTypeList)))</f>
        <v>Integration Failure</v>
      </c>
      <c r="D175" t="str" cm="1">
        <f t="array" aca="1" ref="D175" ca="1">INDEX(PriorityList,RANDBETWEEN(1,ROWS(PriorityList)))</f>
        <v>Medium</v>
      </c>
      <c r="E175" t="str" cm="1">
        <f t="array" aca="1" ref="E175" ca="1">INDEX(SeverityList,RANDBETWEEN(1,ROWS(SeverityList)))</f>
        <v>Critical</v>
      </c>
      <c r="F175" t="str" cm="1">
        <f t="array" aca="1" ref="F175" ca="1">INDEX(RegionList,RANDBETWEEN(1,ROWS(RegionList)))</f>
        <v>Southeast</v>
      </c>
      <c r="G175" t="str" cm="1">
        <f t="array" aca="1" ref="G175" ca="1">INDEX(DepartmentList,RANDBETWEEN(1,ROWS(DepartmentList)))</f>
        <v>Customer Service</v>
      </c>
      <c r="H175" s="1">
        <f t="shared" ca="1" si="10"/>
        <v>45089</v>
      </c>
      <c r="I175" s="4">
        <f ca="1">IF(IncidentTable[[#This Row],[Resolution Time (Days)]]="","",IncidentTable[[#This Row],[Created Date]]+IncidentTable[[#This Row],[Resolution Time (Days)]])</f>
        <v>45093</v>
      </c>
      <c r="J175">
        <f ca="1">IF(OR(IncidentTable[[#This Row],[Status]]="Resolved",IncidentTable[[#This Row],[Status]]="Closed"),RANDBETWEEN(1,120),"")</f>
        <v>4</v>
      </c>
      <c r="K175" t="str">
        <f t="shared" ca="1" si="8"/>
        <v>Closed</v>
      </c>
      <c r="L175" t="str" cm="1">
        <f t="array" aca="1" ref="L175" ca="1">INDEX(AnalystList,RANDBETWEEN(1,ROWS(AnalystList)))</f>
        <v>Riley Wilson</v>
      </c>
      <c r="M175" t="str" cm="1">
        <f t="array" aca="1" ref="M175" ca="1">INDEX(RootCauseList,RANDBETWEEN(1,ROWS(RootCauseList)))</f>
        <v>Configuration Issue</v>
      </c>
      <c r="N175">
        <f t="shared" ca="1" si="11"/>
        <v>6382.7</v>
      </c>
      <c r="O175">
        <f ca="1">IF(OR(IncidentTable[[#This Row],[Status]]="Resolved",IncidentTable[[#This Row],[Status]]="Closed"),
ROUND(IncidentTable[[#This Row],[Estimated Impact ($)]]*(1+RANDBETWEEN(-15,25)/100)+RAND(),2),
"")</f>
        <v>7148.88</v>
      </c>
      <c r="P175">
        <f ca="1">IF(IncidentTable[[#This Row],[Actual Impact ($)]]="","",ROUND(IncidentTable[[#This Row],[Actual Impact ($)]]-IncidentTable[[#This Row],[Estimated Impact ($)]],2))</f>
        <v>766.18</v>
      </c>
      <c r="Q175" s="2">
        <f ca="1">IF(IncidentTable[[#This Row],[Actual Impact ($)]]="","",(IncidentTable[[#This Row],[Actual Impact ($)]]-IncidentTable[[#This Row],[Estimated Impact ($)]]) / IncidentTable[[#This Row],[Estimated Impact ($)]])</f>
        <v>0.12004010841806764</v>
      </c>
      <c r="R175" s="3">
        <f ca="1">IF(IncidentTable[[#This Row],[Priority]]="Critical",1,
IF(IncidentTable[[#This Row],[Priority]]="High",3,
IF(IncidentTable[[#This Row],[Priority]]="Medium",5,
IF(IncidentTable[[#This Row],[Priority]]="Low",10,""))))</f>
        <v>5</v>
      </c>
      <c r="S175" t="str">
        <f ca="1">IF(IncidentTable[[#This Row],[Resolution Time (Days)]]="","",
IF(IncidentTable[[#This Row],[Resolution Time (Days)]]&lt;=IncidentTable[[#This Row],[SLA Target (Days)]],"Yes","No"))</f>
        <v>Yes</v>
      </c>
    </row>
    <row r="176" spans="1:19" x14ac:dyDescent="0.25">
      <c r="A176" t="str">
        <f t="shared" ca="1" si="9"/>
        <v>INC354695</v>
      </c>
      <c r="B176" t="str" cm="1">
        <f t="array" aca="1" ref="B176" ca="1">INDEX(SystemList,RANDBETWEEN(1,ROWS(SystemList)))</f>
        <v>Policy Admin System</v>
      </c>
      <c r="C176" t="str" cm="1">
        <f t="array" aca="1" ref="C176" ca="1">INDEX(IssueTypeList,RANDBETWEEN(1,ROWS(IssueTypeList)))</f>
        <v>User Access Issue</v>
      </c>
      <c r="D176" t="str" cm="1">
        <f t="array" aca="1" ref="D176" ca="1">INDEX(PriorityList,RANDBETWEEN(1,ROWS(PriorityList)))</f>
        <v>High</v>
      </c>
      <c r="E176" t="str" cm="1">
        <f t="array" aca="1" ref="E176" ca="1">INDEX(SeverityList,RANDBETWEEN(1,ROWS(SeverityList)))</f>
        <v>Moderate</v>
      </c>
      <c r="F176" t="str" cm="1">
        <f t="array" aca="1" ref="F176" ca="1">INDEX(RegionList,RANDBETWEEN(1,ROWS(RegionList)))</f>
        <v>Central</v>
      </c>
      <c r="G176" t="str" cm="1">
        <f t="array" aca="1" ref="G176" ca="1">INDEX(DepartmentList,RANDBETWEEN(1,ROWS(DepartmentList)))</f>
        <v>Billing</v>
      </c>
      <c r="H176" s="1">
        <f t="shared" ca="1" si="10"/>
        <v>45216</v>
      </c>
      <c r="I176" s="4" t="str">
        <f ca="1">IF(IncidentTable[[#This Row],[Resolution Time (Days)]]="","",IncidentTable[[#This Row],[Created Date]]+IncidentTable[[#This Row],[Resolution Time (Days)]])</f>
        <v/>
      </c>
      <c r="J176" t="str">
        <f ca="1">IF(OR(IncidentTable[[#This Row],[Status]]="Resolved",IncidentTable[[#This Row],[Status]]="Closed"),RANDBETWEEN(1,120),"")</f>
        <v/>
      </c>
      <c r="K176" t="str">
        <f t="shared" ca="1" si="8"/>
        <v>Pending</v>
      </c>
      <c r="L176" t="str" cm="1">
        <f t="array" aca="1" ref="L176" ca="1">INDEX(AnalystList,RANDBETWEEN(1,ROWS(AnalystList)))</f>
        <v>Jordan Lee</v>
      </c>
      <c r="M176" t="str" cm="1">
        <f t="array" aca="1" ref="M176" ca="1">INDEX(RootCauseList,RANDBETWEEN(1,ROWS(RootCauseList)))</f>
        <v>System Bug</v>
      </c>
      <c r="N176">
        <f t="shared" ca="1" si="11"/>
        <v>7668.26</v>
      </c>
      <c r="O176" t="str">
        <f ca="1">IF(OR(IncidentTable[[#This Row],[Status]]="Resolved",IncidentTable[[#This Row],[Status]]="Closed"),
ROUND(IncidentTable[[#This Row],[Estimated Impact ($)]]*(1+RANDBETWEEN(-15,25)/100)+RAND(),2),
"")</f>
        <v/>
      </c>
      <c r="P176" t="str">
        <f ca="1">IF(IncidentTable[[#This Row],[Actual Impact ($)]]="","",ROUND(IncidentTable[[#This Row],[Actual Impact ($)]]-IncidentTable[[#This Row],[Estimated Impact ($)]],2))</f>
        <v/>
      </c>
      <c r="Q176" s="2" t="str">
        <f ca="1">IF(IncidentTable[[#This Row],[Actual Impact ($)]]="","",(IncidentTable[[#This Row],[Actual Impact ($)]]-IncidentTable[[#This Row],[Estimated Impact ($)]]) / IncidentTable[[#This Row],[Estimated Impact ($)]])</f>
        <v/>
      </c>
      <c r="R176" s="3">
        <f ca="1">IF(IncidentTable[[#This Row],[Priority]]="Critical",1,
IF(IncidentTable[[#This Row],[Priority]]="High",3,
IF(IncidentTable[[#This Row],[Priority]]="Medium",5,
IF(IncidentTable[[#This Row],[Priority]]="Low",10,""))))</f>
        <v>3</v>
      </c>
      <c r="S176" t="str">
        <f ca="1">IF(IncidentTable[[#This Row],[Resolution Time (Days)]]="","",
IF(IncidentTable[[#This Row],[Resolution Time (Days)]]&lt;=IncidentTable[[#This Row],[SLA Target (Days)]],"Yes","No"))</f>
        <v/>
      </c>
    </row>
    <row r="177" spans="1:19" x14ac:dyDescent="0.25">
      <c r="A177" t="str">
        <f t="shared" ca="1" si="9"/>
        <v>INC140370</v>
      </c>
      <c r="B177" t="str" cm="1">
        <f t="array" aca="1" ref="B177" ca="1">INDEX(SystemList,RANDBETWEEN(1,ROWS(SystemList)))</f>
        <v>Customer Portal</v>
      </c>
      <c r="C177" t="str" cm="1">
        <f t="array" aca="1" ref="C177" ca="1">INDEX(IssueTypeList,RANDBETWEEN(1,ROWS(IssueTypeList)))</f>
        <v>Data Issue</v>
      </c>
      <c r="D177" t="str" cm="1">
        <f t="array" aca="1" ref="D177" ca="1">INDEX(PriorityList,RANDBETWEEN(1,ROWS(PriorityList)))</f>
        <v>Medium</v>
      </c>
      <c r="E177" t="str" cm="1">
        <f t="array" aca="1" ref="E177" ca="1">INDEX(SeverityList,RANDBETWEEN(1,ROWS(SeverityList)))</f>
        <v>Minor</v>
      </c>
      <c r="F177" t="str" cm="1">
        <f t="array" aca="1" ref="F177" ca="1">INDEX(RegionList,RANDBETWEEN(1,ROWS(RegionList)))</f>
        <v>West</v>
      </c>
      <c r="G177" t="str" cm="1">
        <f t="array" aca="1" ref="G177" ca="1">INDEX(DepartmentList,RANDBETWEEN(1,ROWS(DepartmentList)))</f>
        <v>IT</v>
      </c>
      <c r="H177" s="1">
        <f t="shared" ca="1" si="10"/>
        <v>45013</v>
      </c>
      <c r="I177" s="4" t="str">
        <f ca="1">IF(IncidentTable[[#This Row],[Resolution Time (Days)]]="","",IncidentTable[[#This Row],[Created Date]]+IncidentTable[[#This Row],[Resolution Time (Days)]])</f>
        <v/>
      </c>
      <c r="J177" t="str">
        <f ca="1">IF(OR(IncidentTable[[#This Row],[Status]]="Resolved",IncidentTable[[#This Row],[Status]]="Closed"),RANDBETWEEN(1,120),"")</f>
        <v/>
      </c>
      <c r="K177" t="str">
        <f t="shared" ca="1" si="8"/>
        <v>Open</v>
      </c>
      <c r="L177" t="str" cm="1">
        <f t="array" aca="1" ref="L177" ca="1">INDEX(AnalystList,RANDBETWEEN(1,ROWS(AnalystList)))</f>
        <v>Alex Johnson</v>
      </c>
      <c r="M177" t="str" cm="1">
        <f t="array" aca="1" ref="M177" ca="1">INDEX(RootCauseList,RANDBETWEEN(1,ROWS(RootCauseList)))</f>
        <v>System Bug</v>
      </c>
      <c r="N177">
        <f t="shared" ca="1" si="11"/>
        <v>216.9</v>
      </c>
      <c r="O177" t="str">
        <f ca="1">IF(OR(IncidentTable[[#This Row],[Status]]="Resolved",IncidentTable[[#This Row],[Status]]="Closed"),
ROUND(IncidentTable[[#This Row],[Estimated Impact ($)]]*(1+RANDBETWEEN(-15,25)/100)+RAND(),2),
"")</f>
        <v/>
      </c>
      <c r="P177" t="str">
        <f ca="1">IF(IncidentTable[[#This Row],[Actual Impact ($)]]="","",ROUND(IncidentTable[[#This Row],[Actual Impact ($)]]-IncidentTable[[#This Row],[Estimated Impact ($)]],2))</f>
        <v/>
      </c>
      <c r="Q177" s="2" t="str">
        <f ca="1">IF(IncidentTable[[#This Row],[Actual Impact ($)]]="","",(IncidentTable[[#This Row],[Actual Impact ($)]]-IncidentTable[[#This Row],[Estimated Impact ($)]]) / IncidentTable[[#This Row],[Estimated Impact ($)]])</f>
        <v/>
      </c>
      <c r="R177" s="3">
        <f ca="1">IF(IncidentTable[[#This Row],[Priority]]="Critical",1,
IF(IncidentTable[[#This Row],[Priority]]="High",3,
IF(IncidentTable[[#This Row],[Priority]]="Medium",5,
IF(IncidentTable[[#This Row],[Priority]]="Low",10,""))))</f>
        <v>5</v>
      </c>
      <c r="S177" t="str">
        <f ca="1">IF(IncidentTable[[#This Row],[Resolution Time (Days)]]="","",
IF(IncidentTable[[#This Row],[Resolution Time (Days)]]&lt;=IncidentTable[[#This Row],[SLA Target (Days)]],"Yes","No"))</f>
        <v/>
      </c>
    </row>
    <row r="178" spans="1:19" x14ac:dyDescent="0.25">
      <c r="A178" t="str">
        <f t="shared" ca="1" si="9"/>
        <v>INC665963</v>
      </c>
      <c r="B178" t="str" cm="1">
        <f t="array" aca="1" ref="B178" ca="1">INDEX(SystemList,RANDBETWEEN(1,ROWS(SystemList)))</f>
        <v>Policy Admin System</v>
      </c>
      <c r="C178" t="str" cm="1">
        <f t="array" aca="1" ref="C178" ca="1">INDEX(IssueTypeList,RANDBETWEEN(1,ROWS(IssueTypeList)))</f>
        <v>Performance Issue</v>
      </c>
      <c r="D178" t="str" cm="1">
        <f t="array" aca="1" ref="D178" ca="1">INDEX(PriorityList,RANDBETWEEN(1,ROWS(PriorityList)))</f>
        <v>Critical</v>
      </c>
      <c r="E178" t="str" cm="1">
        <f t="array" aca="1" ref="E178" ca="1">INDEX(SeverityList,RANDBETWEEN(1,ROWS(SeverityList)))</f>
        <v>Major</v>
      </c>
      <c r="F178" t="str" cm="1">
        <f t="array" aca="1" ref="F178" ca="1">INDEX(RegionList,RANDBETWEEN(1,ROWS(RegionList)))</f>
        <v>Midwest</v>
      </c>
      <c r="G178" t="str" cm="1">
        <f t="array" aca="1" ref="G178" ca="1">INDEX(DepartmentList,RANDBETWEEN(1,ROWS(DepartmentList)))</f>
        <v>Claims</v>
      </c>
      <c r="H178" s="1">
        <f t="shared" ca="1" si="10"/>
        <v>45122</v>
      </c>
      <c r="I178" s="4">
        <f ca="1">IF(IncidentTable[[#This Row],[Resolution Time (Days)]]="","",IncidentTable[[#This Row],[Created Date]]+IncidentTable[[#This Row],[Resolution Time (Days)]])</f>
        <v>45189</v>
      </c>
      <c r="J178">
        <f ca="1">IF(OR(IncidentTable[[#This Row],[Status]]="Resolved",IncidentTable[[#This Row],[Status]]="Closed"),RANDBETWEEN(1,120),"")</f>
        <v>67</v>
      </c>
      <c r="K178" t="str">
        <f t="shared" ca="1" si="8"/>
        <v>Resolved</v>
      </c>
      <c r="L178" t="str" cm="1">
        <f t="array" aca="1" ref="L178" ca="1">INDEX(AnalystList,RANDBETWEEN(1,ROWS(AnalystList)))</f>
        <v>Riley Wilson</v>
      </c>
      <c r="M178" t="str" cm="1">
        <f t="array" aca="1" ref="M178" ca="1">INDEX(RootCauseList,RANDBETWEEN(1,ROWS(RootCauseList)))</f>
        <v>Data Error</v>
      </c>
      <c r="N178">
        <f t="shared" ca="1" si="11"/>
        <v>1118.6400000000001</v>
      </c>
      <c r="O178">
        <f ca="1">IF(OR(IncidentTable[[#This Row],[Status]]="Resolved",IncidentTable[[#This Row],[Status]]="Closed"),
ROUND(IncidentTable[[#This Row],[Estimated Impact ($)]]*(1+RANDBETWEEN(-15,25)/100)+RAND(),2),
"")</f>
        <v>1186.5</v>
      </c>
      <c r="P178">
        <f ca="1">IF(IncidentTable[[#This Row],[Actual Impact ($)]]="","",ROUND(IncidentTable[[#This Row],[Actual Impact ($)]]-IncidentTable[[#This Row],[Estimated Impact ($)]],2))</f>
        <v>67.86</v>
      </c>
      <c r="Q178" s="2">
        <f ca="1">IF(IncidentTable[[#This Row],[Actual Impact ($)]]="","",(IncidentTable[[#This Row],[Actual Impact ($)]]-IncidentTable[[#This Row],[Estimated Impact ($)]]) / IncidentTable[[#This Row],[Estimated Impact ($)]])</f>
        <v>6.0662947865264868E-2</v>
      </c>
      <c r="R178" s="3">
        <f ca="1">IF(IncidentTable[[#This Row],[Priority]]="Critical",1,
IF(IncidentTable[[#This Row],[Priority]]="High",3,
IF(IncidentTable[[#This Row],[Priority]]="Medium",5,
IF(IncidentTable[[#This Row],[Priority]]="Low",10,""))))</f>
        <v>1</v>
      </c>
      <c r="S178" t="str">
        <f ca="1">IF(IncidentTable[[#This Row],[Resolution Time (Days)]]="","",
IF(IncidentTable[[#This Row],[Resolution Time (Days)]]&lt;=IncidentTable[[#This Row],[SLA Target (Days)]],"Yes","No"))</f>
        <v>No</v>
      </c>
    </row>
    <row r="179" spans="1:19" x14ac:dyDescent="0.25">
      <c r="A179" t="str">
        <f t="shared" ca="1" si="9"/>
        <v>INC687449</v>
      </c>
      <c r="B179" t="str" cm="1">
        <f t="array" aca="1" ref="B179" ca="1">INDEX(SystemList,RANDBETWEEN(1,ROWS(SystemList)))</f>
        <v>Billing System</v>
      </c>
      <c r="C179" t="str" cm="1">
        <f t="array" aca="1" ref="C179" ca="1">INDEX(IssueTypeList,RANDBETWEEN(1,ROWS(IssueTypeList)))</f>
        <v>Payment Failure</v>
      </c>
      <c r="D179" t="str" cm="1">
        <f t="array" aca="1" ref="D179" ca="1">INDEX(PriorityList,RANDBETWEEN(1,ROWS(PriorityList)))</f>
        <v>High</v>
      </c>
      <c r="E179" t="str" cm="1">
        <f t="array" aca="1" ref="E179" ca="1">INDEX(SeverityList,RANDBETWEEN(1,ROWS(SeverityList)))</f>
        <v>Critical</v>
      </c>
      <c r="F179" t="str" cm="1">
        <f t="array" aca="1" ref="F179" ca="1">INDEX(RegionList,RANDBETWEEN(1,ROWS(RegionList)))</f>
        <v>East</v>
      </c>
      <c r="G179" t="str" cm="1">
        <f t="array" aca="1" ref="G179" ca="1">INDEX(DepartmentList,RANDBETWEEN(1,ROWS(DepartmentList)))</f>
        <v>Billing</v>
      </c>
      <c r="H179" s="1">
        <f t="shared" ca="1" si="10"/>
        <v>45083</v>
      </c>
      <c r="I179" s="4" t="str">
        <f ca="1">IF(IncidentTable[[#This Row],[Resolution Time (Days)]]="","",IncidentTable[[#This Row],[Created Date]]+IncidentTable[[#This Row],[Resolution Time (Days)]])</f>
        <v/>
      </c>
      <c r="J179" t="str">
        <f ca="1">IF(OR(IncidentTable[[#This Row],[Status]]="Resolved",IncidentTable[[#This Row],[Status]]="Closed"),RANDBETWEEN(1,120),"")</f>
        <v/>
      </c>
      <c r="K179" t="str">
        <f t="shared" ca="1" si="8"/>
        <v>Open</v>
      </c>
      <c r="L179" t="str" cm="1">
        <f t="array" aca="1" ref="L179" ca="1">INDEX(AnalystList,RANDBETWEEN(1,ROWS(AnalystList)))</f>
        <v>Casey Brown</v>
      </c>
      <c r="M179" t="str" cm="1">
        <f t="array" aca="1" ref="M179" ca="1">INDEX(RootCauseList,RANDBETWEEN(1,ROWS(RootCauseList)))</f>
        <v>Configuration Issue</v>
      </c>
      <c r="N179">
        <f t="shared" ca="1" si="11"/>
        <v>27720.93</v>
      </c>
      <c r="O179" t="str">
        <f ca="1">IF(OR(IncidentTable[[#This Row],[Status]]="Resolved",IncidentTable[[#This Row],[Status]]="Closed"),
ROUND(IncidentTable[[#This Row],[Estimated Impact ($)]]*(1+RANDBETWEEN(-15,25)/100)+RAND(),2),
"")</f>
        <v/>
      </c>
      <c r="P179" t="str">
        <f ca="1">IF(IncidentTable[[#This Row],[Actual Impact ($)]]="","",ROUND(IncidentTable[[#This Row],[Actual Impact ($)]]-IncidentTable[[#This Row],[Estimated Impact ($)]],2))</f>
        <v/>
      </c>
      <c r="Q179" s="2" t="str">
        <f ca="1">IF(IncidentTable[[#This Row],[Actual Impact ($)]]="","",(IncidentTable[[#This Row],[Actual Impact ($)]]-IncidentTable[[#This Row],[Estimated Impact ($)]]) / IncidentTable[[#This Row],[Estimated Impact ($)]])</f>
        <v/>
      </c>
      <c r="R179" s="3">
        <f ca="1">IF(IncidentTable[[#This Row],[Priority]]="Critical",1,
IF(IncidentTable[[#This Row],[Priority]]="High",3,
IF(IncidentTable[[#This Row],[Priority]]="Medium",5,
IF(IncidentTable[[#This Row],[Priority]]="Low",10,""))))</f>
        <v>3</v>
      </c>
      <c r="S179" t="str">
        <f ca="1">IF(IncidentTable[[#This Row],[Resolution Time (Days)]]="","",
IF(IncidentTable[[#This Row],[Resolution Time (Days)]]&lt;=IncidentTable[[#This Row],[SLA Target (Days)]],"Yes","No"))</f>
        <v/>
      </c>
    </row>
    <row r="180" spans="1:19" x14ac:dyDescent="0.25">
      <c r="A180" t="str">
        <f t="shared" ca="1" si="9"/>
        <v>INC908092</v>
      </c>
      <c r="B180" t="str" cm="1">
        <f t="array" aca="1" ref="B180" ca="1">INDEX(SystemList,RANDBETWEEN(1,ROWS(SystemList)))</f>
        <v>Billing System</v>
      </c>
      <c r="C180" t="str" cm="1">
        <f t="array" aca="1" ref="C180" ca="1">INDEX(IssueTypeList,RANDBETWEEN(1,ROWS(IssueTypeList)))</f>
        <v>Processing Delay</v>
      </c>
      <c r="D180" t="str" cm="1">
        <f t="array" aca="1" ref="D180" ca="1">INDEX(PriorityList,RANDBETWEEN(1,ROWS(PriorityList)))</f>
        <v>Critical</v>
      </c>
      <c r="E180" t="str" cm="1">
        <f t="array" aca="1" ref="E180" ca="1">INDEX(SeverityList,RANDBETWEEN(1,ROWS(SeverityList)))</f>
        <v>Critical</v>
      </c>
      <c r="F180" t="str" cm="1">
        <f t="array" aca="1" ref="F180" ca="1">INDEX(RegionList,RANDBETWEEN(1,ROWS(RegionList)))</f>
        <v>Central</v>
      </c>
      <c r="G180" t="str" cm="1">
        <f t="array" aca="1" ref="G180" ca="1">INDEX(DepartmentList,RANDBETWEEN(1,ROWS(DepartmentList)))</f>
        <v>Customer Service</v>
      </c>
      <c r="H180" s="1">
        <f t="shared" ca="1" si="10"/>
        <v>45176</v>
      </c>
      <c r="I180" s="4" t="str">
        <f ca="1">IF(IncidentTable[[#This Row],[Resolution Time (Days)]]="","",IncidentTable[[#This Row],[Created Date]]+IncidentTable[[#This Row],[Resolution Time (Days)]])</f>
        <v/>
      </c>
      <c r="J180" t="str">
        <f ca="1">IF(OR(IncidentTable[[#This Row],[Status]]="Resolved",IncidentTable[[#This Row],[Status]]="Closed"),RANDBETWEEN(1,120),"")</f>
        <v/>
      </c>
      <c r="K180" t="str">
        <f t="shared" ca="1" si="8"/>
        <v>Pending</v>
      </c>
      <c r="L180" t="str" cm="1">
        <f t="array" aca="1" ref="L180" ca="1">INDEX(AnalystList,RANDBETWEEN(1,ROWS(AnalystList)))</f>
        <v>Jordan Lee</v>
      </c>
      <c r="M180" t="str" cm="1">
        <f t="array" aca="1" ref="M180" ca="1">INDEX(RootCauseList,RANDBETWEEN(1,ROWS(RootCauseList)))</f>
        <v>System Bug</v>
      </c>
      <c r="N180">
        <f t="shared" ca="1" si="11"/>
        <v>20165.939999999999</v>
      </c>
      <c r="O180" t="str">
        <f ca="1">IF(OR(IncidentTable[[#This Row],[Status]]="Resolved",IncidentTable[[#This Row],[Status]]="Closed"),
ROUND(IncidentTable[[#This Row],[Estimated Impact ($)]]*(1+RANDBETWEEN(-15,25)/100)+RAND(),2),
"")</f>
        <v/>
      </c>
      <c r="P180" t="str">
        <f ca="1">IF(IncidentTable[[#This Row],[Actual Impact ($)]]="","",ROUND(IncidentTable[[#This Row],[Actual Impact ($)]]-IncidentTable[[#This Row],[Estimated Impact ($)]],2))</f>
        <v/>
      </c>
      <c r="Q180" s="2" t="str">
        <f ca="1">IF(IncidentTable[[#This Row],[Actual Impact ($)]]="","",(IncidentTable[[#This Row],[Actual Impact ($)]]-IncidentTable[[#This Row],[Estimated Impact ($)]]) / IncidentTable[[#This Row],[Estimated Impact ($)]])</f>
        <v/>
      </c>
      <c r="R180" s="3">
        <f ca="1">IF(IncidentTable[[#This Row],[Priority]]="Critical",1,
IF(IncidentTable[[#This Row],[Priority]]="High",3,
IF(IncidentTable[[#This Row],[Priority]]="Medium",5,
IF(IncidentTable[[#This Row],[Priority]]="Low",10,""))))</f>
        <v>1</v>
      </c>
      <c r="S180" t="str">
        <f ca="1">IF(IncidentTable[[#This Row],[Resolution Time (Days)]]="","",
IF(IncidentTable[[#This Row],[Resolution Time (Days)]]&lt;=IncidentTable[[#This Row],[SLA Target (Days)]],"Yes","No"))</f>
        <v/>
      </c>
    </row>
    <row r="181" spans="1:19" x14ac:dyDescent="0.25">
      <c r="A181" t="str">
        <f t="shared" ca="1" si="9"/>
        <v>INC422775</v>
      </c>
      <c r="B181" t="str" cm="1">
        <f t="array" aca="1" ref="B181" ca="1">INDEX(SystemList,RANDBETWEEN(1,ROWS(SystemList)))</f>
        <v>Reporting System</v>
      </c>
      <c r="C181" t="str" cm="1">
        <f t="array" aca="1" ref="C181" ca="1">INDEX(IssueTypeList,RANDBETWEEN(1,ROWS(IssueTypeList)))</f>
        <v>Data Issue</v>
      </c>
      <c r="D181" t="str" cm="1">
        <f t="array" aca="1" ref="D181" ca="1">INDEX(PriorityList,RANDBETWEEN(1,ROWS(PriorityList)))</f>
        <v>Low</v>
      </c>
      <c r="E181" t="str" cm="1">
        <f t="array" aca="1" ref="E181" ca="1">INDEX(SeverityList,RANDBETWEEN(1,ROWS(SeverityList)))</f>
        <v>Minor</v>
      </c>
      <c r="F181" t="str" cm="1">
        <f t="array" aca="1" ref="F181" ca="1">INDEX(RegionList,RANDBETWEEN(1,ROWS(RegionList)))</f>
        <v>Midwest</v>
      </c>
      <c r="G181" t="str" cm="1">
        <f t="array" aca="1" ref="G181" ca="1">INDEX(DepartmentList,RANDBETWEEN(1,ROWS(DepartmentList)))</f>
        <v>Customer Service</v>
      </c>
      <c r="H181" s="1">
        <f t="shared" ca="1" si="10"/>
        <v>45404</v>
      </c>
      <c r="I181" s="4" t="str">
        <f ca="1">IF(IncidentTable[[#This Row],[Resolution Time (Days)]]="","",IncidentTable[[#This Row],[Created Date]]+IncidentTable[[#This Row],[Resolution Time (Days)]])</f>
        <v/>
      </c>
      <c r="J181" t="str">
        <f ca="1">IF(OR(IncidentTable[[#This Row],[Status]]="Resolved",IncidentTable[[#This Row],[Status]]="Closed"),RANDBETWEEN(1,120),"")</f>
        <v/>
      </c>
      <c r="K181" t="str">
        <f t="shared" ca="1" si="8"/>
        <v>In Progress</v>
      </c>
      <c r="L181" t="str" cm="1">
        <f t="array" aca="1" ref="L181" ca="1">INDEX(AnalystList,RANDBETWEEN(1,ROWS(AnalystList)))</f>
        <v>Riley Wilson</v>
      </c>
      <c r="M181" t="str" cm="1">
        <f t="array" aca="1" ref="M181" ca="1">INDEX(RootCauseList,RANDBETWEEN(1,ROWS(RootCauseList)))</f>
        <v>Data Error</v>
      </c>
      <c r="N181">
        <f t="shared" ca="1" si="11"/>
        <v>20202.64</v>
      </c>
      <c r="O181" t="str">
        <f ca="1">IF(OR(IncidentTable[[#This Row],[Status]]="Resolved",IncidentTable[[#This Row],[Status]]="Closed"),
ROUND(IncidentTable[[#This Row],[Estimated Impact ($)]]*(1+RANDBETWEEN(-15,25)/100)+RAND(),2),
"")</f>
        <v/>
      </c>
      <c r="P181" t="str">
        <f ca="1">IF(IncidentTable[[#This Row],[Actual Impact ($)]]="","",ROUND(IncidentTable[[#This Row],[Actual Impact ($)]]-IncidentTable[[#This Row],[Estimated Impact ($)]],2))</f>
        <v/>
      </c>
      <c r="Q181" s="2" t="str">
        <f ca="1">IF(IncidentTable[[#This Row],[Actual Impact ($)]]="","",(IncidentTable[[#This Row],[Actual Impact ($)]]-IncidentTable[[#This Row],[Estimated Impact ($)]]) / IncidentTable[[#This Row],[Estimated Impact ($)]])</f>
        <v/>
      </c>
      <c r="R181" s="3">
        <f ca="1">IF(IncidentTable[[#This Row],[Priority]]="Critical",1,
IF(IncidentTable[[#This Row],[Priority]]="High",3,
IF(IncidentTable[[#This Row],[Priority]]="Medium",5,
IF(IncidentTable[[#This Row],[Priority]]="Low",10,""))))</f>
        <v>10</v>
      </c>
      <c r="S181" t="str">
        <f ca="1">IF(IncidentTable[[#This Row],[Resolution Time (Days)]]="","",
IF(IncidentTable[[#This Row],[Resolution Time (Days)]]&lt;=IncidentTable[[#This Row],[SLA Target (Days)]],"Yes","No"))</f>
        <v/>
      </c>
    </row>
    <row r="182" spans="1:19" x14ac:dyDescent="0.25">
      <c r="A182" t="str">
        <f t="shared" ca="1" si="9"/>
        <v>INC471716</v>
      </c>
      <c r="B182" t="str" cm="1">
        <f t="array" aca="1" ref="B182" ca="1">INDEX(SystemList,RANDBETWEEN(1,ROWS(SystemList)))</f>
        <v>Billing System</v>
      </c>
      <c r="C182" t="str" cm="1">
        <f t="array" aca="1" ref="C182" ca="1">INDEX(IssueTypeList,RANDBETWEEN(1,ROWS(IssueTypeList)))</f>
        <v>Performance Issue</v>
      </c>
      <c r="D182" t="str" cm="1">
        <f t="array" aca="1" ref="D182" ca="1">INDEX(PriorityList,RANDBETWEEN(1,ROWS(PriorityList)))</f>
        <v>High</v>
      </c>
      <c r="E182" t="str" cm="1">
        <f t="array" aca="1" ref="E182" ca="1">INDEX(SeverityList,RANDBETWEEN(1,ROWS(SeverityList)))</f>
        <v>Major</v>
      </c>
      <c r="F182" t="str" cm="1">
        <f t="array" aca="1" ref="F182" ca="1">INDEX(RegionList,RANDBETWEEN(1,ROWS(RegionList)))</f>
        <v>West</v>
      </c>
      <c r="G182" t="str" cm="1">
        <f t="array" aca="1" ref="G182" ca="1">INDEX(DepartmentList,RANDBETWEEN(1,ROWS(DepartmentList)))</f>
        <v>Compliance</v>
      </c>
      <c r="H182" s="1">
        <f t="shared" ca="1" si="10"/>
        <v>45390</v>
      </c>
      <c r="I182" s="4" t="str">
        <f ca="1">IF(IncidentTable[[#This Row],[Resolution Time (Days)]]="","",IncidentTable[[#This Row],[Created Date]]+IncidentTable[[#This Row],[Resolution Time (Days)]])</f>
        <v/>
      </c>
      <c r="J182" t="str">
        <f ca="1">IF(OR(IncidentTable[[#This Row],[Status]]="Resolved",IncidentTable[[#This Row],[Status]]="Closed"),RANDBETWEEN(1,120),"")</f>
        <v/>
      </c>
      <c r="K182" t="str">
        <f t="shared" ca="1" si="8"/>
        <v>Open</v>
      </c>
      <c r="L182" t="str" cm="1">
        <f t="array" aca="1" ref="L182" ca="1">INDEX(AnalystList,RANDBETWEEN(1,ROWS(AnalystList)))</f>
        <v>Morgan Davis</v>
      </c>
      <c r="M182" t="str" cm="1">
        <f t="array" aca="1" ref="M182" ca="1">INDEX(RootCauseList,RANDBETWEEN(1,ROWS(RootCauseList)))</f>
        <v>User Error</v>
      </c>
      <c r="N182">
        <f t="shared" ca="1" si="11"/>
        <v>86.6</v>
      </c>
      <c r="O182" t="str">
        <f ca="1">IF(OR(IncidentTable[[#This Row],[Status]]="Resolved",IncidentTable[[#This Row],[Status]]="Closed"),
ROUND(IncidentTable[[#This Row],[Estimated Impact ($)]]*(1+RANDBETWEEN(-15,25)/100)+RAND(),2),
"")</f>
        <v/>
      </c>
      <c r="P182" t="str">
        <f ca="1">IF(IncidentTable[[#This Row],[Actual Impact ($)]]="","",ROUND(IncidentTable[[#This Row],[Actual Impact ($)]]-IncidentTable[[#This Row],[Estimated Impact ($)]],2))</f>
        <v/>
      </c>
      <c r="Q182" s="2" t="str">
        <f ca="1">IF(IncidentTable[[#This Row],[Actual Impact ($)]]="","",(IncidentTable[[#This Row],[Actual Impact ($)]]-IncidentTable[[#This Row],[Estimated Impact ($)]]) / IncidentTable[[#This Row],[Estimated Impact ($)]])</f>
        <v/>
      </c>
      <c r="R182" s="3">
        <f ca="1">IF(IncidentTable[[#This Row],[Priority]]="Critical",1,
IF(IncidentTable[[#This Row],[Priority]]="High",3,
IF(IncidentTable[[#This Row],[Priority]]="Medium",5,
IF(IncidentTable[[#This Row],[Priority]]="Low",10,""))))</f>
        <v>3</v>
      </c>
      <c r="S182" t="str">
        <f ca="1">IF(IncidentTable[[#This Row],[Resolution Time (Days)]]="","",
IF(IncidentTable[[#This Row],[Resolution Time (Days)]]&lt;=IncidentTable[[#This Row],[SLA Target (Days)]],"Yes","No"))</f>
        <v/>
      </c>
    </row>
    <row r="183" spans="1:19" x14ac:dyDescent="0.25">
      <c r="A183" t="str">
        <f t="shared" ca="1" si="9"/>
        <v>INC651353</v>
      </c>
      <c r="B183" t="str" cm="1">
        <f t="array" aca="1" ref="B183" ca="1">INDEX(SystemList,RANDBETWEEN(1,ROWS(SystemList)))</f>
        <v>Reporting System</v>
      </c>
      <c r="C183" t="str" cm="1">
        <f t="array" aca="1" ref="C183" ca="1">INDEX(IssueTypeList,RANDBETWEEN(1,ROWS(IssueTypeList)))</f>
        <v>Data Issue</v>
      </c>
      <c r="D183" t="str" cm="1">
        <f t="array" aca="1" ref="D183" ca="1">INDEX(PriorityList,RANDBETWEEN(1,ROWS(PriorityList)))</f>
        <v>Low</v>
      </c>
      <c r="E183" t="str" cm="1">
        <f t="array" aca="1" ref="E183" ca="1">INDEX(SeverityList,RANDBETWEEN(1,ROWS(SeverityList)))</f>
        <v>Critical</v>
      </c>
      <c r="F183" t="str" cm="1">
        <f t="array" aca="1" ref="F183" ca="1">INDEX(RegionList,RANDBETWEEN(1,ROWS(RegionList)))</f>
        <v>East</v>
      </c>
      <c r="G183" t="str" cm="1">
        <f t="array" aca="1" ref="G183" ca="1">INDEX(DepartmentList,RANDBETWEEN(1,ROWS(DepartmentList)))</f>
        <v>Finance</v>
      </c>
      <c r="H183" s="1">
        <f t="shared" ca="1" si="10"/>
        <v>45148</v>
      </c>
      <c r="I183" s="4" t="str">
        <f ca="1">IF(IncidentTable[[#This Row],[Resolution Time (Days)]]="","",IncidentTable[[#This Row],[Created Date]]+IncidentTable[[#This Row],[Resolution Time (Days)]])</f>
        <v/>
      </c>
      <c r="J183" t="str">
        <f ca="1">IF(OR(IncidentTable[[#This Row],[Status]]="Resolved",IncidentTable[[#This Row],[Status]]="Closed"),RANDBETWEEN(1,120),"")</f>
        <v/>
      </c>
      <c r="K183" t="str">
        <f t="shared" ca="1" si="8"/>
        <v>Pending</v>
      </c>
      <c r="L183" t="str" cm="1">
        <f t="array" aca="1" ref="L183" ca="1">INDEX(AnalystList,RANDBETWEEN(1,ROWS(AnalystList)))</f>
        <v>Riley Wilson</v>
      </c>
      <c r="M183" t="str" cm="1">
        <f t="array" aca="1" ref="M183" ca="1">INDEX(RootCauseList,RANDBETWEEN(1,ROWS(RootCauseList)))</f>
        <v>Process Gap</v>
      </c>
      <c r="N183">
        <f t="shared" ca="1" si="11"/>
        <v>799.05</v>
      </c>
      <c r="O183" t="str">
        <f ca="1">IF(OR(IncidentTable[[#This Row],[Status]]="Resolved",IncidentTable[[#This Row],[Status]]="Closed"),
ROUND(IncidentTable[[#This Row],[Estimated Impact ($)]]*(1+RANDBETWEEN(-15,25)/100)+RAND(),2),
"")</f>
        <v/>
      </c>
      <c r="P183" t="str">
        <f ca="1">IF(IncidentTable[[#This Row],[Actual Impact ($)]]="","",ROUND(IncidentTable[[#This Row],[Actual Impact ($)]]-IncidentTable[[#This Row],[Estimated Impact ($)]],2))</f>
        <v/>
      </c>
      <c r="Q183" s="2" t="str">
        <f ca="1">IF(IncidentTable[[#This Row],[Actual Impact ($)]]="","",(IncidentTable[[#This Row],[Actual Impact ($)]]-IncidentTable[[#This Row],[Estimated Impact ($)]]) / IncidentTable[[#This Row],[Estimated Impact ($)]])</f>
        <v/>
      </c>
      <c r="R183" s="3">
        <f ca="1">IF(IncidentTable[[#This Row],[Priority]]="Critical",1,
IF(IncidentTable[[#This Row],[Priority]]="High",3,
IF(IncidentTable[[#This Row],[Priority]]="Medium",5,
IF(IncidentTable[[#This Row],[Priority]]="Low",10,""))))</f>
        <v>10</v>
      </c>
      <c r="S183" t="str">
        <f ca="1">IF(IncidentTable[[#This Row],[Resolution Time (Days)]]="","",
IF(IncidentTable[[#This Row],[Resolution Time (Days)]]&lt;=IncidentTable[[#This Row],[SLA Target (Days)]],"Yes","No"))</f>
        <v/>
      </c>
    </row>
    <row r="184" spans="1:19" x14ac:dyDescent="0.25">
      <c r="A184" t="str">
        <f t="shared" ca="1" si="9"/>
        <v>INC899529</v>
      </c>
      <c r="B184" t="str" cm="1">
        <f t="array" aca="1" ref="B184" ca="1">INDEX(SystemList,RANDBETWEEN(1,ROWS(SystemList)))</f>
        <v>Customer Portal</v>
      </c>
      <c r="C184" t="str" cm="1">
        <f t="array" aca="1" ref="C184" ca="1">INDEX(IssueTypeList,RANDBETWEEN(1,ROWS(IssueTypeList)))</f>
        <v>Complaint</v>
      </c>
      <c r="D184" t="str" cm="1">
        <f t="array" aca="1" ref="D184" ca="1">INDEX(PriorityList,RANDBETWEEN(1,ROWS(PriorityList)))</f>
        <v>High</v>
      </c>
      <c r="E184" t="str" cm="1">
        <f t="array" aca="1" ref="E184" ca="1">INDEX(SeverityList,RANDBETWEEN(1,ROWS(SeverityList)))</f>
        <v>Major</v>
      </c>
      <c r="F184" t="str" cm="1">
        <f t="array" aca="1" ref="F184" ca="1">INDEX(RegionList,RANDBETWEEN(1,ROWS(RegionList)))</f>
        <v>Central</v>
      </c>
      <c r="G184" t="str" cm="1">
        <f t="array" aca="1" ref="G184" ca="1">INDEX(DepartmentList,RANDBETWEEN(1,ROWS(DepartmentList)))</f>
        <v>Finance</v>
      </c>
      <c r="H184" s="1">
        <f t="shared" ca="1" si="10"/>
        <v>45106</v>
      </c>
      <c r="I184" s="4" t="str">
        <f ca="1">IF(IncidentTable[[#This Row],[Resolution Time (Days)]]="","",IncidentTable[[#This Row],[Created Date]]+IncidentTable[[#This Row],[Resolution Time (Days)]])</f>
        <v/>
      </c>
      <c r="J184" t="str">
        <f ca="1">IF(OR(IncidentTable[[#This Row],[Status]]="Resolved",IncidentTable[[#This Row],[Status]]="Closed"),RANDBETWEEN(1,120),"")</f>
        <v/>
      </c>
      <c r="K184" t="str">
        <f t="shared" ca="1" si="8"/>
        <v>Open</v>
      </c>
      <c r="L184" t="str" cm="1">
        <f t="array" aca="1" ref="L184" ca="1">INDEX(AnalystList,RANDBETWEEN(1,ROWS(AnalystList)))</f>
        <v>Jordan Lee</v>
      </c>
      <c r="M184" t="str" cm="1">
        <f t="array" aca="1" ref="M184" ca="1">INDEX(RootCauseList,RANDBETWEEN(1,ROWS(RootCauseList)))</f>
        <v>Data Error</v>
      </c>
      <c r="N184">
        <f t="shared" ca="1" si="11"/>
        <v>3286.38</v>
      </c>
      <c r="O184" t="str">
        <f ca="1">IF(OR(IncidentTable[[#This Row],[Status]]="Resolved",IncidentTable[[#This Row],[Status]]="Closed"),
ROUND(IncidentTable[[#This Row],[Estimated Impact ($)]]*(1+RANDBETWEEN(-15,25)/100)+RAND(),2),
"")</f>
        <v/>
      </c>
      <c r="P184" t="str">
        <f ca="1">IF(IncidentTable[[#This Row],[Actual Impact ($)]]="","",ROUND(IncidentTable[[#This Row],[Actual Impact ($)]]-IncidentTable[[#This Row],[Estimated Impact ($)]],2))</f>
        <v/>
      </c>
      <c r="Q184" s="2" t="str">
        <f ca="1">IF(IncidentTable[[#This Row],[Actual Impact ($)]]="","",(IncidentTable[[#This Row],[Actual Impact ($)]]-IncidentTable[[#This Row],[Estimated Impact ($)]]) / IncidentTable[[#This Row],[Estimated Impact ($)]])</f>
        <v/>
      </c>
      <c r="R184" s="3">
        <f ca="1">IF(IncidentTable[[#This Row],[Priority]]="Critical",1,
IF(IncidentTable[[#This Row],[Priority]]="High",3,
IF(IncidentTable[[#This Row],[Priority]]="Medium",5,
IF(IncidentTable[[#This Row],[Priority]]="Low",10,""))))</f>
        <v>3</v>
      </c>
      <c r="S184" t="str">
        <f ca="1">IF(IncidentTable[[#This Row],[Resolution Time (Days)]]="","",
IF(IncidentTable[[#This Row],[Resolution Time (Days)]]&lt;=IncidentTable[[#This Row],[SLA Target (Days)]],"Yes","No"))</f>
        <v/>
      </c>
    </row>
    <row r="185" spans="1:19" x14ac:dyDescent="0.25">
      <c r="A185" t="str">
        <f t="shared" ca="1" si="9"/>
        <v>INC651317</v>
      </c>
      <c r="B185" t="str" cm="1">
        <f t="array" aca="1" ref="B185" ca="1">INDEX(SystemList,RANDBETWEEN(1,ROWS(SystemList)))</f>
        <v>Billing System</v>
      </c>
      <c r="C185" t="str" cm="1">
        <f t="array" aca="1" ref="C185" ca="1">INDEX(IssueTypeList,RANDBETWEEN(1,ROWS(IssueTypeList)))</f>
        <v>User Access Issue</v>
      </c>
      <c r="D185" t="str" cm="1">
        <f t="array" aca="1" ref="D185" ca="1">INDEX(PriorityList,RANDBETWEEN(1,ROWS(PriorityList)))</f>
        <v>Medium</v>
      </c>
      <c r="E185" t="str" cm="1">
        <f t="array" aca="1" ref="E185" ca="1">INDEX(SeverityList,RANDBETWEEN(1,ROWS(SeverityList)))</f>
        <v>Minor</v>
      </c>
      <c r="F185" t="str" cm="1">
        <f t="array" aca="1" ref="F185" ca="1">INDEX(RegionList,RANDBETWEEN(1,ROWS(RegionList)))</f>
        <v>Southeast</v>
      </c>
      <c r="G185" t="str" cm="1">
        <f t="array" aca="1" ref="G185" ca="1">INDEX(DepartmentList,RANDBETWEEN(1,ROWS(DepartmentList)))</f>
        <v>Customer Service</v>
      </c>
      <c r="H185" s="1">
        <f t="shared" ca="1" si="10"/>
        <v>45100</v>
      </c>
      <c r="I185" s="4" t="str">
        <f ca="1">IF(IncidentTable[[#This Row],[Resolution Time (Days)]]="","",IncidentTable[[#This Row],[Created Date]]+IncidentTable[[#This Row],[Resolution Time (Days)]])</f>
        <v/>
      </c>
      <c r="J185" t="str">
        <f ca="1">IF(OR(IncidentTable[[#This Row],[Status]]="Resolved",IncidentTable[[#This Row],[Status]]="Closed"),RANDBETWEEN(1,120),"")</f>
        <v/>
      </c>
      <c r="K185" t="str">
        <f t="shared" ca="1" si="8"/>
        <v>Open</v>
      </c>
      <c r="L185" t="str" cm="1">
        <f t="array" aca="1" ref="L185" ca="1">INDEX(AnalystList,RANDBETWEEN(1,ROWS(AnalystList)))</f>
        <v>Riley Wilson</v>
      </c>
      <c r="M185" t="str" cm="1">
        <f t="array" aca="1" ref="M185" ca="1">INDEX(RootCauseList,RANDBETWEEN(1,ROWS(RootCauseList)))</f>
        <v>Network Failure</v>
      </c>
      <c r="N185">
        <f t="shared" ca="1" si="11"/>
        <v>24.19</v>
      </c>
      <c r="O185" t="str">
        <f ca="1">IF(OR(IncidentTable[[#This Row],[Status]]="Resolved",IncidentTable[[#This Row],[Status]]="Closed"),
ROUND(IncidentTable[[#This Row],[Estimated Impact ($)]]*(1+RANDBETWEEN(-15,25)/100)+RAND(),2),
"")</f>
        <v/>
      </c>
      <c r="P185" t="str">
        <f ca="1">IF(IncidentTable[[#This Row],[Actual Impact ($)]]="","",ROUND(IncidentTable[[#This Row],[Actual Impact ($)]]-IncidentTable[[#This Row],[Estimated Impact ($)]],2))</f>
        <v/>
      </c>
      <c r="Q185" s="2" t="str">
        <f ca="1">IF(IncidentTable[[#This Row],[Actual Impact ($)]]="","",(IncidentTable[[#This Row],[Actual Impact ($)]]-IncidentTable[[#This Row],[Estimated Impact ($)]]) / IncidentTable[[#This Row],[Estimated Impact ($)]])</f>
        <v/>
      </c>
      <c r="R185" s="3">
        <f ca="1">IF(IncidentTable[[#This Row],[Priority]]="Critical",1,
IF(IncidentTable[[#This Row],[Priority]]="High",3,
IF(IncidentTable[[#This Row],[Priority]]="Medium",5,
IF(IncidentTable[[#This Row],[Priority]]="Low",10,""))))</f>
        <v>5</v>
      </c>
      <c r="S185" t="str">
        <f ca="1">IF(IncidentTable[[#This Row],[Resolution Time (Days)]]="","",
IF(IncidentTable[[#This Row],[Resolution Time (Days)]]&lt;=IncidentTable[[#This Row],[SLA Target (Days)]],"Yes","No"))</f>
        <v/>
      </c>
    </row>
    <row r="186" spans="1:19" x14ac:dyDescent="0.25">
      <c r="A186" t="str">
        <f t="shared" ca="1" si="9"/>
        <v>INC441149</v>
      </c>
      <c r="B186" t="str" cm="1">
        <f t="array" aca="1" ref="B186" ca="1">INDEX(SystemList,RANDBETWEEN(1,ROWS(SystemList)))</f>
        <v>Policy Admin System</v>
      </c>
      <c r="C186" t="str" cm="1">
        <f t="array" aca="1" ref="C186" ca="1">INDEX(IssueTypeList,RANDBETWEEN(1,ROWS(IssueTypeList)))</f>
        <v>Payment Failure</v>
      </c>
      <c r="D186" t="str" cm="1">
        <f t="array" aca="1" ref="D186" ca="1">INDEX(PriorityList,RANDBETWEEN(1,ROWS(PriorityList)))</f>
        <v>High</v>
      </c>
      <c r="E186" t="str" cm="1">
        <f t="array" aca="1" ref="E186" ca="1">INDEX(SeverityList,RANDBETWEEN(1,ROWS(SeverityList)))</f>
        <v>Major</v>
      </c>
      <c r="F186" t="str" cm="1">
        <f t="array" aca="1" ref="F186" ca="1">INDEX(RegionList,RANDBETWEEN(1,ROWS(RegionList)))</f>
        <v>Central</v>
      </c>
      <c r="G186" t="str" cm="1">
        <f t="array" aca="1" ref="G186" ca="1">INDEX(DepartmentList,RANDBETWEEN(1,ROWS(DepartmentList)))</f>
        <v>Compliance</v>
      </c>
      <c r="H186" s="1">
        <f t="shared" ca="1" si="10"/>
        <v>45395</v>
      </c>
      <c r="I186" s="4">
        <f ca="1">IF(IncidentTable[[#This Row],[Resolution Time (Days)]]="","",IncidentTable[[#This Row],[Created Date]]+IncidentTable[[#This Row],[Resolution Time (Days)]])</f>
        <v>45491</v>
      </c>
      <c r="J186">
        <f ca="1">IF(OR(IncidentTable[[#This Row],[Status]]="Resolved",IncidentTable[[#This Row],[Status]]="Closed"),RANDBETWEEN(1,120),"")</f>
        <v>96</v>
      </c>
      <c r="K186" t="str">
        <f t="shared" ca="1" si="8"/>
        <v>Resolved</v>
      </c>
      <c r="L186" t="str" cm="1">
        <f t="array" aca="1" ref="L186" ca="1">INDEX(AnalystList,RANDBETWEEN(1,ROWS(AnalystList)))</f>
        <v>Morgan Davis</v>
      </c>
      <c r="M186" t="str" cm="1">
        <f t="array" aca="1" ref="M186" ca="1">INDEX(RootCauseList,RANDBETWEEN(1,ROWS(RootCauseList)))</f>
        <v>Unknown</v>
      </c>
      <c r="N186">
        <f t="shared" ca="1" si="11"/>
        <v>8080.42</v>
      </c>
      <c r="O186">
        <f ca="1">IF(OR(IncidentTable[[#This Row],[Status]]="Resolved",IncidentTable[[#This Row],[Status]]="Closed"),
ROUND(IncidentTable[[#This Row],[Estimated Impact ($)]]*(1+RANDBETWEEN(-15,25)/100)+RAND(),2),
"")</f>
        <v>6949.9</v>
      </c>
      <c r="P186">
        <f ca="1">IF(IncidentTable[[#This Row],[Actual Impact ($)]]="","",ROUND(IncidentTable[[#This Row],[Actual Impact ($)]]-IncidentTable[[#This Row],[Estimated Impact ($)]],2))</f>
        <v>-1130.52</v>
      </c>
      <c r="Q186" s="2">
        <f ca="1">IF(IncidentTable[[#This Row],[Actual Impact ($)]]="","",(IncidentTable[[#This Row],[Actual Impact ($)]]-IncidentTable[[#This Row],[Estimated Impact ($)]]) / IncidentTable[[#This Row],[Estimated Impact ($)]])</f>
        <v>-0.13990856910903152</v>
      </c>
      <c r="R186" s="3">
        <f ca="1">IF(IncidentTable[[#This Row],[Priority]]="Critical",1,
IF(IncidentTable[[#This Row],[Priority]]="High",3,
IF(IncidentTable[[#This Row],[Priority]]="Medium",5,
IF(IncidentTable[[#This Row],[Priority]]="Low",10,""))))</f>
        <v>3</v>
      </c>
      <c r="S186" t="str">
        <f ca="1">IF(IncidentTable[[#This Row],[Resolution Time (Days)]]="","",
IF(IncidentTable[[#This Row],[Resolution Time (Days)]]&lt;=IncidentTable[[#This Row],[SLA Target (Days)]],"Yes","No"))</f>
        <v>No</v>
      </c>
    </row>
    <row r="187" spans="1:19" x14ac:dyDescent="0.25">
      <c r="A187" t="str">
        <f t="shared" ca="1" si="9"/>
        <v>INC703244</v>
      </c>
      <c r="B187" t="str" cm="1">
        <f t="array" aca="1" ref="B187" ca="1">INDEX(SystemList,RANDBETWEEN(1,ROWS(SystemList)))</f>
        <v>Reporting System</v>
      </c>
      <c r="C187" t="str" cm="1">
        <f t="array" aca="1" ref="C187" ca="1">INDEX(IssueTypeList,RANDBETWEEN(1,ROWS(IssueTypeList)))</f>
        <v>Data Issue</v>
      </c>
      <c r="D187" t="str" cm="1">
        <f t="array" aca="1" ref="D187" ca="1">INDEX(PriorityList,RANDBETWEEN(1,ROWS(PriorityList)))</f>
        <v>Critical</v>
      </c>
      <c r="E187" t="str" cm="1">
        <f t="array" aca="1" ref="E187" ca="1">INDEX(SeverityList,RANDBETWEEN(1,ROWS(SeverityList)))</f>
        <v>Major</v>
      </c>
      <c r="F187" t="str" cm="1">
        <f t="array" aca="1" ref="F187" ca="1">INDEX(RegionList,RANDBETWEEN(1,ROWS(RegionList)))</f>
        <v>West</v>
      </c>
      <c r="G187" t="str" cm="1">
        <f t="array" aca="1" ref="G187" ca="1">INDEX(DepartmentList,RANDBETWEEN(1,ROWS(DepartmentList)))</f>
        <v>Compliance</v>
      </c>
      <c r="H187" s="1">
        <f t="shared" ca="1" si="10"/>
        <v>45391</v>
      </c>
      <c r="I187" s="4">
        <f ca="1">IF(IncidentTable[[#This Row],[Resolution Time (Days)]]="","",IncidentTable[[#This Row],[Created Date]]+IncidentTable[[#This Row],[Resolution Time (Days)]])</f>
        <v>45509</v>
      </c>
      <c r="J187">
        <f ca="1">IF(OR(IncidentTable[[#This Row],[Status]]="Resolved",IncidentTable[[#This Row],[Status]]="Closed"),RANDBETWEEN(1,120),"")</f>
        <v>118</v>
      </c>
      <c r="K187" t="str">
        <f t="shared" ca="1" si="8"/>
        <v>Closed</v>
      </c>
      <c r="L187" t="str" cm="1">
        <f t="array" aca="1" ref="L187" ca="1">INDEX(AnalystList,RANDBETWEEN(1,ROWS(AnalystList)))</f>
        <v>Casey Brown</v>
      </c>
      <c r="M187" t="str" cm="1">
        <f t="array" aca="1" ref="M187" ca="1">INDEX(RootCauseList,RANDBETWEEN(1,ROWS(RootCauseList)))</f>
        <v>Network Failure</v>
      </c>
      <c r="N187">
        <f t="shared" ca="1" si="11"/>
        <v>222.1</v>
      </c>
      <c r="O187">
        <f ca="1">IF(OR(IncidentTable[[#This Row],[Status]]="Resolved",IncidentTable[[#This Row],[Status]]="Closed"),
ROUND(IncidentTable[[#This Row],[Estimated Impact ($)]]*(1+RANDBETWEEN(-15,25)/100)+RAND(),2),
"")</f>
        <v>220.7</v>
      </c>
      <c r="P187">
        <f ca="1">IF(IncidentTable[[#This Row],[Actual Impact ($)]]="","",ROUND(IncidentTable[[#This Row],[Actual Impact ($)]]-IncidentTable[[#This Row],[Estimated Impact ($)]],2))</f>
        <v>-1.4</v>
      </c>
      <c r="Q187" s="2">
        <f ca="1">IF(IncidentTable[[#This Row],[Actual Impact ($)]]="","",(IncidentTable[[#This Row],[Actual Impact ($)]]-IncidentTable[[#This Row],[Estimated Impact ($)]]) / IncidentTable[[#This Row],[Estimated Impact ($)]])</f>
        <v>-6.3034669067987652E-3</v>
      </c>
      <c r="R187" s="3">
        <f ca="1">IF(IncidentTable[[#This Row],[Priority]]="Critical",1,
IF(IncidentTable[[#This Row],[Priority]]="High",3,
IF(IncidentTable[[#This Row],[Priority]]="Medium",5,
IF(IncidentTable[[#This Row],[Priority]]="Low",10,""))))</f>
        <v>1</v>
      </c>
      <c r="S187" t="str">
        <f ca="1">IF(IncidentTable[[#This Row],[Resolution Time (Days)]]="","",
IF(IncidentTable[[#This Row],[Resolution Time (Days)]]&lt;=IncidentTable[[#This Row],[SLA Target (Days)]],"Yes","No"))</f>
        <v>No</v>
      </c>
    </row>
    <row r="188" spans="1:19" x14ac:dyDescent="0.25">
      <c r="A188" t="str">
        <f t="shared" ca="1" si="9"/>
        <v>INC858555</v>
      </c>
      <c r="B188" t="str" cm="1">
        <f t="array" aca="1" ref="B188" ca="1">INDEX(SystemList,RANDBETWEEN(1,ROWS(SystemList)))</f>
        <v>Billing System</v>
      </c>
      <c r="C188" t="str" cm="1">
        <f t="array" aca="1" ref="C188" ca="1">INDEX(IssueTypeList,RANDBETWEEN(1,ROWS(IssueTypeList)))</f>
        <v>Performance Issue</v>
      </c>
      <c r="D188" t="str" cm="1">
        <f t="array" aca="1" ref="D188" ca="1">INDEX(PriorityList,RANDBETWEEN(1,ROWS(PriorityList)))</f>
        <v>Critical</v>
      </c>
      <c r="E188" t="str" cm="1">
        <f t="array" aca="1" ref="E188" ca="1">INDEX(SeverityList,RANDBETWEEN(1,ROWS(SeverityList)))</f>
        <v>Minor</v>
      </c>
      <c r="F188" t="str" cm="1">
        <f t="array" aca="1" ref="F188" ca="1">INDEX(RegionList,RANDBETWEEN(1,ROWS(RegionList)))</f>
        <v>East</v>
      </c>
      <c r="G188" t="str" cm="1">
        <f t="array" aca="1" ref="G188" ca="1">INDEX(DepartmentList,RANDBETWEEN(1,ROWS(DepartmentList)))</f>
        <v>Finance</v>
      </c>
      <c r="H188" s="1">
        <f t="shared" ca="1" si="10"/>
        <v>45158</v>
      </c>
      <c r="I188" s="4" t="str">
        <f ca="1">IF(IncidentTable[[#This Row],[Resolution Time (Days)]]="","",IncidentTable[[#This Row],[Created Date]]+IncidentTable[[#This Row],[Resolution Time (Days)]])</f>
        <v/>
      </c>
      <c r="J188" t="str">
        <f ca="1">IF(OR(IncidentTable[[#This Row],[Status]]="Resolved",IncidentTable[[#This Row],[Status]]="Closed"),RANDBETWEEN(1,120),"")</f>
        <v/>
      </c>
      <c r="K188" t="str">
        <f t="shared" ca="1" si="8"/>
        <v>In Progress</v>
      </c>
      <c r="L188" t="str" cm="1">
        <f t="array" aca="1" ref="L188" ca="1">INDEX(AnalystList,RANDBETWEEN(1,ROWS(AnalystList)))</f>
        <v>Alex Johnson</v>
      </c>
      <c r="M188" t="str" cm="1">
        <f t="array" aca="1" ref="M188" ca="1">INDEX(RootCauseList,RANDBETWEEN(1,ROWS(RootCauseList)))</f>
        <v>Integration Failure</v>
      </c>
      <c r="N188">
        <f t="shared" ca="1" si="11"/>
        <v>32.659999999999997</v>
      </c>
      <c r="O188" t="str">
        <f ca="1">IF(OR(IncidentTable[[#This Row],[Status]]="Resolved",IncidentTable[[#This Row],[Status]]="Closed"),
ROUND(IncidentTable[[#This Row],[Estimated Impact ($)]]*(1+RANDBETWEEN(-15,25)/100)+RAND(),2),
"")</f>
        <v/>
      </c>
      <c r="P188" t="str">
        <f ca="1">IF(IncidentTable[[#This Row],[Actual Impact ($)]]="","",ROUND(IncidentTable[[#This Row],[Actual Impact ($)]]-IncidentTable[[#This Row],[Estimated Impact ($)]],2))</f>
        <v/>
      </c>
      <c r="Q188" s="2" t="str">
        <f ca="1">IF(IncidentTable[[#This Row],[Actual Impact ($)]]="","",(IncidentTable[[#This Row],[Actual Impact ($)]]-IncidentTable[[#This Row],[Estimated Impact ($)]]) / IncidentTable[[#This Row],[Estimated Impact ($)]])</f>
        <v/>
      </c>
      <c r="R188" s="3">
        <f ca="1">IF(IncidentTable[[#This Row],[Priority]]="Critical",1,
IF(IncidentTable[[#This Row],[Priority]]="High",3,
IF(IncidentTable[[#This Row],[Priority]]="Medium",5,
IF(IncidentTable[[#This Row],[Priority]]="Low",10,""))))</f>
        <v>1</v>
      </c>
      <c r="S188" t="str">
        <f ca="1">IF(IncidentTable[[#This Row],[Resolution Time (Days)]]="","",
IF(IncidentTable[[#This Row],[Resolution Time (Days)]]&lt;=IncidentTable[[#This Row],[SLA Target (Days)]],"Yes","No"))</f>
        <v/>
      </c>
    </row>
    <row r="189" spans="1:19" x14ac:dyDescent="0.25">
      <c r="A189" t="str">
        <f t="shared" ca="1" si="9"/>
        <v>INC914544</v>
      </c>
      <c r="B189" t="str" cm="1">
        <f t="array" aca="1" ref="B189" ca="1">INDEX(SystemList,RANDBETWEEN(1,ROWS(SystemList)))</f>
        <v>Policy Admin System</v>
      </c>
      <c r="C189" t="str" cm="1">
        <f t="array" aca="1" ref="C189" ca="1">INDEX(IssueTypeList,RANDBETWEEN(1,ROWS(IssueTypeList)))</f>
        <v>Data Issue</v>
      </c>
      <c r="D189" t="str" cm="1">
        <f t="array" aca="1" ref="D189" ca="1">INDEX(PriorityList,RANDBETWEEN(1,ROWS(PriorityList)))</f>
        <v>Critical</v>
      </c>
      <c r="E189" t="str" cm="1">
        <f t="array" aca="1" ref="E189" ca="1">INDEX(SeverityList,RANDBETWEEN(1,ROWS(SeverityList)))</f>
        <v>Moderate</v>
      </c>
      <c r="F189" t="str" cm="1">
        <f t="array" aca="1" ref="F189" ca="1">INDEX(RegionList,RANDBETWEEN(1,ROWS(RegionList)))</f>
        <v>Central</v>
      </c>
      <c r="G189" t="str" cm="1">
        <f t="array" aca="1" ref="G189" ca="1">INDEX(DepartmentList,RANDBETWEEN(1,ROWS(DepartmentList)))</f>
        <v>Claims</v>
      </c>
      <c r="H189" s="1">
        <f t="shared" ca="1" si="10"/>
        <v>45303</v>
      </c>
      <c r="I189" s="4">
        <f ca="1">IF(IncidentTable[[#This Row],[Resolution Time (Days)]]="","",IncidentTable[[#This Row],[Created Date]]+IncidentTable[[#This Row],[Resolution Time (Days)]])</f>
        <v>45397</v>
      </c>
      <c r="J189">
        <f ca="1">IF(OR(IncidentTable[[#This Row],[Status]]="Resolved",IncidentTable[[#This Row],[Status]]="Closed"),RANDBETWEEN(1,120),"")</f>
        <v>94</v>
      </c>
      <c r="K189" t="str">
        <f t="shared" ca="1" si="8"/>
        <v>Closed</v>
      </c>
      <c r="L189" t="str" cm="1">
        <f t="array" aca="1" ref="L189" ca="1">INDEX(AnalystList,RANDBETWEEN(1,ROWS(AnalystList)))</f>
        <v>Jordan Lee</v>
      </c>
      <c r="M189" t="str" cm="1">
        <f t="array" aca="1" ref="M189" ca="1">INDEX(RootCauseList,RANDBETWEEN(1,ROWS(RootCauseList)))</f>
        <v>Process Gap</v>
      </c>
      <c r="N189">
        <f t="shared" ca="1" si="11"/>
        <v>895.86</v>
      </c>
      <c r="O189">
        <f ca="1">IF(OR(IncidentTable[[#This Row],[Status]]="Resolved",IncidentTable[[#This Row],[Status]]="Closed"),
ROUND(IncidentTable[[#This Row],[Estimated Impact ($)]]*(1+RANDBETWEEN(-15,25)/100)+RAND(),2),
"")</f>
        <v>1048.22</v>
      </c>
      <c r="P189">
        <f ca="1">IF(IncidentTable[[#This Row],[Actual Impact ($)]]="","",ROUND(IncidentTable[[#This Row],[Actual Impact ($)]]-IncidentTable[[#This Row],[Estimated Impact ($)]],2))</f>
        <v>152.36000000000001</v>
      </c>
      <c r="Q189" s="2">
        <f ca="1">IF(IncidentTable[[#This Row],[Actual Impact ($)]]="","",(IncidentTable[[#This Row],[Actual Impact ($)]]-IncidentTable[[#This Row],[Estimated Impact ($)]]) / IncidentTable[[#This Row],[Estimated Impact ($)]])</f>
        <v>0.1700712164847186</v>
      </c>
      <c r="R189" s="3">
        <f ca="1">IF(IncidentTable[[#This Row],[Priority]]="Critical",1,
IF(IncidentTable[[#This Row],[Priority]]="High",3,
IF(IncidentTable[[#This Row],[Priority]]="Medium",5,
IF(IncidentTable[[#This Row],[Priority]]="Low",10,""))))</f>
        <v>1</v>
      </c>
      <c r="S189" t="str">
        <f ca="1">IF(IncidentTable[[#This Row],[Resolution Time (Days)]]="","",
IF(IncidentTable[[#This Row],[Resolution Time (Days)]]&lt;=IncidentTable[[#This Row],[SLA Target (Days)]],"Yes","No"))</f>
        <v>No</v>
      </c>
    </row>
    <row r="190" spans="1:19" x14ac:dyDescent="0.25">
      <c r="A190" t="str">
        <f t="shared" ca="1" si="9"/>
        <v>INC569650</v>
      </c>
      <c r="B190" t="str" cm="1">
        <f t="array" aca="1" ref="B190" ca="1">INDEX(SystemList,RANDBETWEEN(1,ROWS(SystemList)))</f>
        <v>Reporting System</v>
      </c>
      <c r="C190" t="str" cm="1">
        <f t="array" aca="1" ref="C190" ca="1">INDEX(IssueTypeList,RANDBETWEEN(1,ROWS(IssueTypeList)))</f>
        <v>Performance Issue</v>
      </c>
      <c r="D190" t="str" cm="1">
        <f t="array" aca="1" ref="D190" ca="1">INDEX(PriorityList,RANDBETWEEN(1,ROWS(PriorityList)))</f>
        <v>High</v>
      </c>
      <c r="E190" t="str" cm="1">
        <f t="array" aca="1" ref="E190" ca="1">INDEX(SeverityList,RANDBETWEEN(1,ROWS(SeverityList)))</f>
        <v>Major</v>
      </c>
      <c r="F190" t="str" cm="1">
        <f t="array" aca="1" ref="F190" ca="1">INDEX(RegionList,RANDBETWEEN(1,ROWS(RegionList)))</f>
        <v>Central</v>
      </c>
      <c r="G190" t="str" cm="1">
        <f t="array" aca="1" ref="G190" ca="1">INDEX(DepartmentList,RANDBETWEEN(1,ROWS(DepartmentList)))</f>
        <v>Claims</v>
      </c>
      <c r="H190" s="1">
        <f t="shared" ca="1" si="10"/>
        <v>45090</v>
      </c>
      <c r="I190" s="4" t="str">
        <f ca="1">IF(IncidentTable[[#This Row],[Resolution Time (Days)]]="","",IncidentTable[[#This Row],[Created Date]]+IncidentTable[[#This Row],[Resolution Time (Days)]])</f>
        <v/>
      </c>
      <c r="J190" t="str">
        <f ca="1">IF(OR(IncidentTable[[#This Row],[Status]]="Resolved",IncidentTable[[#This Row],[Status]]="Closed"),RANDBETWEEN(1,120),"")</f>
        <v/>
      </c>
      <c r="K190" t="str">
        <f t="shared" ca="1" si="8"/>
        <v>In Progress</v>
      </c>
      <c r="L190" t="str" cm="1">
        <f t="array" aca="1" ref="L190" ca="1">INDEX(AnalystList,RANDBETWEEN(1,ROWS(AnalystList)))</f>
        <v>Jordan Lee</v>
      </c>
      <c r="M190" t="str" cm="1">
        <f t="array" aca="1" ref="M190" ca="1">INDEX(RootCauseList,RANDBETWEEN(1,ROWS(RootCauseList)))</f>
        <v>Unknown</v>
      </c>
      <c r="N190">
        <f t="shared" ca="1" si="11"/>
        <v>72.790000000000006</v>
      </c>
      <c r="O190" t="str">
        <f ca="1">IF(OR(IncidentTable[[#This Row],[Status]]="Resolved",IncidentTable[[#This Row],[Status]]="Closed"),
ROUND(IncidentTable[[#This Row],[Estimated Impact ($)]]*(1+RANDBETWEEN(-15,25)/100)+RAND(),2),
"")</f>
        <v/>
      </c>
      <c r="P190" t="str">
        <f ca="1">IF(IncidentTable[[#This Row],[Actual Impact ($)]]="","",ROUND(IncidentTable[[#This Row],[Actual Impact ($)]]-IncidentTable[[#This Row],[Estimated Impact ($)]],2))</f>
        <v/>
      </c>
      <c r="Q190" s="2" t="str">
        <f ca="1">IF(IncidentTable[[#This Row],[Actual Impact ($)]]="","",(IncidentTable[[#This Row],[Actual Impact ($)]]-IncidentTable[[#This Row],[Estimated Impact ($)]]) / IncidentTable[[#This Row],[Estimated Impact ($)]])</f>
        <v/>
      </c>
      <c r="R190" s="3">
        <f ca="1">IF(IncidentTable[[#This Row],[Priority]]="Critical",1,
IF(IncidentTable[[#This Row],[Priority]]="High",3,
IF(IncidentTable[[#This Row],[Priority]]="Medium",5,
IF(IncidentTable[[#This Row],[Priority]]="Low",10,""))))</f>
        <v>3</v>
      </c>
      <c r="S190" t="str">
        <f ca="1">IF(IncidentTable[[#This Row],[Resolution Time (Days)]]="","",
IF(IncidentTable[[#This Row],[Resolution Time (Days)]]&lt;=IncidentTable[[#This Row],[SLA Target (Days)]],"Yes","No"))</f>
        <v/>
      </c>
    </row>
    <row r="191" spans="1:19" x14ac:dyDescent="0.25">
      <c r="A191" t="str">
        <f t="shared" ca="1" si="9"/>
        <v>INC472554</v>
      </c>
      <c r="B191" t="str" cm="1">
        <f t="array" aca="1" ref="B191" ca="1">INDEX(SystemList,RANDBETWEEN(1,ROWS(SystemList)))</f>
        <v>Policy Admin System</v>
      </c>
      <c r="C191" t="str" cm="1">
        <f t="array" aca="1" ref="C191" ca="1">INDEX(IssueTypeList,RANDBETWEEN(1,ROWS(IssueTypeList)))</f>
        <v>Complaint</v>
      </c>
      <c r="D191" t="str" cm="1">
        <f t="array" aca="1" ref="D191" ca="1">INDEX(PriorityList,RANDBETWEEN(1,ROWS(PriorityList)))</f>
        <v>Low</v>
      </c>
      <c r="E191" t="str" cm="1">
        <f t="array" aca="1" ref="E191" ca="1">INDEX(SeverityList,RANDBETWEEN(1,ROWS(SeverityList)))</f>
        <v>Moderate</v>
      </c>
      <c r="F191" t="str" cm="1">
        <f t="array" aca="1" ref="F191" ca="1">INDEX(RegionList,RANDBETWEEN(1,ROWS(RegionList)))</f>
        <v>Southeast</v>
      </c>
      <c r="G191" t="str" cm="1">
        <f t="array" aca="1" ref="G191" ca="1">INDEX(DepartmentList,RANDBETWEEN(1,ROWS(DepartmentList)))</f>
        <v>Customer Service</v>
      </c>
      <c r="H191" s="1">
        <f t="shared" ca="1" si="10"/>
        <v>45190</v>
      </c>
      <c r="I191" s="4">
        <f ca="1">IF(IncidentTable[[#This Row],[Resolution Time (Days)]]="","",IncidentTable[[#This Row],[Created Date]]+IncidentTable[[#This Row],[Resolution Time (Days)]])</f>
        <v>45211</v>
      </c>
      <c r="J191">
        <f ca="1">IF(OR(IncidentTable[[#This Row],[Status]]="Resolved",IncidentTable[[#This Row],[Status]]="Closed"),RANDBETWEEN(1,120),"")</f>
        <v>21</v>
      </c>
      <c r="K191" t="str">
        <f t="shared" ca="1" si="8"/>
        <v>Closed</v>
      </c>
      <c r="L191" t="str" cm="1">
        <f t="array" aca="1" ref="L191" ca="1">INDEX(AnalystList,RANDBETWEEN(1,ROWS(AnalystList)))</f>
        <v>Alex Johnson</v>
      </c>
      <c r="M191" t="str" cm="1">
        <f t="array" aca="1" ref="M191" ca="1">INDEX(RootCauseList,RANDBETWEEN(1,ROWS(RootCauseList)))</f>
        <v>User Error</v>
      </c>
      <c r="N191">
        <f t="shared" ca="1" si="11"/>
        <v>983.76</v>
      </c>
      <c r="O191">
        <f ca="1">IF(OR(IncidentTable[[#This Row],[Status]]="Resolved",IncidentTable[[#This Row],[Status]]="Closed"),
ROUND(IncidentTable[[#This Row],[Estimated Impact ($)]]*(1+RANDBETWEEN(-15,25)/100)+RAND(),2),
"")</f>
        <v>1053.3599999999999</v>
      </c>
      <c r="P191">
        <f ca="1">IF(IncidentTable[[#This Row],[Actual Impact ($)]]="","",ROUND(IncidentTable[[#This Row],[Actual Impact ($)]]-IncidentTable[[#This Row],[Estimated Impact ($)]],2))</f>
        <v>69.599999999999994</v>
      </c>
      <c r="Q191" s="2">
        <f ca="1">IF(IncidentTable[[#This Row],[Actual Impact ($)]]="","",(IncidentTable[[#This Row],[Actual Impact ($)]]-IncidentTable[[#This Row],[Estimated Impact ($)]]) / IncidentTable[[#This Row],[Estimated Impact ($)]])</f>
        <v>7.074896316174667E-2</v>
      </c>
      <c r="R191" s="3">
        <f ca="1">IF(IncidentTable[[#This Row],[Priority]]="Critical",1,
IF(IncidentTable[[#This Row],[Priority]]="High",3,
IF(IncidentTable[[#This Row],[Priority]]="Medium",5,
IF(IncidentTable[[#This Row],[Priority]]="Low",10,""))))</f>
        <v>10</v>
      </c>
      <c r="S191" t="str">
        <f ca="1">IF(IncidentTable[[#This Row],[Resolution Time (Days)]]="","",
IF(IncidentTable[[#This Row],[Resolution Time (Days)]]&lt;=IncidentTable[[#This Row],[SLA Target (Days)]],"Yes","No"))</f>
        <v>No</v>
      </c>
    </row>
    <row r="192" spans="1:19" x14ac:dyDescent="0.25">
      <c r="A192" t="str">
        <f t="shared" ca="1" si="9"/>
        <v>INC800318</v>
      </c>
      <c r="B192" t="str" cm="1">
        <f t="array" aca="1" ref="B192" ca="1">INDEX(SystemList,RANDBETWEEN(1,ROWS(SystemList)))</f>
        <v>Payment Processing</v>
      </c>
      <c r="C192" t="str" cm="1">
        <f t="array" aca="1" ref="C192" ca="1">INDEX(IssueTypeList,RANDBETWEEN(1,ROWS(IssueTypeList)))</f>
        <v>Data Issue</v>
      </c>
      <c r="D192" t="str" cm="1">
        <f t="array" aca="1" ref="D192" ca="1">INDEX(PriorityList,RANDBETWEEN(1,ROWS(PriorityList)))</f>
        <v>High</v>
      </c>
      <c r="E192" t="str" cm="1">
        <f t="array" aca="1" ref="E192" ca="1">INDEX(SeverityList,RANDBETWEEN(1,ROWS(SeverityList)))</f>
        <v>Critical</v>
      </c>
      <c r="F192" t="str" cm="1">
        <f t="array" aca="1" ref="F192" ca="1">INDEX(RegionList,RANDBETWEEN(1,ROWS(RegionList)))</f>
        <v>East</v>
      </c>
      <c r="G192" t="str" cm="1">
        <f t="array" aca="1" ref="G192" ca="1">INDEX(DepartmentList,RANDBETWEEN(1,ROWS(DepartmentList)))</f>
        <v>Compliance</v>
      </c>
      <c r="H192" s="1">
        <f t="shared" ca="1" si="10"/>
        <v>45227</v>
      </c>
      <c r="I192" s="4" t="str">
        <f ca="1">IF(IncidentTable[[#This Row],[Resolution Time (Days)]]="","",IncidentTable[[#This Row],[Created Date]]+IncidentTable[[#This Row],[Resolution Time (Days)]])</f>
        <v/>
      </c>
      <c r="J192" t="str">
        <f ca="1">IF(OR(IncidentTable[[#This Row],[Status]]="Resolved",IncidentTable[[#This Row],[Status]]="Closed"),RANDBETWEEN(1,120),"")</f>
        <v/>
      </c>
      <c r="K192" t="str">
        <f t="shared" ca="1" si="8"/>
        <v>Open</v>
      </c>
      <c r="L192" t="str" cm="1">
        <f t="array" aca="1" ref="L192" ca="1">INDEX(AnalystList,RANDBETWEEN(1,ROWS(AnalystList)))</f>
        <v>Taylor Smith</v>
      </c>
      <c r="M192" t="str" cm="1">
        <f t="array" aca="1" ref="M192" ca="1">INDEX(RootCauseList,RANDBETWEEN(1,ROWS(RootCauseList)))</f>
        <v>User Error</v>
      </c>
      <c r="N192">
        <f t="shared" ca="1" si="11"/>
        <v>793.9</v>
      </c>
      <c r="O192" t="str">
        <f ca="1">IF(OR(IncidentTable[[#This Row],[Status]]="Resolved",IncidentTable[[#This Row],[Status]]="Closed"),
ROUND(IncidentTable[[#This Row],[Estimated Impact ($)]]*(1+RANDBETWEEN(-15,25)/100)+RAND(),2),
"")</f>
        <v/>
      </c>
      <c r="P192" t="str">
        <f ca="1">IF(IncidentTable[[#This Row],[Actual Impact ($)]]="","",ROUND(IncidentTable[[#This Row],[Actual Impact ($)]]-IncidentTable[[#This Row],[Estimated Impact ($)]],2))</f>
        <v/>
      </c>
      <c r="Q192" s="2" t="str">
        <f ca="1">IF(IncidentTable[[#This Row],[Actual Impact ($)]]="","",(IncidentTable[[#This Row],[Actual Impact ($)]]-IncidentTable[[#This Row],[Estimated Impact ($)]]) / IncidentTable[[#This Row],[Estimated Impact ($)]])</f>
        <v/>
      </c>
      <c r="R192" s="3">
        <f ca="1">IF(IncidentTable[[#This Row],[Priority]]="Critical",1,
IF(IncidentTable[[#This Row],[Priority]]="High",3,
IF(IncidentTable[[#This Row],[Priority]]="Medium",5,
IF(IncidentTable[[#This Row],[Priority]]="Low",10,""))))</f>
        <v>3</v>
      </c>
      <c r="S192" t="str">
        <f ca="1">IF(IncidentTable[[#This Row],[Resolution Time (Days)]]="","",
IF(IncidentTable[[#This Row],[Resolution Time (Days)]]&lt;=IncidentTable[[#This Row],[SLA Target (Days)]],"Yes","No"))</f>
        <v/>
      </c>
    </row>
    <row r="193" spans="1:19" x14ac:dyDescent="0.25">
      <c r="A193" t="str">
        <f t="shared" ca="1" si="9"/>
        <v>INC906088</v>
      </c>
      <c r="B193" t="str" cm="1">
        <f t="array" aca="1" ref="B193" ca="1">INDEX(SystemList,RANDBETWEEN(1,ROWS(SystemList)))</f>
        <v>Claims System</v>
      </c>
      <c r="C193" t="str" cm="1">
        <f t="array" aca="1" ref="C193" ca="1">INDEX(IssueTypeList,RANDBETWEEN(1,ROWS(IssueTypeList)))</f>
        <v>Complaint</v>
      </c>
      <c r="D193" t="str" cm="1">
        <f t="array" aca="1" ref="D193" ca="1">INDEX(PriorityList,RANDBETWEEN(1,ROWS(PriorityList)))</f>
        <v>Medium</v>
      </c>
      <c r="E193" t="str" cm="1">
        <f t="array" aca="1" ref="E193" ca="1">INDEX(SeverityList,RANDBETWEEN(1,ROWS(SeverityList)))</f>
        <v>Critical</v>
      </c>
      <c r="F193" t="str" cm="1">
        <f t="array" aca="1" ref="F193" ca="1">INDEX(RegionList,RANDBETWEEN(1,ROWS(RegionList)))</f>
        <v>Southeast</v>
      </c>
      <c r="G193" t="str" cm="1">
        <f t="array" aca="1" ref="G193" ca="1">INDEX(DepartmentList,RANDBETWEEN(1,ROWS(DepartmentList)))</f>
        <v>Finance</v>
      </c>
      <c r="H193" s="1">
        <f t="shared" ca="1" si="10"/>
        <v>45014</v>
      </c>
      <c r="I193" s="4" t="str">
        <f ca="1">IF(IncidentTable[[#This Row],[Resolution Time (Days)]]="","",IncidentTable[[#This Row],[Created Date]]+IncidentTable[[#This Row],[Resolution Time (Days)]])</f>
        <v/>
      </c>
      <c r="J193" t="str">
        <f ca="1">IF(OR(IncidentTable[[#This Row],[Status]]="Resolved",IncidentTable[[#This Row],[Status]]="Closed"),RANDBETWEEN(1,120),"")</f>
        <v/>
      </c>
      <c r="K193" t="str">
        <f t="shared" ca="1" si="8"/>
        <v>Pending</v>
      </c>
      <c r="L193" t="str" cm="1">
        <f t="array" aca="1" ref="L193" ca="1">INDEX(AnalystList,RANDBETWEEN(1,ROWS(AnalystList)))</f>
        <v>Casey Brown</v>
      </c>
      <c r="M193" t="str" cm="1">
        <f t="array" aca="1" ref="M193" ca="1">INDEX(RootCauseList,RANDBETWEEN(1,ROWS(RootCauseList)))</f>
        <v>Network Failure</v>
      </c>
      <c r="N193">
        <f t="shared" ca="1" si="11"/>
        <v>6368.38</v>
      </c>
      <c r="O193" t="str">
        <f ca="1">IF(OR(IncidentTable[[#This Row],[Status]]="Resolved",IncidentTable[[#This Row],[Status]]="Closed"),
ROUND(IncidentTable[[#This Row],[Estimated Impact ($)]]*(1+RANDBETWEEN(-15,25)/100)+RAND(),2),
"")</f>
        <v/>
      </c>
      <c r="P193" t="str">
        <f ca="1">IF(IncidentTable[[#This Row],[Actual Impact ($)]]="","",ROUND(IncidentTable[[#This Row],[Actual Impact ($)]]-IncidentTable[[#This Row],[Estimated Impact ($)]],2))</f>
        <v/>
      </c>
      <c r="Q193" s="2" t="str">
        <f ca="1">IF(IncidentTable[[#This Row],[Actual Impact ($)]]="","",(IncidentTable[[#This Row],[Actual Impact ($)]]-IncidentTable[[#This Row],[Estimated Impact ($)]]) / IncidentTable[[#This Row],[Estimated Impact ($)]])</f>
        <v/>
      </c>
      <c r="R193" s="3">
        <f ca="1">IF(IncidentTable[[#This Row],[Priority]]="Critical",1,
IF(IncidentTable[[#This Row],[Priority]]="High",3,
IF(IncidentTable[[#This Row],[Priority]]="Medium",5,
IF(IncidentTable[[#This Row],[Priority]]="Low",10,""))))</f>
        <v>5</v>
      </c>
      <c r="S193" t="str">
        <f ca="1">IF(IncidentTable[[#This Row],[Resolution Time (Days)]]="","",
IF(IncidentTable[[#This Row],[Resolution Time (Days)]]&lt;=IncidentTable[[#This Row],[SLA Target (Days)]],"Yes","No"))</f>
        <v/>
      </c>
    </row>
    <row r="194" spans="1:19" x14ac:dyDescent="0.25">
      <c r="A194" t="str">
        <f t="shared" ca="1" si="9"/>
        <v>INC491821</v>
      </c>
      <c r="B194" t="str" cm="1">
        <f t="array" aca="1" ref="B194" ca="1">INDEX(SystemList,RANDBETWEEN(1,ROWS(SystemList)))</f>
        <v>Reporting System</v>
      </c>
      <c r="C194" t="str" cm="1">
        <f t="array" aca="1" ref="C194" ca="1">INDEX(IssueTypeList,RANDBETWEEN(1,ROWS(IssueTypeList)))</f>
        <v>System Error</v>
      </c>
      <c r="D194" t="str" cm="1">
        <f t="array" aca="1" ref="D194" ca="1">INDEX(PriorityList,RANDBETWEEN(1,ROWS(PriorityList)))</f>
        <v>Critical</v>
      </c>
      <c r="E194" t="str" cm="1">
        <f t="array" aca="1" ref="E194" ca="1">INDEX(SeverityList,RANDBETWEEN(1,ROWS(SeverityList)))</f>
        <v>Moderate</v>
      </c>
      <c r="F194" t="str" cm="1">
        <f t="array" aca="1" ref="F194" ca="1">INDEX(RegionList,RANDBETWEEN(1,ROWS(RegionList)))</f>
        <v>West</v>
      </c>
      <c r="G194" t="str" cm="1">
        <f t="array" aca="1" ref="G194" ca="1">INDEX(DepartmentList,RANDBETWEEN(1,ROWS(DepartmentList)))</f>
        <v>Finance</v>
      </c>
      <c r="H194" s="1">
        <f t="shared" ca="1" si="10"/>
        <v>45059</v>
      </c>
      <c r="I194" s="4">
        <f ca="1">IF(IncidentTable[[#This Row],[Resolution Time (Days)]]="","",IncidentTable[[#This Row],[Created Date]]+IncidentTable[[#This Row],[Resolution Time (Days)]])</f>
        <v>45110</v>
      </c>
      <c r="J194">
        <f ca="1">IF(OR(IncidentTable[[#This Row],[Status]]="Resolved",IncidentTable[[#This Row],[Status]]="Closed"),RANDBETWEEN(1,120),"")</f>
        <v>51</v>
      </c>
      <c r="K194" t="str">
        <f t="shared" ref="K194:K257" ca="1" si="12">CHOOSE(RANDBETWEEN(1,5),"Open","In Progress","Pending","Resolved","Closed")</f>
        <v>Closed</v>
      </c>
      <c r="L194" t="str" cm="1">
        <f t="array" aca="1" ref="L194" ca="1">INDEX(AnalystList,RANDBETWEEN(1,ROWS(AnalystList)))</f>
        <v>Alex Johnson</v>
      </c>
      <c r="M194" t="str" cm="1">
        <f t="array" aca="1" ref="M194" ca="1">INDEX(RootCauseList,RANDBETWEEN(1,ROWS(RootCauseList)))</f>
        <v>User Error</v>
      </c>
      <c r="N194">
        <f t="shared" ca="1" si="11"/>
        <v>7.11</v>
      </c>
      <c r="O194">
        <f ca="1">IF(OR(IncidentTable[[#This Row],[Status]]="Resolved",IncidentTable[[#This Row],[Status]]="Closed"),
ROUND(IncidentTable[[#This Row],[Estimated Impact ($)]]*(1+RANDBETWEEN(-15,25)/100)+RAND(),2),
"")</f>
        <v>7.65</v>
      </c>
      <c r="P194">
        <f ca="1">IF(IncidentTable[[#This Row],[Actual Impact ($)]]="","",ROUND(IncidentTable[[#This Row],[Actual Impact ($)]]-IncidentTable[[#This Row],[Estimated Impact ($)]],2))</f>
        <v>0.54</v>
      </c>
      <c r="Q194" s="2">
        <f ca="1">IF(IncidentTable[[#This Row],[Actual Impact ($)]]="","",(IncidentTable[[#This Row],[Actual Impact ($)]]-IncidentTable[[#This Row],[Estimated Impact ($)]]) / IncidentTable[[#This Row],[Estimated Impact ($)]])</f>
        <v>7.5949367088607597E-2</v>
      </c>
      <c r="R194" s="3">
        <f ca="1">IF(IncidentTable[[#This Row],[Priority]]="Critical",1,
IF(IncidentTable[[#This Row],[Priority]]="High",3,
IF(IncidentTable[[#This Row],[Priority]]="Medium",5,
IF(IncidentTable[[#This Row],[Priority]]="Low",10,""))))</f>
        <v>1</v>
      </c>
      <c r="S194" t="str">
        <f ca="1">IF(IncidentTable[[#This Row],[Resolution Time (Days)]]="","",
IF(IncidentTable[[#This Row],[Resolution Time (Days)]]&lt;=IncidentTable[[#This Row],[SLA Target (Days)]],"Yes","No"))</f>
        <v>No</v>
      </c>
    </row>
    <row r="195" spans="1:19" x14ac:dyDescent="0.25">
      <c r="A195" t="str">
        <f t="shared" ref="A195:A258" ca="1" si="13">"INC"&amp;TEXT(RANDBETWEEN(100000,999999),"000000")</f>
        <v>INC847680</v>
      </c>
      <c r="B195" t="str" cm="1">
        <f t="array" aca="1" ref="B195" ca="1">INDEX(SystemList,RANDBETWEEN(1,ROWS(SystemList)))</f>
        <v>Regulatory System</v>
      </c>
      <c r="C195" t="str" cm="1">
        <f t="array" aca="1" ref="C195" ca="1">INDEX(IssueTypeList,RANDBETWEEN(1,ROWS(IssueTypeList)))</f>
        <v>Payment Failure</v>
      </c>
      <c r="D195" t="str" cm="1">
        <f t="array" aca="1" ref="D195" ca="1">INDEX(PriorityList,RANDBETWEEN(1,ROWS(PriorityList)))</f>
        <v>Medium</v>
      </c>
      <c r="E195" t="str" cm="1">
        <f t="array" aca="1" ref="E195" ca="1">INDEX(SeverityList,RANDBETWEEN(1,ROWS(SeverityList)))</f>
        <v>Minor</v>
      </c>
      <c r="F195" t="str" cm="1">
        <f t="array" aca="1" ref="F195" ca="1">INDEX(RegionList,RANDBETWEEN(1,ROWS(RegionList)))</f>
        <v>East</v>
      </c>
      <c r="G195" t="str" cm="1">
        <f t="array" aca="1" ref="G195" ca="1">INDEX(DepartmentList,RANDBETWEEN(1,ROWS(DepartmentList)))</f>
        <v>IT</v>
      </c>
      <c r="H195" s="1">
        <f t="shared" ref="H195:H258" ca="1" si="14">DATE(2023,1,1)+RANDBETWEEN(0,545)</f>
        <v>45272</v>
      </c>
      <c r="I195" s="4">
        <f ca="1">IF(IncidentTable[[#This Row],[Resolution Time (Days)]]="","",IncidentTable[[#This Row],[Created Date]]+IncidentTable[[#This Row],[Resolution Time (Days)]])</f>
        <v>45378</v>
      </c>
      <c r="J195">
        <f ca="1">IF(OR(IncidentTable[[#This Row],[Status]]="Resolved",IncidentTable[[#This Row],[Status]]="Closed"),RANDBETWEEN(1,120),"")</f>
        <v>106</v>
      </c>
      <c r="K195" t="str">
        <f t="shared" ca="1" si="12"/>
        <v>Resolved</v>
      </c>
      <c r="L195" t="str" cm="1">
        <f t="array" aca="1" ref="L195" ca="1">INDEX(AnalystList,RANDBETWEEN(1,ROWS(AnalystList)))</f>
        <v>Casey Brown</v>
      </c>
      <c r="M195" t="str" cm="1">
        <f t="array" aca="1" ref="M195" ca="1">INDEX(RootCauseList,RANDBETWEEN(1,ROWS(RootCauseList)))</f>
        <v>Configuration Issue</v>
      </c>
      <c r="N195">
        <f t="shared" ref="N195:N258" ca="1" si="15">ROUND(RANDBETWEEN(500,50000)*(RAND()^3),2)</f>
        <v>1.26</v>
      </c>
      <c r="O195">
        <f ca="1">IF(OR(IncidentTable[[#This Row],[Status]]="Resolved",IncidentTable[[#This Row],[Status]]="Closed"),
ROUND(IncidentTable[[#This Row],[Estimated Impact ($)]]*(1+RANDBETWEEN(-15,25)/100)+RAND(),2),
"")</f>
        <v>1.49</v>
      </c>
      <c r="P195">
        <f ca="1">IF(IncidentTable[[#This Row],[Actual Impact ($)]]="","",ROUND(IncidentTable[[#This Row],[Actual Impact ($)]]-IncidentTable[[#This Row],[Estimated Impact ($)]],2))</f>
        <v>0.23</v>
      </c>
      <c r="Q195" s="2">
        <f ca="1">IF(IncidentTable[[#This Row],[Actual Impact ($)]]="","",(IncidentTable[[#This Row],[Actual Impact ($)]]-IncidentTable[[#This Row],[Estimated Impact ($)]]) / IncidentTable[[#This Row],[Estimated Impact ($)]])</f>
        <v>0.18253968253968253</v>
      </c>
      <c r="R195" s="3">
        <f ca="1">IF(IncidentTable[[#This Row],[Priority]]="Critical",1,
IF(IncidentTable[[#This Row],[Priority]]="High",3,
IF(IncidentTable[[#This Row],[Priority]]="Medium",5,
IF(IncidentTable[[#This Row],[Priority]]="Low",10,""))))</f>
        <v>5</v>
      </c>
      <c r="S195" t="str">
        <f ca="1">IF(IncidentTable[[#This Row],[Resolution Time (Days)]]="","",
IF(IncidentTable[[#This Row],[Resolution Time (Days)]]&lt;=IncidentTable[[#This Row],[SLA Target (Days)]],"Yes","No"))</f>
        <v>No</v>
      </c>
    </row>
    <row r="196" spans="1:19" x14ac:dyDescent="0.25">
      <c r="A196" t="str">
        <f t="shared" ca="1" si="13"/>
        <v>INC286747</v>
      </c>
      <c r="B196" t="str" cm="1">
        <f t="array" aca="1" ref="B196" ca="1">INDEX(SystemList,RANDBETWEEN(1,ROWS(SystemList)))</f>
        <v>Reporting System</v>
      </c>
      <c r="C196" t="str" cm="1">
        <f t="array" aca="1" ref="C196" ca="1">INDEX(IssueTypeList,RANDBETWEEN(1,ROWS(IssueTypeList)))</f>
        <v>System Error</v>
      </c>
      <c r="D196" t="str" cm="1">
        <f t="array" aca="1" ref="D196" ca="1">INDEX(PriorityList,RANDBETWEEN(1,ROWS(PriorityList)))</f>
        <v>Low</v>
      </c>
      <c r="E196" t="str" cm="1">
        <f t="array" aca="1" ref="E196" ca="1">INDEX(SeverityList,RANDBETWEEN(1,ROWS(SeverityList)))</f>
        <v>Major</v>
      </c>
      <c r="F196" t="str" cm="1">
        <f t="array" aca="1" ref="F196" ca="1">INDEX(RegionList,RANDBETWEEN(1,ROWS(RegionList)))</f>
        <v>Southeast</v>
      </c>
      <c r="G196" t="str" cm="1">
        <f t="array" aca="1" ref="G196" ca="1">INDEX(DepartmentList,RANDBETWEEN(1,ROWS(DepartmentList)))</f>
        <v>Customer Service</v>
      </c>
      <c r="H196" s="1">
        <f t="shared" ca="1" si="14"/>
        <v>45458</v>
      </c>
      <c r="I196" s="4" t="str">
        <f ca="1">IF(IncidentTable[[#This Row],[Resolution Time (Days)]]="","",IncidentTable[[#This Row],[Created Date]]+IncidentTable[[#This Row],[Resolution Time (Days)]])</f>
        <v/>
      </c>
      <c r="J196" t="str">
        <f ca="1">IF(OR(IncidentTable[[#This Row],[Status]]="Resolved",IncidentTable[[#This Row],[Status]]="Closed"),RANDBETWEEN(1,120),"")</f>
        <v/>
      </c>
      <c r="K196" t="str">
        <f t="shared" ca="1" si="12"/>
        <v>Pending</v>
      </c>
      <c r="L196" t="str" cm="1">
        <f t="array" aca="1" ref="L196" ca="1">INDEX(AnalystList,RANDBETWEEN(1,ROWS(AnalystList)))</f>
        <v>Casey Brown</v>
      </c>
      <c r="M196" t="str" cm="1">
        <f t="array" aca="1" ref="M196" ca="1">INDEX(RootCauseList,RANDBETWEEN(1,ROWS(RootCauseList)))</f>
        <v>Network Failure</v>
      </c>
      <c r="N196">
        <f t="shared" ca="1" si="15"/>
        <v>7602.68</v>
      </c>
      <c r="O196" t="str">
        <f ca="1">IF(OR(IncidentTable[[#This Row],[Status]]="Resolved",IncidentTable[[#This Row],[Status]]="Closed"),
ROUND(IncidentTable[[#This Row],[Estimated Impact ($)]]*(1+RANDBETWEEN(-15,25)/100)+RAND(),2),
"")</f>
        <v/>
      </c>
      <c r="P196" t="str">
        <f ca="1">IF(IncidentTable[[#This Row],[Actual Impact ($)]]="","",ROUND(IncidentTable[[#This Row],[Actual Impact ($)]]-IncidentTable[[#This Row],[Estimated Impact ($)]],2))</f>
        <v/>
      </c>
      <c r="Q196" s="2" t="str">
        <f ca="1">IF(IncidentTable[[#This Row],[Actual Impact ($)]]="","",(IncidentTable[[#This Row],[Actual Impact ($)]]-IncidentTable[[#This Row],[Estimated Impact ($)]]) / IncidentTable[[#This Row],[Estimated Impact ($)]])</f>
        <v/>
      </c>
      <c r="R196" s="3">
        <f ca="1">IF(IncidentTable[[#This Row],[Priority]]="Critical",1,
IF(IncidentTable[[#This Row],[Priority]]="High",3,
IF(IncidentTable[[#This Row],[Priority]]="Medium",5,
IF(IncidentTable[[#This Row],[Priority]]="Low",10,""))))</f>
        <v>10</v>
      </c>
      <c r="S196" t="str">
        <f ca="1">IF(IncidentTable[[#This Row],[Resolution Time (Days)]]="","",
IF(IncidentTable[[#This Row],[Resolution Time (Days)]]&lt;=IncidentTable[[#This Row],[SLA Target (Days)]],"Yes","No"))</f>
        <v/>
      </c>
    </row>
    <row r="197" spans="1:19" x14ac:dyDescent="0.25">
      <c r="A197" t="str">
        <f t="shared" ca="1" si="13"/>
        <v>INC716214</v>
      </c>
      <c r="B197" t="str" cm="1">
        <f t="array" aca="1" ref="B197" ca="1">INDEX(SystemList,RANDBETWEEN(1,ROWS(SystemList)))</f>
        <v>Claims System</v>
      </c>
      <c r="C197" t="str" cm="1">
        <f t="array" aca="1" ref="C197" ca="1">INDEX(IssueTypeList,RANDBETWEEN(1,ROWS(IssueTypeList)))</f>
        <v>System Error</v>
      </c>
      <c r="D197" t="str" cm="1">
        <f t="array" aca="1" ref="D197" ca="1">INDEX(PriorityList,RANDBETWEEN(1,ROWS(PriorityList)))</f>
        <v>Low</v>
      </c>
      <c r="E197" t="str" cm="1">
        <f t="array" aca="1" ref="E197" ca="1">INDEX(SeverityList,RANDBETWEEN(1,ROWS(SeverityList)))</f>
        <v>Critical</v>
      </c>
      <c r="F197" t="str" cm="1">
        <f t="array" aca="1" ref="F197" ca="1">INDEX(RegionList,RANDBETWEEN(1,ROWS(RegionList)))</f>
        <v>East</v>
      </c>
      <c r="G197" t="str" cm="1">
        <f t="array" aca="1" ref="G197" ca="1">INDEX(DepartmentList,RANDBETWEEN(1,ROWS(DepartmentList)))</f>
        <v>Compliance</v>
      </c>
      <c r="H197" s="1">
        <f t="shared" ca="1" si="14"/>
        <v>45267</v>
      </c>
      <c r="I197" s="4">
        <f ca="1">IF(IncidentTable[[#This Row],[Resolution Time (Days)]]="","",IncidentTable[[#This Row],[Created Date]]+IncidentTable[[#This Row],[Resolution Time (Days)]])</f>
        <v>45278</v>
      </c>
      <c r="J197">
        <f ca="1">IF(OR(IncidentTable[[#This Row],[Status]]="Resolved",IncidentTable[[#This Row],[Status]]="Closed"),RANDBETWEEN(1,120),"")</f>
        <v>11</v>
      </c>
      <c r="K197" t="str">
        <f t="shared" ca="1" si="12"/>
        <v>Resolved</v>
      </c>
      <c r="L197" t="str" cm="1">
        <f t="array" aca="1" ref="L197" ca="1">INDEX(AnalystList,RANDBETWEEN(1,ROWS(AnalystList)))</f>
        <v>Morgan Davis</v>
      </c>
      <c r="M197" t="str" cm="1">
        <f t="array" aca="1" ref="M197" ca="1">INDEX(RootCauseList,RANDBETWEEN(1,ROWS(RootCauseList)))</f>
        <v>Network Failure</v>
      </c>
      <c r="N197">
        <f t="shared" ca="1" si="15"/>
        <v>35.67</v>
      </c>
      <c r="O197">
        <f ca="1">IF(OR(IncidentTable[[#This Row],[Status]]="Resolved",IncidentTable[[#This Row],[Status]]="Closed"),
ROUND(IncidentTable[[#This Row],[Estimated Impact ($)]]*(1+RANDBETWEEN(-15,25)/100)+RAND(),2),
"")</f>
        <v>42.91</v>
      </c>
      <c r="P197">
        <f ca="1">IF(IncidentTable[[#This Row],[Actual Impact ($)]]="","",ROUND(IncidentTable[[#This Row],[Actual Impact ($)]]-IncidentTable[[#This Row],[Estimated Impact ($)]],2))</f>
        <v>7.24</v>
      </c>
      <c r="Q197" s="2">
        <f ca="1">IF(IncidentTable[[#This Row],[Actual Impact ($)]]="","",(IncidentTable[[#This Row],[Actual Impact ($)]]-IncidentTable[[#This Row],[Estimated Impact ($)]]) / IncidentTable[[#This Row],[Estimated Impact ($)]])</f>
        <v>0.20297168488926254</v>
      </c>
      <c r="R197" s="3">
        <f ca="1">IF(IncidentTable[[#This Row],[Priority]]="Critical",1,
IF(IncidentTable[[#This Row],[Priority]]="High",3,
IF(IncidentTable[[#This Row],[Priority]]="Medium",5,
IF(IncidentTable[[#This Row],[Priority]]="Low",10,""))))</f>
        <v>10</v>
      </c>
      <c r="S197" t="str">
        <f ca="1">IF(IncidentTable[[#This Row],[Resolution Time (Days)]]="","",
IF(IncidentTable[[#This Row],[Resolution Time (Days)]]&lt;=IncidentTable[[#This Row],[SLA Target (Days)]],"Yes","No"))</f>
        <v>No</v>
      </c>
    </row>
    <row r="198" spans="1:19" x14ac:dyDescent="0.25">
      <c r="A198" t="str">
        <f t="shared" ca="1" si="13"/>
        <v>INC100687</v>
      </c>
      <c r="B198" t="str" cm="1">
        <f t="array" aca="1" ref="B198" ca="1">INDEX(SystemList,RANDBETWEEN(1,ROWS(SystemList)))</f>
        <v>Regulatory System</v>
      </c>
      <c r="C198" t="str" cm="1">
        <f t="array" aca="1" ref="C198" ca="1">INDEX(IssueTypeList,RANDBETWEEN(1,ROWS(IssueTypeList)))</f>
        <v>Complaint</v>
      </c>
      <c r="D198" t="str" cm="1">
        <f t="array" aca="1" ref="D198" ca="1">INDEX(PriorityList,RANDBETWEEN(1,ROWS(PriorityList)))</f>
        <v>Low</v>
      </c>
      <c r="E198" t="str" cm="1">
        <f t="array" aca="1" ref="E198" ca="1">INDEX(SeverityList,RANDBETWEEN(1,ROWS(SeverityList)))</f>
        <v>Moderate</v>
      </c>
      <c r="F198" t="str" cm="1">
        <f t="array" aca="1" ref="F198" ca="1">INDEX(RegionList,RANDBETWEEN(1,ROWS(RegionList)))</f>
        <v>Central</v>
      </c>
      <c r="G198" t="str" cm="1">
        <f t="array" aca="1" ref="G198" ca="1">INDEX(DepartmentList,RANDBETWEEN(1,ROWS(DepartmentList)))</f>
        <v>Billing</v>
      </c>
      <c r="H198" s="1">
        <f t="shared" ca="1" si="14"/>
        <v>45387</v>
      </c>
      <c r="I198" s="4" t="str">
        <f ca="1">IF(IncidentTable[[#This Row],[Resolution Time (Days)]]="","",IncidentTable[[#This Row],[Created Date]]+IncidentTable[[#This Row],[Resolution Time (Days)]])</f>
        <v/>
      </c>
      <c r="J198" t="str">
        <f ca="1">IF(OR(IncidentTable[[#This Row],[Status]]="Resolved",IncidentTable[[#This Row],[Status]]="Closed"),RANDBETWEEN(1,120),"")</f>
        <v/>
      </c>
      <c r="K198" t="str">
        <f t="shared" ca="1" si="12"/>
        <v>Open</v>
      </c>
      <c r="L198" t="str" cm="1">
        <f t="array" aca="1" ref="L198" ca="1">INDEX(AnalystList,RANDBETWEEN(1,ROWS(AnalystList)))</f>
        <v>Casey Brown</v>
      </c>
      <c r="M198" t="str" cm="1">
        <f t="array" aca="1" ref="M198" ca="1">INDEX(RootCauseList,RANDBETWEEN(1,ROWS(RootCauseList)))</f>
        <v>User Error</v>
      </c>
      <c r="N198">
        <f t="shared" ca="1" si="15"/>
        <v>79.09</v>
      </c>
      <c r="O198" t="str">
        <f ca="1">IF(OR(IncidentTable[[#This Row],[Status]]="Resolved",IncidentTable[[#This Row],[Status]]="Closed"),
ROUND(IncidentTable[[#This Row],[Estimated Impact ($)]]*(1+RANDBETWEEN(-15,25)/100)+RAND(),2),
"")</f>
        <v/>
      </c>
      <c r="P198" t="str">
        <f ca="1">IF(IncidentTable[[#This Row],[Actual Impact ($)]]="","",ROUND(IncidentTable[[#This Row],[Actual Impact ($)]]-IncidentTable[[#This Row],[Estimated Impact ($)]],2))</f>
        <v/>
      </c>
      <c r="Q198" s="2" t="str">
        <f ca="1">IF(IncidentTable[[#This Row],[Actual Impact ($)]]="","",(IncidentTable[[#This Row],[Actual Impact ($)]]-IncidentTable[[#This Row],[Estimated Impact ($)]]) / IncidentTable[[#This Row],[Estimated Impact ($)]])</f>
        <v/>
      </c>
      <c r="R198" s="3">
        <f ca="1">IF(IncidentTable[[#This Row],[Priority]]="Critical",1,
IF(IncidentTable[[#This Row],[Priority]]="High",3,
IF(IncidentTable[[#This Row],[Priority]]="Medium",5,
IF(IncidentTable[[#This Row],[Priority]]="Low",10,""))))</f>
        <v>10</v>
      </c>
      <c r="S198" t="str">
        <f ca="1">IF(IncidentTable[[#This Row],[Resolution Time (Days)]]="","",
IF(IncidentTable[[#This Row],[Resolution Time (Days)]]&lt;=IncidentTable[[#This Row],[SLA Target (Days)]],"Yes","No"))</f>
        <v/>
      </c>
    </row>
    <row r="199" spans="1:19" x14ac:dyDescent="0.25">
      <c r="A199" t="str">
        <f t="shared" ca="1" si="13"/>
        <v>INC910495</v>
      </c>
      <c r="B199" t="str" cm="1">
        <f t="array" aca="1" ref="B199" ca="1">INDEX(SystemList,RANDBETWEEN(1,ROWS(SystemList)))</f>
        <v>Reporting System</v>
      </c>
      <c r="C199" t="str" cm="1">
        <f t="array" aca="1" ref="C199" ca="1">INDEX(IssueTypeList,RANDBETWEEN(1,ROWS(IssueTypeList)))</f>
        <v>Payment Failure</v>
      </c>
      <c r="D199" t="str" cm="1">
        <f t="array" aca="1" ref="D199" ca="1">INDEX(PriorityList,RANDBETWEEN(1,ROWS(PriorityList)))</f>
        <v>Critical</v>
      </c>
      <c r="E199" t="str" cm="1">
        <f t="array" aca="1" ref="E199" ca="1">INDEX(SeverityList,RANDBETWEEN(1,ROWS(SeverityList)))</f>
        <v>Major</v>
      </c>
      <c r="F199" t="str" cm="1">
        <f t="array" aca="1" ref="F199" ca="1">INDEX(RegionList,RANDBETWEEN(1,ROWS(RegionList)))</f>
        <v>Southeast</v>
      </c>
      <c r="G199" t="str" cm="1">
        <f t="array" aca="1" ref="G199" ca="1">INDEX(DepartmentList,RANDBETWEEN(1,ROWS(DepartmentList)))</f>
        <v>Finance</v>
      </c>
      <c r="H199" s="1">
        <f t="shared" ca="1" si="14"/>
        <v>45167</v>
      </c>
      <c r="I199" s="4">
        <f ca="1">IF(IncidentTable[[#This Row],[Resolution Time (Days)]]="","",IncidentTable[[#This Row],[Created Date]]+IncidentTable[[#This Row],[Resolution Time (Days)]])</f>
        <v>45285</v>
      </c>
      <c r="J199">
        <f ca="1">IF(OR(IncidentTable[[#This Row],[Status]]="Resolved",IncidentTable[[#This Row],[Status]]="Closed"),RANDBETWEEN(1,120),"")</f>
        <v>118</v>
      </c>
      <c r="K199" t="str">
        <f t="shared" ca="1" si="12"/>
        <v>Closed</v>
      </c>
      <c r="L199" t="str" cm="1">
        <f t="array" aca="1" ref="L199" ca="1">INDEX(AnalystList,RANDBETWEEN(1,ROWS(AnalystList)))</f>
        <v>Alex Johnson</v>
      </c>
      <c r="M199" t="str" cm="1">
        <f t="array" aca="1" ref="M199" ca="1">INDEX(RootCauseList,RANDBETWEEN(1,ROWS(RootCauseList)))</f>
        <v>Configuration Issue</v>
      </c>
      <c r="N199">
        <f t="shared" ca="1" si="15"/>
        <v>623.74</v>
      </c>
      <c r="O199">
        <f ca="1">IF(OR(IncidentTable[[#This Row],[Status]]="Resolved",IncidentTable[[#This Row],[Status]]="Closed"),
ROUND(IncidentTable[[#This Row],[Estimated Impact ($)]]*(1+RANDBETWEEN(-15,25)/100)+RAND(),2),
"")</f>
        <v>655.29999999999995</v>
      </c>
      <c r="P199">
        <f ca="1">IF(IncidentTable[[#This Row],[Actual Impact ($)]]="","",ROUND(IncidentTable[[#This Row],[Actual Impact ($)]]-IncidentTable[[#This Row],[Estimated Impact ($)]],2))</f>
        <v>31.56</v>
      </c>
      <c r="Q199" s="2">
        <f ca="1">IF(IncidentTable[[#This Row],[Actual Impact ($)]]="","",(IncidentTable[[#This Row],[Actual Impact ($)]]-IncidentTable[[#This Row],[Estimated Impact ($)]]) / IncidentTable[[#This Row],[Estimated Impact ($)]])</f>
        <v>5.0598005579247672E-2</v>
      </c>
      <c r="R199" s="3">
        <f ca="1">IF(IncidentTable[[#This Row],[Priority]]="Critical",1,
IF(IncidentTable[[#This Row],[Priority]]="High",3,
IF(IncidentTable[[#This Row],[Priority]]="Medium",5,
IF(IncidentTable[[#This Row],[Priority]]="Low",10,""))))</f>
        <v>1</v>
      </c>
      <c r="S199" t="str">
        <f ca="1">IF(IncidentTable[[#This Row],[Resolution Time (Days)]]="","",
IF(IncidentTable[[#This Row],[Resolution Time (Days)]]&lt;=IncidentTable[[#This Row],[SLA Target (Days)]],"Yes","No"))</f>
        <v>No</v>
      </c>
    </row>
    <row r="200" spans="1:19" x14ac:dyDescent="0.25">
      <c r="A200" t="str">
        <f t="shared" ca="1" si="13"/>
        <v>INC648135</v>
      </c>
      <c r="B200" t="str" cm="1">
        <f t="array" aca="1" ref="B200" ca="1">INDEX(SystemList,RANDBETWEEN(1,ROWS(SystemList)))</f>
        <v>Payment Processing</v>
      </c>
      <c r="C200" t="str" cm="1">
        <f t="array" aca="1" ref="C200" ca="1">INDEX(IssueTypeList,RANDBETWEEN(1,ROWS(IssueTypeList)))</f>
        <v>Integration Failure</v>
      </c>
      <c r="D200" t="str" cm="1">
        <f t="array" aca="1" ref="D200" ca="1">INDEX(PriorityList,RANDBETWEEN(1,ROWS(PriorityList)))</f>
        <v>Medium</v>
      </c>
      <c r="E200" t="str" cm="1">
        <f t="array" aca="1" ref="E200" ca="1">INDEX(SeverityList,RANDBETWEEN(1,ROWS(SeverityList)))</f>
        <v>Critical</v>
      </c>
      <c r="F200" t="str" cm="1">
        <f t="array" aca="1" ref="F200" ca="1">INDEX(RegionList,RANDBETWEEN(1,ROWS(RegionList)))</f>
        <v>West</v>
      </c>
      <c r="G200" t="str" cm="1">
        <f t="array" aca="1" ref="G200" ca="1">INDEX(DepartmentList,RANDBETWEEN(1,ROWS(DepartmentList)))</f>
        <v>Customer Service</v>
      </c>
      <c r="H200" s="1">
        <f t="shared" ca="1" si="14"/>
        <v>45135</v>
      </c>
      <c r="I200" s="4" t="str">
        <f ca="1">IF(IncidentTable[[#This Row],[Resolution Time (Days)]]="","",IncidentTable[[#This Row],[Created Date]]+IncidentTable[[#This Row],[Resolution Time (Days)]])</f>
        <v/>
      </c>
      <c r="J200" t="str">
        <f ca="1">IF(OR(IncidentTable[[#This Row],[Status]]="Resolved",IncidentTable[[#This Row],[Status]]="Closed"),RANDBETWEEN(1,120),"")</f>
        <v/>
      </c>
      <c r="K200" t="str">
        <f t="shared" ca="1" si="12"/>
        <v>In Progress</v>
      </c>
      <c r="L200" t="str" cm="1">
        <f t="array" aca="1" ref="L200" ca="1">INDEX(AnalystList,RANDBETWEEN(1,ROWS(AnalystList)))</f>
        <v>Riley Wilson</v>
      </c>
      <c r="M200" t="str" cm="1">
        <f t="array" aca="1" ref="M200" ca="1">INDEX(RootCauseList,RANDBETWEEN(1,ROWS(RootCauseList)))</f>
        <v>Integration Failure</v>
      </c>
      <c r="N200">
        <f t="shared" ca="1" si="15"/>
        <v>3617.06</v>
      </c>
      <c r="O200" t="str">
        <f ca="1">IF(OR(IncidentTable[[#This Row],[Status]]="Resolved",IncidentTable[[#This Row],[Status]]="Closed"),
ROUND(IncidentTable[[#This Row],[Estimated Impact ($)]]*(1+RANDBETWEEN(-15,25)/100)+RAND(),2),
"")</f>
        <v/>
      </c>
      <c r="P200" t="str">
        <f ca="1">IF(IncidentTable[[#This Row],[Actual Impact ($)]]="","",ROUND(IncidentTable[[#This Row],[Actual Impact ($)]]-IncidentTable[[#This Row],[Estimated Impact ($)]],2))</f>
        <v/>
      </c>
      <c r="Q200" s="2" t="str">
        <f ca="1">IF(IncidentTable[[#This Row],[Actual Impact ($)]]="","",(IncidentTable[[#This Row],[Actual Impact ($)]]-IncidentTable[[#This Row],[Estimated Impact ($)]]) / IncidentTable[[#This Row],[Estimated Impact ($)]])</f>
        <v/>
      </c>
      <c r="R200" s="3">
        <f ca="1">IF(IncidentTable[[#This Row],[Priority]]="Critical",1,
IF(IncidentTable[[#This Row],[Priority]]="High",3,
IF(IncidentTable[[#This Row],[Priority]]="Medium",5,
IF(IncidentTable[[#This Row],[Priority]]="Low",10,""))))</f>
        <v>5</v>
      </c>
      <c r="S200" t="str">
        <f ca="1">IF(IncidentTable[[#This Row],[Resolution Time (Days)]]="","",
IF(IncidentTable[[#This Row],[Resolution Time (Days)]]&lt;=IncidentTable[[#This Row],[SLA Target (Days)]],"Yes","No"))</f>
        <v/>
      </c>
    </row>
    <row r="201" spans="1:19" x14ac:dyDescent="0.25">
      <c r="A201" t="str">
        <f t="shared" ca="1" si="13"/>
        <v>INC312311</v>
      </c>
      <c r="B201" t="str" cm="1">
        <f t="array" aca="1" ref="B201" ca="1">INDEX(SystemList,RANDBETWEEN(1,ROWS(SystemList)))</f>
        <v>Payment Processing</v>
      </c>
      <c r="C201" t="str" cm="1">
        <f t="array" aca="1" ref="C201" ca="1">INDEX(IssueTypeList,RANDBETWEEN(1,ROWS(IssueTypeList)))</f>
        <v>Payment Failure</v>
      </c>
      <c r="D201" t="str" cm="1">
        <f t="array" aca="1" ref="D201" ca="1">INDEX(PriorityList,RANDBETWEEN(1,ROWS(PriorityList)))</f>
        <v>High</v>
      </c>
      <c r="E201" t="str" cm="1">
        <f t="array" aca="1" ref="E201" ca="1">INDEX(SeverityList,RANDBETWEEN(1,ROWS(SeverityList)))</f>
        <v>Major</v>
      </c>
      <c r="F201" t="str" cm="1">
        <f t="array" aca="1" ref="F201" ca="1">INDEX(RegionList,RANDBETWEEN(1,ROWS(RegionList)))</f>
        <v>Southeast</v>
      </c>
      <c r="G201" t="str" cm="1">
        <f t="array" aca="1" ref="G201" ca="1">INDEX(DepartmentList,RANDBETWEEN(1,ROWS(DepartmentList)))</f>
        <v>Finance</v>
      </c>
      <c r="H201" s="1">
        <f t="shared" ca="1" si="14"/>
        <v>45115</v>
      </c>
      <c r="I201" s="4" t="str">
        <f ca="1">IF(IncidentTable[[#This Row],[Resolution Time (Days)]]="","",IncidentTable[[#This Row],[Created Date]]+IncidentTable[[#This Row],[Resolution Time (Days)]])</f>
        <v/>
      </c>
      <c r="J201" t="str">
        <f ca="1">IF(OR(IncidentTable[[#This Row],[Status]]="Resolved",IncidentTable[[#This Row],[Status]]="Closed"),RANDBETWEEN(1,120),"")</f>
        <v/>
      </c>
      <c r="K201" t="str">
        <f t="shared" ca="1" si="12"/>
        <v>Open</v>
      </c>
      <c r="L201" t="str" cm="1">
        <f t="array" aca="1" ref="L201" ca="1">INDEX(AnalystList,RANDBETWEEN(1,ROWS(AnalystList)))</f>
        <v>Morgan Davis</v>
      </c>
      <c r="M201" t="str" cm="1">
        <f t="array" aca="1" ref="M201" ca="1">INDEX(RootCauseList,RANDBETWEEN(1,ROWS(RootCauseList)))</f>
        <v>Configuration Issue</v>
      </c>
      <c r="N201">
        <f t="shared" ca="1" si="15"/>
        <v>2279.65</v>
      </c>
      <c r="O201" t="str">
        <f ca="1">IF(OR(IncidentTable[[#This Row],[Status]]="Resolved",IncidentTable[[#This Row],[Status]]="Closed"),
ROUND(IncidentTable[[#This Row],[Estimated Impact ($)]]*(1+RANDBETWEEN(-15,25)/100)+RAND(),2),
"")</f>
        <v/>
      </c>
      <c r="P201" t="str">
        <f ca="1">IF(IncidentTable[[#This Row],[Actual Impact ($)]]="","",ROUND(IncidentTable[[#This Row],[Actual Impact ($)]]-IncidentTable[[#This Row],[Estimated Impact ($)]],2))</f>
        <v/>
      </c>
      <c r="Q201" s="2" t="str">
        <f ca="1">IF(IncidentTable[[#This Row],[Actual Impact ($)]]="","",(IncidentTable[[#This Row],[Actual Impact ($)]]-IncidentTable[[#This Row],[Estimated Impact ($)]]) / IncidentTable[[#This Row],[Estimated Impact ($)]])</f>
        <v/>
      </c>
      <c r="R201" s="3">
        <f ca="1">IF(IncidentTable[[#This Row],[Priority]]="Critical",1,
IF(IncidentTable[[#This Row],[Priority]]="High",3,
IF(IncidentTable[[#This Row],[Priority]]="Medium",5,
IF(IncidentTable[[#This Row],[Priority]]="Low",10,""))))</f>
        <v>3</v>
      </c>
      <c r="S201" t="str">
        <f ca="1">IF(IncidentTable[[#This Row],[Resolution Time (Days)]]="","",
IF(IncidentTable[[#This Row],[Resolution Time (Days)]]&lt;=IncidentTable[[#This Row],[SLA Target (Days)]],"Yes","No"))</f>
        <v/>
      </c>
    </row>
    <row r="202" spans="1:19" x14ac:dyDescent="0.25">
      <c r="A202" t="str">
        <f t="shared" ca="1" si="13"/>
        <v>INC409823</v>
      </c>
      <c r="B202" t="str" cm="1">
        <f t="array" aca="1" ref="B202" ca="1">INDEX(SystemList,RANDBETWEEN(1,ROWS(SystemList)))</f>
        <v>Regulatory System</v>
      </c>
      <c r="C202" t="str" cm="1">
        <f t="array" aca="1" ref="C202" ca="1">INDEX(IssueTypeList,RANDBETWEEN(1,ROWS(IssueTypeList)))</f>
        <v>Processing Delay</v>
      </c>
      <c r="D202" t="str" cm="1">
        <f t="array" aca="1" ref="D202" ca="1">INDEX(PriorityList,RANDBETWEEN(1,ROWS(PriorityList)))</f>
        <v>Low</v>
      </c>
      <c r="E202" t="str" cm="1">
        <f t="array" aca="1" ref="E202" ca="1">INDEX(SeverityList,RANDBETWEEN(1,ROWS(SeverityList)))</f>
        <v>Minor</v>
      </c>
      <c r="F202" t="str" cm="1">
        <f t="array" aca="1" ref="F202" ca="1">INDEX(RegionList,RANDBETWEEN(1,ROWS(RegionList)))</f>
        <v>Central</v>
      </c>
      <c r="G202" t="str" cm="1">
        <f t="array" aca="1" ref="G202" ca="1">INDEX(DepartmentList,RANDBETWEEN(1,ROWS(DepartmentList)))</f>
        <v>IT</v>
      </c>
      <c r="H202" s="1">
        <f t="shared" ca="1" si="14"/>
        <v>45413</v>
      </c>
      <c r="I202" s="4">
        <f ca="1">IF(IncidentTable[[#This Row],[Resolution Time (Days)]]="","",IncidentTable[[#This Row],[Created Date]]+IncidentTable[[#This Row],[Resolution Time (Days)]])</f>
        <v>45462</v>
      </c>
      <c r="J202">
        <f ca="1">IF(OR(IncidentTable[[#This Row],[Status]]="Resolved",IncidentTable[[#This Row],[Status]]="Closed"),RANDBETWEEN(1,120),"")</f>
        <v>49</v>
      </c>
      <c r="K202" t="str">
        <f t="shared" ca="1" si="12"/>
        <v>Resolved</v>
      </c>
      <c r="L202" t="str" cm="1">
        <f t="array" aca="1" ref="L202" ca="1">INDEX(AnalystList,RANDBETWEEN(1,ROWS(AnalystList)))</f>
        <v>Casey Brown</v>
      </c>
      <c r="M202" t="str" cm="1">
        <f t="array" aca="1" ref="M202" ca="1">INDEX(RootCauseList,RANDBETWEEN(1,ROWS(RootCauseList)))</f>
        <v>System Bug</v>
      </c>
      <c r="N202">
        <f t="shared" ca="1" si="15"/>
        <v>1319</v>
      </c>
      <c r="O202">
        <f ca="1">IF(OR(IncidentTable[[#This Row],[Status]]="Resolved",IncidentTable[[#This Row],[Status]]="Closed"),
ROUND(IncidentTable[[#This Row],[Estimated Impact ($)]]*(1+RANDBETWEEN(-15,25)/100)+RAND(),2),
"")</f>
        <v>1187.72</v>
      </c>
      <c r="P202">
        <f ca="1">IF(IncidentTable[[#This Row],[Actual Impact ($)]]="","",ROUND(IncidentTable[[#This Row],[Actual Impact ($)]]-IncidentTable[[#This Row],[Estimated Impact ($)]],2))</f>
        <v>-131.28</v>
      </c>
      <c r="Q202" s="2">
        <f ca="1">IF(IncidentTable[[#This Row],[Actual Impact ($)]]="","",(IncidentTable[[#This Row],[Actual Impact ($)]]-IncidentTable[[#This Row],[Estimated Impact ($)]]) / IncidentTable[[#This Row],[Estimated Impact ($)]])</f>
        <v>-9.9529946929492019E-2</v>
      </c>
      <c r="R202" s="3">
        <f ca="1">IF(IncidentTable[[#This Row],[Priority]]="Critical",1,
IF(IncidentTable[[#This Row],[Priority]]="High",3,
IF(IncidentTable[[#This Row],[Priority]]="Medium",5,
IF(IncidentTable[[#This Row],[Priority]]="Low",10,""))))</f>
        <v>10</v>
      </c>
      <c r="S202" t="str">
        <f ca="1">IF(IncidentTable[[#This Row],[Resolution Time (Days)]]="","",
IF(IncidentTable[[#This Row],[Resolution Time (Days)]]&lt;=IncidentTable[[#This Row],[SLA Target (Days)]],"Yes","No"))</f>
        <v>No</v>
      </c>
    </row>
    <row r="203" spans="1:19" x14ac:dyDescent="0.25">
      <c r="A203" t="str">
        <f t="shared" ca="1" si="13"/>
        <v>INC139755</v>
      </c>
      <c r="B203" t="str" cm="1">
        <f t="array" aca="1" ref="B203" ca="1">INDEX(SystemList,RANDBETWEEN(1,ROWS(SystemList)))</f>
        <v>Customer Portal</v>
      </c>
      <c r="C203" t="str" cm="1">
        <f t="array" aca="1" ref="C203" ca="1">INDEX(IssueTypeList,RANDBETWEEN(1,ROWS(IssueTypeList)))</f>
        <v>Payment Failure</v>
      </c>
      <c r="D203" t="str" cm="1">
        <f t="array" aca="1" ref="D203" ca="1">INDEX(PriorityList,RANDBETWEEN(1,ROWS(PriorityList)))</f>
        <v>Low</v>
      </c>
      <c r="E203" t="str" cm="1">
        <f t="array" aca="1" ref="E203" ca="1">INDEX(SeverityList,RANDBETWEEN(1,ROWS(SeverityList)))</f>
        <v>Critical</v>
      </c>
      <c r="F203" t="str" cm="1">
        <f t="array" aca="1" ref="F203" ca="1">INDEX(RegionList,RANDBETWEEN(1,ROWS(RegionList)))</f>
        <v>Midwest</v>
      </c>
      <c r="G203" t="str" cm="1">
        <f t="array" aca="1" ref="G203" ca="1">INDEX(DepartmentList,RANDBETWEEN(1,ROWS(DepartmentList)))</f>
        <v>Finance</v>
      </c>
      <c r="H203" s="1">
        <f t="shared" ca="1" si="14"/>
        <v>45170</v>
      </c>
      <c r="I203" s="4">
        <f ca="1">IF(IncidentTable[[#This Row],[Resolution Time (Days)]]="","",IncidentTable[[#This Row],[Created Date]]+IncidentTable[[#This Row],[Resolution Time (Days)]])</f>
        <v>45238</v>
      </c>
      <c r="J203">
        <f ca="1">IF(OR(IncidentTable[[#This Row],[Status]]="Resolved",IncidentTable[[#This Row],[Status]]="Closed"),RANDBETWEEN(1,120),"")</f>
        <v>68</v>
      </c>
      <c r="K203" t="str">
        <f t="shared" ca="1" si="12"/>
        <v>Resolved</v>
      </c>
      <c r="L203" t="str" cm="1">
        <f t="array" aca="1" ref="L203" ca="1">INDEX(AnalystList,RANDBETWEEN(1,ROWS(AnalystList)))</f>
        <v>Alex Johnson</v>
      </c>
      <c r="M203" t="str" cm="1">
        <f t="array" aca="1" ref="M203" ca="1">INDEX(RootCauseList,RANDBETWEEN(1,ROWS(RootCauseList)))</f>
        <v>Network Failure</v>
      </c>
      <c r="N203">
        <f t="shared" ca="1" si="15"/>
        <v>11800.32</v>
      </c>
      <c r="O203">
        <f ca="1">IF(OR(IncidentTable[[#This Row],[Status]]="Resolved",IncidentTable[[#This Row],[Status]]="Closed"),
ROUND(IncidentTable[[#This Row],[Estimated Impact ($)]]*(1+RANDBETWEEN(-15,25)/100)+RAND(),2),
"")</f>
        <v>14633.28</v>
      </c>
      <c r="P203">
        <f ca="1">IF(IncidentTable[[#This Row],[Actual Impact ($)]]="","",ROUND(IncidentTable[[#This Row],[Actual Impact ($)]]-IncidentTable[[#This Row],[Estimated Impact ($)]],2))</f>
        <v>2832.96</v>
      </c>
      <c r="Q203" s="2">
        <f ca="1">IF(IncidentTable[[#This Row],[Actual Impact ($)]]="","",(IncidentTable[[#This Row],[Actual Impact ($)]]-IncidentTable[[#This Row],[Estimated Impact ($)]]) / IncidentTable[[#This Row],[Estimated Impact ($)]])</f>
        <v>0.24007484542792068</v>
      </c>
      <c r="R203" s="3">
        <f ca="1">IF(IncidentTable[[#This Row],[Priority]]="Critical",1,
IF(IncidentTable[[#This Row],[Priority]]="High",3,
IF(IncidentTable[[#This Row],[Priority]]="Medium",5,
IF(IncidentTable[[#This Row],[Priority]]="Low",10,""))))</f>
        <v>10</v>
      </c>
      <c r="S203" t="str">
        <f ca="1">IF(IncidentTable[[#This Row],[Resolution Time (Days)]]="","",
IF(IncidentTable[[#This Row],[Resolution Time (Days)]]&lt;=IncidentTable[[#This Row],[SLA Target (Days)]],"Yes","No"))</f>
        <v>No</v>
      </c>
    </row>
    <row r="204" spans="1:19" x14ac:dyDescent="0.25">
      <c r="A204" t="str">
        <f t="shared" ca="1" si="13"/>
        <v>INC495899</v>
      </c>
      <c r="B204" t="str" cm="1">
        <f t="array" aca="1" ref="B204" ca="1">INDEX(SystemList,RANDBETWEEN(1,ROWS(SystemList)))</f>
        <v>Reporting System</v>
      </c>
      <c r="C204" t="str" cm="1">
        <f t="array" aca="1" ref="C204" ca="1">INDEX(IssueTypeList,RANDBETWEEN(1,ROWS(IssueTypeList)))</f>
        <v>Data Issue</v>
      </c>
      <c r="D204" t="str" cm="1">
        <f t="array" aca="1" ref="D204" ca="1">INDEX(PriorityList,RANDBETWEEN(1,ROWS(PriorityList)))</f>
        <v>Low</v>
      </c>
      <c r="E204" t="str" cm="1">
        <f t="array" aca="1" ref="E204" ca="1">INDEX(SeverityList,RANDBETWEEN(1,ROWS(SeverityList)))</f>
        <v>Moderate</v>
      </c>
      <c r="F204" t="str" cm="1">
        <f t="array" aca="1" ref="F204" ca="1">INDEX(RegionList,RANDBETWEEN(1,ROWS(RegionList)))</f>
        <v>Central</v>
      </c>
      <c r="G204" t="str" cm="1">
        <f t="array" aca="1" ref="G204" ca="1">INDEX(DepartmentList,RANDBETWEEN(1,ROWS(DepartmentList)))</f>
        <v>Billing</v>
      </c>
      <c r="H204" s="1">
        <f t="shared" ca="1" si="14"/>
        <v>44987</v>
      </c>
      <c r="I204" s="4">
        <f ca="1">IF(IncidentTable[[#This Row],[Resolution Time (Days)]]="","",IncidentTable[[#This Row],[Created Date]]+IncidentTable[[#This Row],[Resolution Time (Days)]])</f>
        <v>45093</v>
      </c>
      <c r="J204">
        <f ca="1">IF(OR(IncidentTable[[#This Row],[Status]]="Resolved",IncidentTable[[#This Row],[Status]]="Closed"),RANDBETWEEN(1,120),"")</f>
        <v>106</v>
      </c>
      <c r="K204" t="str">
        <f t="shared" ca="1" si="12"/>
        <v>Resolved</v>
      </c>
      <c r="L204" t="str" cm="1">
        <f t="array" aca="1" ref="L204" ca="1">INDEX(AnalystList,RANDBETWEEN(1,ROWS(AnalystList)))</f>
        <v>Morgan Davis</v>
      </c>
      <c r="M204" t="str" cm="1">
        <f t="array" aca="1" ref="M204" ca="1">INDEX(RootCauseList,RANDBETWEEN(1,ROWS(RootCauseList)))</f>
        <v>System Bug</v>
      </c>
      <c r="N204">
        <f t="shared" ca="1" si="15"/>
        <v>3172.99</v>
      </c>
      <c r="O204">
        <f ca="1">IF(OR(IncidentTable[[#This Row],[Status]]="Resolved",IncidentTable[[#This Row],[Status]]="Closed"),
ROUND(IncidentTable[[#This Row],[Estimated Impact ($)]]*(1+RANDBETWEEN(-15,25)/100)+RAND(),2),
"")</f>
        <v>3015</v>
      </c>
      <c r="P204">
        <f ca="1">IF(IncidentTable[[#This Row],[Actual Impact ($)]]="","",ROUND(IncidentTable[[#This Row],[Actual Impact ($)]]-IncidentTable[[#This Row],[Estimated Impact ($)]],2))</f>
        <v>-157.99</v>
      </c>
      <c r="Q204" s="2">
        <f ca="1">IF(IncidentTable[[#This Row],[Actual Impact ($)]]="","",(IncidentTable[[#This Row],[Actual Impact ($)]]-IncidentTable[[#This Row],[Estimated Impact ($)]]) / IncidentTable[[#This Row],[Estimated Impact ($)]])</f>
        <v>-4.9792151881978761E-2</v>
      </c>
      <c r="R204" s="3">
        <f ca="1">IF(IncidentTable[[#This Row],[Priority]]="Critical",1,
IF(IncidentTable[[#This Row],[Priority]]="High",3,
IF(IncidentTable[[#This Row],[Priority]]="Medium",5,
IF(IncidentTable[[#This Row],[Priority]]="Low",10,""))))</f>
        <v>10</v>
      </c>
      <c r="S204" t="str">
        <f ca="1">IF(IncidentTable[[#This Row],[Resolution Time (Days)]]="","",
IF(IncidentTable[[#This Row],[Resolution Time (Days)]]&lt;=IncidentTable[[#This Row],[SLA Target (Days)]],"Yes","No"))</f>
        <v>No</v>
      </c>
    </row>
    <row r="205" spans="1:19" x14ac:dyDescent="0.25">
      <c r="A205" t="str">
        <f t="shared" ca="1" si="13"/>
        <v>INC767115</v>
      </c>
      <c r="B205" t="str" cm="1">
        <f t="array" aca="1" ref="B205" ca="1">INDEX(SystemList,RANDBETWEEN(1,ROWS(SystemList)))</f>
        <v>Claims System</v>
      </c>
      <c r="C205" t="str" cm="1">
        <f t="array" aca="1" ref="C205" ca="1">INDEX(IssueTypeList,RANDBETWEEN(1,ROWS(IssueTypeList)))</f>
        <v>Performance Issue</v>
      </c>
      <c r="D205" t="str" cm="1">
        <f t="array" aca="1" ref="D205" ca="1">INDEX(PriorityList,RANDBETWEEN(1,ROWS(PriorityList)))</f>
        <v>Low</v>
      </c>
      <c r="E205" t="str" cm="1">
        <f t="array" aca="1" ref="E205" ca="1">INDEX(SeverityList,RANDBETWEEN(1,ROWS(SeverityList)))</f>
        <v>Moderate</v>
      </c>
      <c r="F205" t="str" cm="1">
        <f t="array" aca="1" ref="F205" ca="1">INDEX(RegionList,RANDBETWEEN(1,ROWS(RegionList)))</f>
        <v>West</v>
      </c>
      <c r="G205" t="str" cm="1">
        <f t="array" aca="1" ref="G205" ca="1">INDEX(DepartmentList,RANDBETWEEN(1,ROWS(DepartmentList)))</f>
        <v>Finance</v>
      </c>
      <c r="H205" s="1">
        <f t="shared" ca="1" si="14"/>
        <v>44961</v>
      </c>
      <c r="I205" s="4" t="str">
        <f ca="1">IF(IncidentTable[[#This Row],[Resolution Time (Days)]]="","",IncidentTable[[#This Row],[Created Date]]+IncidentTable[[#This Row],[Resolution Time (Days)]])</f>
        <v/>
      </c>
      <c r="J205" t="str">
        <f ca="1">IF(OR(IncidentTable[[#This Row],[Status]]="Resolved",IncidentTable[[#This Row],[Status]]="Closed"),RANDBETWEEN(1,120),"")</f>
        <v/>
      </c>
      <c r="K205" t="str">
        <f t="shared" ca="1" si="12"/>
        <v>In Progress</v>
      </c>
      <c r="L205" t="str" cm="1">
        <f t="array" aca="1" ref="L205" ca="1">INDEX(AnalystList,RANDBETWEEN(1,ROWS(AnalystList)))</f>
        <v>Riley Wilson</v>
      </c>
      <c r="M205" t="str" cm="1">
        <f t="array" aca="1" ref="M205" ca="1">INDEX(RootCauseList,RANDBETWEEN(1,ROWS(RootCauseList)))</f>
        <v>Data Error</v>
      </c>
      <c r="N205">
        <f t="shared" ca="1" si="15"/>
        <v>8188.53</v>
      </c>
      <c r="O205" t="str">
        <f ca="1">IF(OR(IncidentTable[[#This Row],[Status]]="Resolved",IncidentTable[[#This Row],[Status]]="Closed"),
ROUND(IncidentTable[[#This Row],[Estimated Impact ($)]]*(1+RANDBETWEEN(-15,25)/100)+RAND(),2),
"")</f>
        <v/>
      </c>
      <c r="P205" t="str">
        <f ca="1">IF(IncidentTable[[#This Row],[Actual Impact ($)]]="","",ROUND(IncidentTable[[#This Row],[Actual Impact ($)]]-IncidentTable[[#This Row],[Estimated Impact ($)]],2))</f>
        <v/>
      </c>
      <c r="Q205" s="2" t="str">
        <f ca="1">IF(IncidentTable[[#This Row],[Actual Impact ($)]]="","",(IncidentTable[[#This Row],[Actual Impact ($)]]-IncidentTable[[#This Row],[Estimated Impact ($)]]) / IncidentTable[[#This Row],[Estimated Impact ($)]])</f>
        <v/>
      </c>
      <c r="R205" s="3">
        <f ca="1">IF(IncidentTable[[#This Row],[Priority]]="Critical",1,
IF(IncidentTable[[#This Row],[Priority]]="High",3,
IF(IncidentTable[[#This Row],[Priority]]="Medium",5,
IF(IncidentTable[[#This Row],[Priority]]="Low",10,""))))</f>
        <v>10</v>
      </c>
      <c r="S205" t="str">
        <f ca="1">IF(IncidentTable[[#This Row],[Resolution Time (Days)]]="","",
IF(IncidentTable[[#This Row],[Resolution Time (Days)]]&lt;=IncidentTable[[#This Row],[SLA Target (Days)]],"Yes","No"))</f>
        <v/>
      </c>
    </row>
    <row r="206" spans="1:19" x14ac:dyDescent="0.25">
      <c r="A206" t="str">
        <f t="shared" ca="1" si="13"/>
        <v>INC931100</v>
      </c>
      <c r="B206" t="str" cm="1">
        <f t="array" aca="1" ref="B206" ca="1">INDEX(SystemList,RANDBETWEEN(1,ROWS(SystemList)))</f>
        <v>Billing System</v>
      </c>
      <c r="C206" t="str" cm="1">
        <f t="array" aca="1" ref="C206" ca="1">INDEX(IssueTypeList,RANDBETWEEN(1,ROWS(IssueTypeList)))</f>
        <v>System Error</v>
      </c>
      <c r="D206" t="str" cm="1">
        <f t="array" aca="1" ref="D206" ca="1">INDEX(PriorityList,RANDBETWEEN(1,ROWS(PriorityList)))</f>
        <v>Low</v>
      </c>
      <c r="E206" t="str" cm="1">
        <f t="array" aca="1" ref="E206" ca="1">INDEX(SeverityList,RANDBETWEEN(1,ROWS(SeverityList)))</f>
        <v>Moderate</v>
      </c>
      <c r="F206" t="str" cm="1">
        <f t="array" aca="1" ref="F206" ca="1">INDEX(RegionList,RANDBETWEEN(1,ROWS(RegionList)))</f>
        <v>West</v>
      </c>
      <c r="G206" t="str" cm="1">
        <f t="array" aca="1" ref="G206" ca="1">INDEX(DepartmentList,RANDBETWEEN(1,ROWS(DepartmentList)))</f>
        <v>Claims</v>
      </c>
      <c r="H206" s="1">
        <f t="shared" ca="1" si="14"/>
        <v>45178</v>
      </c>
      <c r="I206" s="4" t="str">
        <f ca="1">IF(IncidentTable[[#This Row],[Resolution Time (Days)]]="","",IncidentTable[[#This Row],[Created Date]]+IncidentTable[[#This Row],[Resolution Time (Days)]])</f>
        <v/>
      </c>
      <c r="J206" t="str">
        <f ca="1">IF(OR(IncidentTable[[#This Row],[Status]]="Resolved",IncidentTable[[#This Row],[Status]]="Closed"),RANDBETWEEN(1,120),"")</f>
        <v/>
      </c>
      <c r="K206" t="str">
        <f t="shared" ca="1" si="12"/>
        <v>In Progress</v>
      </c>
      <c r="L206" t="str" cm="1">
        <f t="array" aca="1" ref="L206" ca="1">INDEX(AnalystList,RANDBETWEEN(1,ROWS(AnalystList)))</f>
        <v>Riley Wilson</v>
      </c>
      <c r="M206" t="str" cm="1">
        <f t="array" aca="1" ref="M206" ca="1">INDEX(RootCauseList,RANDBETWEEN(1,ROWS(RootCauseList)))</f>
        <v>Network Failure</v>
      </c>
      <c r="N206">
        <f t="shared" ca="1" si="15"/>
        <v>2.5099999999999998</v>
      </c>
      <c r="O206" t="str">
        <f ca="1">IF(OR(IncidentTable[[#This Row],[Status]]="Resolved",IncidentTable[[#This Row],[Status]]="Closed"),
ROUND(IncidentTable[[#This Row],[Estimated Impact ($)]]*(1+RANDBETWEEN(-15,25)/100)+RAND(),2),
"")</f>
        <v/>
      </c>
      <c r="P206" t="str">
        <f ca="1">IF(IncidentTable[[#This Row],[Actual Impact ($)]]="","",ROUND(IncidentTable[[#This Row],[Actual Impact ($)]]-IncidentTable[[#This Row],[Estimated Impact ($)]],2))</f>
        <v/>
      </c>
      <c r="Q206" s="2" t="str">
        <f ca="1">IF(IncidentTable[[#This Row],[Actual Impact ($)]]="","",(IncidentTable[[#This Row],[Actual Impact ($)]]-IncidentTable[[#This Row],[Estimated Impact ($)]]) / IncidentTable[[#This Row],[Estimated Impact ($)]])</f>
        <v/>
      </c>
      <c r="R206" s="3">
        <f ca="1">IF(IncidentTable[[#This Row],[Priority]]="Critical",1,
IF(IncidentTable[[#This Row],[Priority]]="High",3,
IF(IncidentTable[[#This Row],[Priority]]="Medium",5,
IF(IncidentTable[[#This Row],[Priority]]="Low",10,""))))</f>
        <v>10</v>
      </c>
      <c r="S206" t="str">
        <f ca="1">IF(IncidentTable[[#This Row],[Resolution Time (Days)]]="","",
IF(IncidentTable[[#This Row],[Resolution Time (Days)]]&lt;=IncidentTable[[#This Row],[SLA Target (Days)]],"Yes","No"))</f>
        <v/>
      </c>
    </row>
    <row r="207" spans="1:19" x14ac:dyDescent="0.25">
      <c r="A207" t="str">
        <f t="shared" ca="1" si="13"/>
        <v>INC366629</v>
      </c>
      <c r="B207" t="str" cm="1">
        <f t="array" aca="1" ref="B207" ca="1">INDEX(SystemList,RANDBETWEEN(1,ROWS(SystemList)))</f>
        <v>Regulatory System</v>
      </c>
      <c r="C207" t="str" cm="1">
        <f t="array" aca="1" ref="C207" ca="1">INDEX(IssueTypeList,RANDBETWEEN(1,ROWS(IssueTypeList)))</f>
        <v>Performance Issue</v>
      </c>
      <c r="D207" t="str" cm="1">
        <f t="array" aca="1" ref="D207" ca="1">INDEX(PriorityList,RANDBETWEEN(1,ROWS(PriorityList)))</f>
        <v>Low</v>
      </c>
      <c r="E207" t="str" cm="1">
        <f t="array" aca="1" ref="E207" ca="1">INDEX(SeverityList,RANDBETWEEN(1,ROWS(SeverityList)))</f>
        <v>Minor</v>
      </c>
      <c r="F207" t="str" cm="1">
        <f t="array" aca="1" ref="F207" ca="1">INDEX(RegionList,RANDBETWEEN(1,ROWS(RegionList)))</f>
        <v>Central</v>
      </c>
      <c r="G207" t="str" cm="1">
        <f t="array" aca="1" ref="G207" ca="1">INDEX(DepartmentList,RANDBETWEEN(1,ROWS(DepartmentList)))</f>
        <v>IT</v>
      </c>
      <c r="H207" s="1">
        <f t="shared" ca="1" si="14"/>
        <v>45052</v>
      </c>
      <c r="I207" s="4">
        <f ca="1">IF(IncidentTable[[#This Row],[Resolution Time (Days)]]="","",IncidentTable[[#This Row],[Created Date]]+IncidentTable[[#This Row],[Resolution Time (Days)]])</f>
        <v>45086</v>
      </c>
      <c r="J207">
        <f ca="1">IF(OR(IncidentTable[[#This Row],[Status]]="Resolved",IncidentTable[[#This Row],[Status]]="Closed"),RANDBETWEEN(1,120),"")</f>
        <v>34</v>
      </c>
      <c r="K207" t="str">
        <f t="shared" ca="1" si="12"/>
        <v>Closed</v>
      </c>
      <c r="L207" t="str" cm="1">
        <f t="array" aca="1" ref="L207" ca="1">INDEX(AnalystList,RANDBETWEEN(1,ROWS(AnalystList)))</f>
        <v>Taylor Smith</v>
      </c>
      <c r="M207" t="str" cm="1">
        <f t="array" aca="1" ref="M207" ca="1">INDEX(RootCauseList,RANDBETWEEN(1,ROWS(RootCauseList)))</f>
        <v>User Error</v>
      </c>
      <c r="N207">
        <f t="shared" ca="1" si="15"/>
        <v>72.34</v>
      </c>
      <c r="O207">
        <f ca="1">IF(OR(IncidentTable[[#This Row],[Status]]="Resolved",IncidentTable[[#This Row],[Status]]="Closed"),
ROUND(IncidentTable[[#This Row],[Estimated Impact ($)]]*(1+RANDBETWEEN(-15,25)/100)+RAND(),2),
"")</f>
        <v>66.42</v>
      </c>
      <c r="P207">
        <f ca="1">IF(IncidentTable[[#This Row],[Actual Impact ($)]]="","",ROUND(IncidentTable[[#This Row],[Actual Impact ($)]]-IncidentTable[[#This Row],[Estimated Impact ($)]],2))</f>
        <v>-5.92</v>
      </c>
      <c r="Q207" s="2">
        <f ca="1">IF(IncidentTable[[#This Row],[Actual Impact ($)]]="","",(IncidentTable[[#This Row],[Actual Impact ($)]]-IncidentTable[[#This Row],[Estimated Impact ($)]]) / IncidentTable[[#This Row],[Estimated Impact ($)]])</f>
        <v>-8.1835775504561808E-2</v>
      </c>
      <c r="R207" s="3">
        <f ca="1">IF(IncidentTable[[#This Row],[Priority]]="Critical",1,
IF(IncidentTable[[#This Row],[Priority]]="High",3,
IF(IncidentTable[[#This Row],[Priority]]="Medium",5,
IF(IncidentTable[[#This Row],[Priority]]="Low",10,""))))</f>
        <v>10</v>
      </c>
      <c r="S207" t="str">
        <f ca="1">IF(IncidentTable[[#This Row],[Resolution Time (Days)]]="","",
IF(IncidentTable[[#This Row],[Resolution Time (Days)]]&lt;=IncidentTable[[#This Row],[SLA Target (Days)]],"Yes","No"))</f>
        <v>No</v>
      </c>
    </row>
    <row r="208" spans="1:19" x14ac:dyDescent="0.25">
      <c r="A208" t="str">
        <f t="shared" ca="1" si="13"/>
        <v>INC799685</v>
      </c>
      <c r="B208" t="str" cm="1">
        <f t="array" aca="1" ref="B208" ca="1">INDEX(SystemList,RANDBETWEEN(1,ROWS(SystemList)))</f>
        <v>Regulatory System</v>
      </c>
      <c r="C208" t="str" cm="1">
        <f t="array" aca="1" ref="C208" ca="1">INDEX(IssueTypeList,RANDBETWEEN(1,ROWS(IssueTypeList)))</f>
        <v>System Error</v>
      </c>
      <c r="D208" t="str" cm="1">
        <f t="array" aca="1" ref="D208" ca="1">INDEX(PriorityList,RANDBETWEEN(1,ROWS(PriorityList)))</f>
        <v>Low</v>
      </c>
      <c r="E208" t="str" cm="1">
        <f t="array" aca="1" ref="E208" ca="1">INDEX(SeverityList,RANDBETWEEN(1,ROWS(SeverityList)))</f>
        <v>Minor</v>
      </c>
      <c r="F208" t="str" cm="1">
        <f t="array" aca="1" ref="F208" ca="1">INDEX(RegionList,RANDBETWEEN(1,ROWS(RegionList)))</f>
        <v>Midwest</v>
      </c>
      <c r="G208" t="str" cm="1">
        <f t="array" aca="1" ref="G208" ca="1">INDEX(DepartmentList,RANDBETWEEN(1,ROWS(DepartmentList)))</f>
        <v>Claims</v>
      </c>
      <c r="H208" s="1">
        <f t="shared" ca="1" si="14"/>
        <v>45227</v>
      </c>
      <c r="I208" s="4">
        <f ca="1">IF(IncidentTable[[#This Row],[Resolution Time (Days)]]="","",IncidentTable[[#This Row],[Created Date]]+IncidentTable[[#This Row],[Resolution Time (Days)]])</f>
        <v>45316</v>
      </c>
      <c r="J208">
        <f ca="1">IF(OR(IncidentTable[[#This Row],[Status]]="Resolved",IncidentTable[[#This Row],[Status]]="Closed"),RANDBETWEEN(1,120),"")</f>
        <v>89</v>
      </c>
      <c r="K208" t="str">
        <f t="shared" ca="1" si="12"/>
        <v>Closed</v>
      </c>
      <c r="L208" t="str" cm="1">
        <f t="array" aca="1" ref="L208" ca="1">INDEX(AnalystList,RANDBETWEEN(1,ROWS(AnalystList)))</f>
        <v>Taylor Smith</v>
      </c>
      <c r="M208" t="str" cm="1">
        <f t="array" aca="1" ref="M208" ca="1">INDEX(RootCauseList,RANDBETWEEN(1,ROWS(RootCauseList)))</f>
        <v>Process Gap</v>
      </c>
      <c r="N208">
        <f t="shared" ca="1" si="15"/>
        <v>32030.38</v>
      </c>
      <c r="O208">
        <f ca="1">IF(OR(IncidentTable[[#This Row],[Status]]="Resolved",IncidentTable[[#This Row],[Status]]="Closed"),
ROUND(IncidentTable[[#This Row],[Estimated Impact ($)]]*(1+RANDBETWEEN(-15,25)/100)+RAND(),2),
"")</f>
        <v>40038.300000000003</v>
      </c>
      <c r="P208">
        <f ca="1">IF(IncidentTable[[#This Row],[Actual Impact ($)]]="","",ROUND(IncidentTable[[#This Row],[Actual Impact ($)]]-IncidentTable[[#This Row],[Estimated Impact ($)]],2))</f>
        <v>8007.92</v>
      </c>
      <c r="Q208" s="2">
        <f ca="1">IF(IncidentTable[[#This Row],[Actual Impact ($)]]="","",(IncidentTable[[#This Row],[Actual Impact ($)]]-IncidentTable[[#This Row],[Estimated Impact ($)]]) / IncidentTable[[#This Row],[Estimated Impact ($)]])</f>
        <v>0.25001014661705551</v>
      </c>
      <c r="R208" s="3">
        <f ca="1">IF(IncidentTable[[#This Row],[Priority]]="Critical",1,
IF(IncidentTable[[#This Row],[Priority]]="High",3,
IF(IncidentTable[[#This Row],[Priority]]="Medium",5,
IF(IncidentTable[[#This Row],[Priority]]="Low",10,""))))</f>
        <v>10</v>
      </c>
      <c r="S208" t="str">
        <f ca="1">IF(IncidentTable[[#This Row],[Resolution Time (Days)]]="","",
IF(IncidentTable[[#This Row],[Resolution Time (Days)]]&lt;=IncidentTable[[#This Row],[SLA Target (Days)]],"Yes","No"))</f>
        <v>No</v>
      </c>
    </row>
    <row r="209" spans="1:19" x14ac:dyDescent="0.25">
      <c r="A209" t="str">
        <f t="shared" ca="1" si="13"/>
        <v>INC630917</v>
      </c>
      <c r="B209" t="str" cm="1">
        <f t="array" aca="1" ref="B209" ca="1">INDEX(SystemList,RANDBETWEEN(1,ROWS(SystemList)))</f>
        <v>Reporting System</v>
      </c>
      <c r="C209" t="str" cm="1">
        <f t="array" aca="1" ref="C209" ca="1">INDEX(IssueTypeList,RANDBETWEEN(1,ROWS(IssueTypeList)))</f>
        <v>System Error</v>
      </c>
      <c r="D209" t="str" cm="1">
        <f t="array" aca="1" ref="D209" ca="1">INDEX(PriorityList,RANDBETWEEN(1,ROWS(PriorityList)))</f>
        <v>Medium</v>
      </c>
      <c r="E209" t="str" cm="1">
        <f t="array" aca="1" ref="E209" ca="1">INDEX(SeverityList,RANDBETWEEN(1,ROWS(SeverityList)))</f>
        <v>Critical</v>
      </c>
      <c r="F209" t="str" cm="1">
        <f t="array" aca="1" ref="F209" ca="1">INDEX(RegionList,RANDBETWEEN(1,ROWS(RegionList)))</f>
        <v>West</v>
      </c>
      <c r="G209" t="str" cm="1">
        <f t="array" aca="1" ref="G209" ca="1">INDEX(DepartmentList,RANDBETWEEN(1,ROWS(DepartmentList)))</f>
        <v>Compliance</v>
      </c>
      <c r="H209" s="1">
        <f t="shared" ca="1" si="14"/>
        <v>45360</v>
      </c>
      <c r="I209" s="4" t="str">
        <f ca="1">IF(IncidentTable[[#This Row],[Resolution Time (Days)]]="","",IncidentTable[[#This Row],[Created Date]]+IncidentTable[[#This Row],[Resolution Time (Days)]])</f>
        <v/>
      </c>
      <c r="J209" t="str">
        <f ca="1">IF(OR(IncidentTable[[#This Row],[Status]]="Resolved",IncidentTable[[#This Row],[Status]]="Closed"),RANDBETWEEN(1,120),"")</f>
        <v/>
      </c>
      <c r="K209" t="str">
        <f t="shared" ca="1" si="12"/>
        <v>Pending</v>
      </c>
      <c r="L209" t="str" cm="1">
        <f t="array" aca="1" ref="L209" ca="1">INDEX(AnalystList,RANDBETWEEN(1,ROWS(AnalystList)))</f>
        <v>Alex Johnson</v>
      </c>
      <c r="M209" t="str" cm="1">
        <f t="array" aca="1" ref="M209" ca="1">INDEX(RootCauseList,RANDBETWEEN(1,ROWS(RootCauseList)))</f>
        <v>Unknown</v>
      </c>
      <c r="N209">
        <f t="shared" ca="1" si="15"/>
        <v>8833.84</v>
      </c>
      <c r="O209" t="str">
        <f ca="1">IF(OR(IncidentTable[[#This Row],[Status]]="Resolved",IncidentTable[[#This Row],[Status]]="Closed"),
ROUND(IncidentTable[[#This Row],[Estimated Impact ($)]]*(1+RANDBETWEEN(-15,25)/100)+RAND(),2),
"")</f>
        <v/>
      </c>
      <c r="P209" t="str">
        <f ca="1">IF(IncidentTable[[#This Row],[Actual Impact ($)]]="","",ROUND(IncidentTable[[#This Row],[Actual Impact ($)]]-IncidentTable[[#This Row],[Estimated Impact ($)]],2))</f>
        <v/>
      </c>
      <c r="Q209" s="2" t="str">
        <f ca="1">IF(IncidentTable[[#This Row],[Actual Impact ($)]]="","",(IncidentTable[[#This Row],[Actual Impact ($)]]-IncidentTable[[#This Row],[Estimated Impact ($)]]) / IncidentTable[[#This Row],[Estimated Impact ($)]])</f>
        <v/>
      </c>
      <c r="R209" s="3">
        <f ca="1">IF(IncidentTable[[#This Row],[Priority]]="Critical",1,
IF(IncidentTable[[#This Row],[Priority]]="High",3,
IF(IncidentTable[[#This Row],[Priority]]="Medium",5,
IF(IncidentTable[[#This Row],[Priority]]="Low",10,""))))</f>
        <v>5</v>
      </c>
      <c r="S209" t="str">
        <f ca="1">IF(IncidentTable[[#This Row],[Resolution Time (Days)]]="","",
IF(IncidentTable[[#This Row],[Resolution Time (Days)]]&lt;=IncidentTable[[#This Row],[SLA Target (Days)]],"Yes","No"))</f>
        <v/>
      </c>
    </row>
    <row r="210" spans="1:19" x14ac:dyDescent="0.25">
      <c r="A210" t="str">
        <f t="shared" ca="1" si="13"/>
        <v>INC535397</v>
      </c>
      <c r="B210" t="str" cm="1">
        <f t="array" aca="1" ref="B210" ca="1">INDEX(SystemList,RANDBETWEEN(1,ROWS(SystemList)))</f>
        <v>Regulatory System</v>
      </c>
      <c r="C210" t="str" cm="1">
        <f t="array" aca="1" ref="C210" ca="1">INDEX(IssueTypeList,RANDBETWEEN(1,ROWS(IssueTypeList)))</f>
        <v>Payment Failure</v>
      </c>
      <c r="D210" t="str" cm="1">
        <f t="array" aca="1" ref="D210" ca="1">INDEX(PriorityList,RANDBETWEEN(1,ROWS(PriorityList)))</f>
        <v>Critical</v>
      </c>
      <c r="E210" t="str" cm="1">
        <f t="array" aca="1" ref="E210" ca="1">INDEX(SeverityList,RANDBETWEEN(1,ROWS(SeverityList)))</f>
        <v>Moderate</v>
      </c>
      <c r="F210" t="str" cm="1">
        <f t="array" aca="1" ref="F210" ca="1">INDEX(RegionList,RANDBETWEEN(1,ROWS(RegionList)))</f>
        <v>West</v>
      </c>
      <c r="G210" t="str" cm="1">
        <f t="array" aca="1" ref="G210" ca="1">INDEX(DepartmentList,RANDBETWEEN(1,ROWS(DepartmentList)))</f>
        <v>IT</v>
      </c>
      <c r="H210" s="1">
        <f t="shared" ca="1" si="14"/>
        <v>45461</v>
      </c>
      <c r="I210" s="4">
        <f ca="1">IF(IncidentTable[[#This Row],[Resolution Time (Days)]]="","",IncidentTable[[#This Row],[Created Date]]+IncidentTable[[#This Row],[Resolution Time (Days)]])</f>
        <v>45474</v>
      </c>
      <c r="J210">
        <f ca="1">IF(OR(IncidentTable[[#This Row],[Status]]="Resolved",IncidentTable[[#This Row],[Status]]="Closed"),RANDBETWEEN(1,120),"")</f>
        <v>13</v>
      </c>
      <c r="K210" t="str">
        <f t="shared" ca="1" si="12"/>
        <v>Closed</v>
      </c>
      <c r="L210" t="str" cm="1">
        <f t="array" aca="1" ref="L210" ca="1">INDEX(AnalystList,RANDBETWEEN(1,ROWS(AnalystList)))</f>
        <v>Morgan Davis</v>
      </c>
      <c r="M210" t="str" cm="1">
        <f t="array" aca="1" ref="M210" ca="1">INDEX(RootCauseList,RANDBETWEEN(1,ROWS(RootCauseList)))</f>
        <v>Data Error</v>
      </c>
      <c r="N210">
        <f t="shared" ca="1" si="15"/>
        <v>5304.11</v>
      </c>
      <c r="O210">
        <f ca="1">IF(OR(IncidentTable[[#This Row],[Status]]="Resolved",IncidentTable[[#This Row],[Status]]="Closed"),
ROUND(IncidentTable[[#This Row],[Estimated Impact ($)]]*(1+RANDBETWEEN(-15,25)/100)+RAND(),2),
"")</f>
        <v>5729.13</v>
      </c>
      <c r="P210">
        <f ca="1">IF(IncidentTable[[#This Row],[Actual Impact ($)]]="","",ROUND(IncidentTable[[#This Row],[Actual Impact ($)]]-IncidentTable[[#This Row],[Estimated Impact ($)]],2))</f>
        <v>425.02</v>
      </c>
      <c r="Q210" s="2">
        <f ca="1">IF(IncidentTable[[#This Row],[Actual Impact ($)]]="","",(IncidentTable[[#This Row],[Actual Impact ($)]]-IncidentTable[[#This Row],[Estimated Impact ($)]]) / IncidentTable[[#This Row],[Estimated Impact ($)]])</f>
        <v>8.0130314039490225E-2</v>
      </c>
      <c r="R210" s="3">
        <f ca="1">IF(IncidentTable[[#This Row],[Priority]]="Critical",1,
IF(IncidentTable[[#This Row],[Priority]]="High",3,
IF(IncidentTable[[#This Row],[Priority]]="Medium",5,
IF(IncidentTable[[#This Row],[Priority]]="Low",10,""))))</f>
        <v>1</v>
      </c>
      <c r="S210" t="str">
        <f ca="1">IF(IncidentTable[[#This Row],[Resolution Time (Days)]]="","",
IF(IncidentTable[[#This Row],[Resolution Time (Days)]]&lt;=IncidentTable[[#This Row],[SLA Target (Days)]],"Yes","No"))</f>
        <v>No</v>
      </c>
    </row>
    <row r="211" spans="1:19" x14ac:dyDescent="0.25">
      <c r="A211" t="str">
        <f t="shared" ca="1" si="13"/>
        <v>INC832369</v>
      </c>
      <c r="B211" t="str" cm="1">
        <f t="array" aca="1" ref="B211" ca="1">INDEX(SystemList,RANDBETWEEN(1,ROWS(SystemList)))</f>
        <v>Claims System</v>
      </c>
      <c r="C211" t="str" cm="1">
        <f t="array" aca="1" ref="C211" ca="1">INDEX(IssueTypeList,RANDBETWEEN(1,ROWS(IssueTypeList)))</f>
        <v>Integration Failure</v>
      </c>
      <c r="D211" t="str" cm="1">
        <f t="array" aca="1" ref="D211" ca="1">INDEX(PriorityList,RANDBETWEEN(1,ROWS(PriorityList)))</f>
        <v>Critical</v>
      </c>
      <c r="E211" t="str" cm="1">
        <f t="array" aca="1" ref="E211" ca="1">INDEX(SeverityList,RANDBETWEEN(1,ROWS(SeverityList)))</f>
        <v>Major</v>
      </c>
      <c r="F211" t="str" cm="1">
        <f t="array" aca="1" ref="F211" ca="1">INDEX(RegionList,RANDBETWEEN(1,ROWS(RegionList)))</f>
        <v>Southeast</v>
      </c>
      <c r="G211" t="str" cm="1">
        <f t="array" aca="1" ref="G211" ca="1">INDEX(DepartmentList,RANDBETWEEN(1,ROWS(DepartmentList)))</f>
        <v>Customer Service</v>
      </c>
      <c r="H211" s="1">
        <f t="shared" ca="1" si="14"/>
        <v>45289</v>
      </c>
      <c r="I211" s="4">
        <f ca="1">IF(IncidentTable[[#This Row],[Resolution Time (Days)]]="","",IncidentTable[[#This Row],[Created Date]]+IncidentTable[[#This Row],[Resolution Time (Days)]])</f>
        <v>45341</v>
      </c>
      <c r="J211">
        <f ca="1">IF(OR(IncidentTable[[#This Row],[Status]]="Resolved",IncidentTable[[#This Row],[Status]]="Closed"),RANDBETWEEN(1,120),"")</f>
        <v>52</v>
      </c>
      <c r="K211" t="str">
        <f t="shared" ca="1" si="12"/>
        <v>Resolved</v>
      </c>
      <c r="L211" t="str" cm="1">
        <f t="array" aca="1" ref="L211" ca="1">INDEX(AnalystList,RANDBETWEEN(1,ROWS(AnalystList)))</f>
        <v>Casey Brown</v>
      </c>
      <c r="M211" t="str" cm="1">
        <f t="array" aca="1" ref="M211" ca="1">INDEX(RootCauseList,RANDBETWEEN(1,ROWS(RootCauseList)))</f>
        <v>Integration Failure</v>
      </c>
      <c r="N211">
        <f t="shared" ca="1" si="15"/>
        <v>13220.38</v>
      </c>
      <c r="O211">
        <f ca="1">IF(OR(IncidentTable[[#This Row],[Status]]="Resolved",IncidentTable[[#This Row],[Status]]="Closed"),
ROUND(IncidentTable[[#This Row],[Estimated Impact ($)]]*(1+RANDBETWEEN(-15,25)/100)+RAND(),2),
"")</f>
        <v>15864.54</v>
      </c>
      <c r="P211">
        <f ca="1">IF(IncidentTable[[#This Row],[Actual Impact ($)]]="","",ROUND(IncidentTable[[#This Row],[Actual Impact ($)]]-IncidentTable[[#This Row],[Estimated Impact ($)]],2))</f>
        <v>2644.16</v>
      </c>
      <c r="Q211" s="2">
        <f ca="1">IF(IncidentTable[[#This Row],[Actual Impact ($)]]="","",(IncidentTable[[#This Row],[Actual Impact ($)]]-IncidentTable[[#This Row],[Estimated Impact ($)]]) / IncidentTable[[#This Row],[Estimated Impact ($)]])</f>
        <v>0.20000635382644083</v>
      </c>
      <c r="R211" s="3">
        <f ca="1">IF(IncidentTable[[#This Row],[Priority]]="Critical",1,
IF(IncidentTable[[#This Row],[Priority]]="High",3,
IF(IncidentTable[[#This Row],[Priority]]="Medium",5,
IF(IncidentTable[[#This Row],[Priority]]="Low",10,""))))</f>
        <v>1</v>
      </c>
      <c r="S211" t="str">
        <f ca="1">IF(IncidentTable[[#This Row],[Resolution Time (Days)]]="","",
IF(IncidentTable[[#This Row],[Resolution Time (Days)]]&lt;=IncidentTable[[#This Row],[SLA Target (Days)]],"Yes","No"))</f>
        <v>No</v>
      </c>
    </row>
    <row r="212" spans="1:19" x14ac:dyDescent="0.25">
      <c r="A212" t="str">
        <f t="shared" ca="1" si="13"/>
        <v>INC569137</v>
      </c>
      <c r="B212" t="str" cm="1">
        <f t="array" aca="1" ref="B212" ca="1">INDEX(SystemList,RANDBETWEEN(1,ROWS(SystemList)))</f>
        <v>Regulatory System</v>
      </c>
      <c r="C212" t="str" cm="1">
        <f t="array" aca="1" ref="C212" ca="1">INDEX(IssueTypeList,RANDBETWEEN(1,ROWS(IssueTypeList)))</f>
        <v>Complaint</v>
      </c>
      <c r="D212" t="str" cm="1">
        <f t="array" aca="1" ref="D212" ca="1">INDEX(PriorityList,RANDBETWEEN(1,ROWS(PriorityList)))</f>
        <v>Critical</v>
      </c>
      <c r="E212" t="str" cm="1">
        <f t="array" aca="1" ref="E212" ca="1">INDEX(SeverityList,RANDBETWEEN(1,ROWS(SeverityList)))</f>
        <v>Minor</v>
      </c>
      <c r="F212" t="str" cm="1">
        <f t="array" aca="1" ref="F212" ca="1">INDEX(RegionList,RANDBETWEEN(1,ROWS(RegionList)))</f>
        <v>Central</v>
      </c>
      <c r="G212" t="str" cm="1">
        <f t="array" aca="1" ref="G212" ca="1">INDEX(DepartmentList,RANDBETWEEN(1,ROWS(DepartmentList)))</f>
        <v>Finance</v>
      </c>
      <c r="H212" s="1">
        <f t="shared" ca="1" si="14"/>
        <v>44996</v>
      </c>
      <c r="I212" s="4" t="str">
        <f ca="1">IF(IncidentTable[[#This Row],[Resolution Time (Days)]]="","",IncidentTable[[#This Row],[Created Date]]+IncidentTable[[#This Row],[Resolution Time (Days)]])</f>
        <v/>
      </c>
      <c r="J212" t="str">
        <f ca="1">IF(OR(IncidentTable[[#This Row],[Status]]="Resolved",IncidentTable[[#This Row],[Status]]="Closed"),RANDBETWEEN(1,120),"")</f>
        <v/>
      </c>
      <c r="K212" t="str">
        <f t="shared" ca="1" si="12"/>
        <v>Open</v>
      </c>
      <c r="L212" t="str" cm="1">
        <f t="array" aca="1" ref="L212" ca="1">INDEX(AnalystList,RANDBETWEEN(1,ROWS(AnalystList)))</f>
        <v>Taylor Smith</v>
      </c>
      <c r="M212" t="str" cm="1">
        <f t="array" aca="1" ref="M212" ca="1">INDEX(RootCauseList,RANDBETWEEN(1,ROWS(RootCauseList)))</f>
        <v>Integration Failure</v>
      </c>
      <c r="N212">
        <f t="shared" ca="1" si="15"/>
        <v>688.85</v>
      </c>
      <c r="O212" t="str">
        <f ca="1">IF(OR(IncidentTable[[#This Row],[Status]]="Resolved",IncidentTable[[#This Row],[Status]]="Closed"),
ROUND(IncidentTable[[#This Row],[Estimated Impact ($)]]*(1+RANDBETWEEN(-15,25)/100)+RAND(),2),
"")</f>
        <v/>
      </c>
      <c r="P212" t="str">
        <f ca="1">IF(IncidentTable[[#This Row],[Actual Impact ($)]]="","",ROUND(IncidentTable[[#This Row],[Actual Impact ($)]]-IncidentTable[[#This Row],[Estimated Impact ($)]],2))</f>
        <v/>
      </c>
      <c r="Q212" s="2" t="str">
        <f ca="1">IF(IncidentTable[[#This Row],[Actual Impact ($)]]="","",(IncidentTable[[#This Row],[Actual Impact ($)]]-IncidentTable[[#This Row],[Estimated Impact ($)]]) / IncidentTable[[#This Row],[Estimated Impact ($)]])</f>
        <v/>
      </c>
      <c r="R212" s="3">
        <f ca="1">IF(IncidentTable[[#This Row],[Priority]]="Critical",1,
IF(IncidentTable[[#This Row],[Priority]]="High",3,
IF(IncidentTable[[#This Row],[Priority]]="Medium",5,
IF(IncidentTable[[#This Row],[Priority]]="Low",10,""))))</f>
        <v>1</v>
      </c>
      <c r="S212" t="str">
        <f ca="1">IF(IncidentTable[[#This Row],[Resolution Time (Days)]]="","",
IF(IncidentTable[[#This Row],[Resolution Time (Days)]]&lt;=IncidentTable[[#This Row],[SLA Target (Days)]],"Yes","No"))</f>
        <v/>
      </c>
    </row>
    <row r="213" spans="1:19" x14ac:dyDescent="0.25">
      <c r="A213" t="str">
        <f t="shared" ca="1" si="13"/>
        <v>INC178339</v>
      </c>
      <c r="B213" t="str" cm="1">
        <f t="array" aca="1" ref="B213" ca="1">INDEX(SystemList,RANDBETWEEN(1,ROWS(SystemList)))</f>
        <v>Customer Portal</v>
      </c>
      <c r="C213" t="str" cm="1">
        <f t="array" aca="1" ref="C213" ca="1">INDEX(IssueTypeList,RANDBETWEEN(1,ROWS(IssueTypeList)))</f>
        <v>Processing Delay</v>
      </c>
      <c r="D213" t="str" cm="1">
        <f t="array" aca="1" ref="D213" ca="1">INDEX(PriorityList,RANDBETWEEN(1,ROWS(PriorityList)))</f>
        <v>Medium</v>
      </c>
      <c r="E213" t="str" cm="1">
        <f t="array" aca="1" ref="E213" ca="1">INDEX(SeverityList,RANDBETWEEN(1,ROWS(SeverityList)))</f>
        <v>Critical</v>
      </c>
      <c r="F213" t="str" cm="1">
        <f t="array" aca="1" ref="F213" ca="1">INDEX(RegionList,RANDBETWEEN(1,ROWS(RegionList)))</f>
        <v>East</v>
      </c>
      <c r="G213" t="str" cm="1">
        <f t="array" aca="1" ref="G213" ca="1">INDEX(DepartmentList,RANDBETWEEN(1,ROWS(DepartmentList)))</f>
        <v>Claims</v>
      </c>
      <c r="H213" s="1">
        <f t="shared" ca="1" si="14"/>
        <v>44953</v>
      </c>
      <c r="I213" s="4" t="str">
        <f ca="1">IF(IncidentTable[[#This Row],[Resolution Time (Days)]]="","",IncidentTable[[#This Row],[Created Date]]+IncidentTable[[#This Row],[Resolution Time (Days)]])</f>
        <v/>
      </c>
      <c r="J213" t="str">
        <f ca="1">IF(OR(IncidentTable[[#This Row],[Status]]="Resolved",IncidentTable[[#This Row],[Status]]="Closed"),RANDBETWEEN(1,120),"")</f>
        <v/>
      </c>
      <c r="K213" t="str">
        <f t="shared" ca="1" si="12"/>
        <v>In Progress</v>
      </c>
      <c r="L213" t="str" cm="1">
        <f t="array" aca="1" ref="L213" ca="1">INDEX(AnalystList,RANDBETWEEN(1,ROWS(AnalystList)))</f>
        <v>Taylor Smith</v>
      </c>
      <c r="M213" t="str" cm="1">
        <f t="array" aca="1" ref="M213" ca="1">INDEX(RootCauseList,RANDBETWEEN(1,ROWS(RootCauseList)))</f>
        <v>Unknown</v>
      </c>
      <c r="N213">
        <f t="shared" ca="1" si="15"/>
        <v>7.66</v>
      </c>
      <c r="O213" t="str">
        <f ca="1">IF(OR(IncidentTable[[#This Row],[Status]]="Resolved",IncidentTable[[#This Row],[Status]]="Closed"),
ROUND(IncidentTable[[#This Row],[Estimated Impact ($)]]*(1+RANDBETWEEN(-15,25)/100)+RAND(),2),
"")</f>
        <v/>
      </c>
      <c r="P213" t="str">
        <f ca="1">IF(IncidentTable[[#This Row],[Actual Impact ($)]]="","",ROUND(IncidentTable[[#This Row],[Actual Impact ($)]]-IncidentTable[[#This Row],[Estimated Impact ($)]],2))</f>
        <v/>
      </c>
      <c r="Q213" s="2" t="str">
        <f ca="1">IF(IncidentTable[[#This Row],[Actual Impact ($)]]="","",(IncidentTable[[#This Row],[Actual Impact ($)]]-IncidentTable[[#This Row],[Estimated Impact ($)]]) / IncidentTable[[#This Row],[Estimated Impact ($)]])</f>
        <v/>
      </c>
      <c r="R213" s="3">
        <f ca="1">IF(IncidentTable[[#This Row],[Priority]]="Critical",1,
IF(IncidentTable[[#This Row],[Priority]]="High",3,
IF(IncidentTable[[#This Row],[Priority]]="Medium",5,
IF(IncidentTable[[#This Row],[Priority]]="Low",10,""))))</f>
        <v>5</v>
      </c>
      <c r="S213" t="str">
        <f ca="1">IF(IncidentTable[[#This Row],[Resolution Time (Days)]]="","",
IF(IncidentTable[[#This Row],[Resolution Time (Days)]]&lt;=IncidentTable[[#This Row],[SLA Target (Days)]],"Yes","No"))</f>
        <v/>
      </c>
    </row>
    <row r="214" spans="1:19" x14ac:dyDescent="0.25">
      <c r="A214" t="str">
        <f t="shared" ca="1" si="13"/>
        <v>INC934640</v>
      </c>
      <c r="B214" t="str" cm="1">
        <f t="array" aca="1" ref="B214" ca="1">INDEX(SystemList,RANDBETWEEN(1,ROWS(SystemList)))</f>
        <v>Policy Admin System</v>
      </c>
      <c r="C214" t="str" cm="1">
        <f t="array" aca="1" ref="C214" ca="1">INDEX(IssueTypeList,RANDBETWEEN(1,ROWS(IssueTypeList)))</f>
        <v>Data Issue</v>
      </c>
      <c r="D214" t="str" cm="1">
        <f t="array" aca="1" ref="D214" ca="1">INDEX(PriorityList,RANDBETWEEN(1,ROWS(PriorityList)))</f>
        <v>Medium</v>
      </c>
      <c r="E214" t="str" cm="1">
        <f t="array" aca="1" ref="E214" ca="1">INDEX(SeverityList,RANDBETWEEN(1,ROWS(SeverityList)))</f>
        <v>Major</v>
      </c>
      <c r="F214" t="str" cm="1">
        <f t="array" aca="1" ref="F214" ca="1">INDEX(RegionList,RANDBETWEEN(1,ROWS(RegionList)))</f>
        <v>East</v>
      </c>
      <c r="G214" t="str" cm="1">
        <f t="array" aca="1" ref="G214" ca="1">INDEX(DepartmentList,RANDBETWEEN(1,ROWS(DepartmentList)))</f>
        <v>Finance</v>
      </c>
      <c r="H214" s="1">
        <f t="shared" ca="1" si="14"/>
        <v>44967</v>
      </c>
      <c r="I214" s="4" t="str">
        <f ca="1">IF(IncidentTable[[#This Row],[Resolution Time (Days)]]="","",IncidentTable[[#This Row],[Created Date]]+IncidentTable[[#This Row],[Resolution Time (Days)]])</f>
        <v/>
      </c>
      <c r="J214" t="str">
        <f ca="1">IF(OR(IncidentTable[[#This Row],[Status]]="Resolved",IncidentTable[[#This Row],[Status]]="Closed"),RANDBETWEEN(1,120),"")</f>
        <v/>
      </c>
      <c r="K214" t="str">
        <f t="shared" ca="1" si="12"/>
        <v>In Progress</v>
      </c>
      <c r="L214" t="str" cm="1">
        <f t="array" aca="1" ref="L214" ca="1">INDEX(AnalystList,RANDBETWEEN(1,ROWS(AnalystList)))</f>
        <v>Alex Johnson</v>
      </c>
      <c r="M214" t="str" cm="1">
        <f t="array" aca="1" ref="M214" ca="1">INDEX(RootCauseList,RANDBETWEEN(1,ROWS(RootCauseList)))</f>
        <v>Data Error</v>
      </c>
      <c r="N214">
        <f t="shared" ca="1" si="15"/>
        <v>3087.09</v>
      </c>
      <c r="O214" t="str">
        <f ca="1">IF(OR(IncidentTable[[#This Row],[Status]]="Resolved",IncidentTable[[#This Row],[Status]]="Closed"),
ROUND(IncidentTable[[#This Row],[Estimated Impact ($)]]*(1+RANDBETWEEN(-15,25)/100)+RAND(),2),
"")</f>
        <v/>
      </c>
      <c r="P214" t="str">
        <f ca="1">IF(IncidentTable[[#This Row],[Actual Impact ($)]]="","",ROUND(IncidentTable[[#This Row],[Actual Impact ($)]]-IncidentTable[[#This Row],[Estimated Impact ($)]],2))</f>
        <v/>
      </c>
      <c r="Q214" s="2" t="str">
        <f ca="1">IF(IncidentTable[[#This Row],[Actual Impact ($)]]="","",(IncidentTable[[#This Row],[Actual Impact ($)]]-IncidentTable[[#This Row],[Estimated Impact ($)]]) / IncidentTable[[#This Row],[Estimated Impact ($)]])</f>
        <v/>
      </c>
      <c r="R214" s="3">
        <f ca="1">IF(IncidentTable[[#This Row],[Priority]]="Critical",1,
IF(IncidentTable[[#This Row],[Priority]]="High",3,
IF(IncidentTable[[#This Row],[Priority]]="Medium",5,
IF(IncidentTable[[#This Row],[Priority]]="Low",10,""))))</f>
        <v>5</v>
      </c>
      <c r="S214" t="str">
        <f ca="1">IF(IncidentTable[[#This Row],[Resolution Time (Days)]]="","",
IF(IncidentTable[[#This Row],[Resolution Time (Days)]]&lt;=IncidentTable[[#This Row],[SLA Target (Days)]],"Yes","No"))</f>
        <v/>
      </c>
    </row>
    <row r="215" spans="1:19" x14ac:dyDescent="0.25">
      <c r="A215" t="str">
        <f t="shared" ca="1" si="13"/>
        <v>INC596091</v>
      </c>
      <c r="B215" t="str" cm="1">
        <f t="array" aca="1" ref="B215" ca="1">INDEX(SystemList,RANDBETWEEN(1,ROWS(SystemList)))</f>
        <v>Reporting System</v>
      </c>
      <c r="C215" t="str" cm="1">
        <f t="array" aca="1" ref="C215" ca="1">INDEX(IssueTypeList,RANDBETWEEN(1,ROWS(IssueTypeList)))</f>
        <v>Processing Delay</v>
      </c>
      <c r="D215" t="str" cm="1">
        <f t="array" aca="1" ref="D215" ca="1">INDEX(PriorityList,RANDBETWEEN(1,ROWS(PriorityList)))</f>
        <v>Low</v>
      </c>
      <c r="E215" t="str" cm="1">
        <f t="array" aca="1" ref="E215" ca="1">INDEX(SeverityList,RANDBETWEEN(1,ROWS(SeverityList)))</f>
        <v>Minor</v>
      </c>
      <c r="F215" t="str" cm="1">
        <f t="array" aca="1" ref="F215" ca="1">INDEX(RegionList,RANDBETWEEN(1,ROWS(RegionList)))</f>
        <v>Central</v>
      </c>
      <c r="G215" t="str" cm="1">
        <f t="array" aca="1" ref="G215" ca="1">INDEX(DepartmentList,RANDBETWEEN(1,ROWS(DepartmentList)))</f>
        <v>Billing</v>
      </c>
      <c r="H215" s="1">
        <f t="shared" ca="1" si="14"/>
        <v>45165</v>
      </c>
      <c r="I215" s="4" t="str">
        <f ca="1">IF(IncidentTable[[#This Row],[Resolution Time (Days)]]="","",IncidentTable[[#This Row],[Created Date]]+IncidentTable[[#This Row],[Resolution Time (Days)]])</f>
        <v/>
      </c>
      <c r="J215" t="str">
        <f ca="1">IF(OR(IncidentTable[[#This Row],[Status]]="Resolved",IncidentTable[[#This Row],[Status]]="Closed"),RANDBETWEEN(1,120),"")</f>
        <v/>
      </c>
      <c r="K215" t="str">
        <f t="shared" ca="1" si="12"/>
        <v>In Progress</v>
      </c>
      <c r="L215" t="str" cm="1">
        <f t="array" aca="1" ref="L215" ca="1">INDEX(AnalystList,RANDBETWEEN(1,ROWS(AnalystList)))</f>
        <v>Alex Johnson</v>
      </c>
      <c r="M215" t="str" cm="1">
        <f t="array" aca="1" ref="M215" ca="1">INDEX(RootCauseList,RANDBETWEEN(1,ROWS(RootCauseList)))</f>
        <v>Integration Failure</v>
      </c>
      <c r="N215">
        <f t="shared" ca="1" si="15"/>
        <v>1885.38</v>
      </c>
      <c r="O215" t="str">
        <f ca="1">IF(OR(IncidentTable[[#This Row],[Status]]="Resolved",IncidentTable[[#This Row],[Status]]="Closed"),
ROUND(IncidentTable[[#This Row],[Estimated Impact ($)]]*(1+RANDBETWEEN(-15,25)/100)+RAND(),2),
"")</f>
        <v/>
      </c>
      <c r="P215" t="str">
        <f ca="1">IF(IncidentTable[[#This Row],[Actual Impact ($)]]="","",ROUND(IncidentTable[[#This Row],[Actual Impact ($)]]-IncidentTable[[#This Row],[Estimated Impact ($)]],2))</f>
        <v/>
      </c>
      <c r="Q215" s="2" t="str">
        <f ca="1">IF(IncidentTable[[#This Row],[Actual Impact ($)]]="","",(IncidentTable[[#This Row],[Actual Impact ($)]]-IncidentTable[[#This Row],[Estimated Impact ($)]]) / IncidentTable[[#This Row],[Estimated Impact ($)]])</f>
        <v/>
      </c>
      <c r="R215" s="3">
        <f ca="1">IF(IncidentTable[[#This Row],[Priority]]="Critical",1,
IF(IncidentTable[[#This Row],[Priority]]="High",3,
IF(IncidentTable[[#This Row],[Priority]]="Medium",5,
IF(IncidentTable[[#This Row],[Priority]]="Low",10,""))))</f>
        <v>10</v>
      </c>
      <c r="S215" t="str">
        <f ca="1">IF(IncidentTable[[#This Row],[Resolution Time (Days)]]="","",
IF(IncidentTable[[#This Row],[Resolution Time (Days)]]&lt;=IncidentTable[[#This Row],[SLA Target (Days)]],"Yes","No"))</f>
        <v/>
      </c>
    </row>
    <row r="216" spans="1:19" x14ac:dyDescent="0.25">
      <c r="A216" t="str">
        <f t="shared" ca="1" si="13"/>
        <v>INC194837</v>
      </c>
      <c r="B216" t="str" cm="1">
        <f t="array" aca="1" ref="B216" ca="1">INDEX(SystemList,RANDBETWEEN(1,ROWS(SystemList)))</f>
        <v>Payment Processing</v>
      </c>
      <c r="C216" t="str" cm="1">
        <f t="array" aca="1" ref="C216" ca="1">INDEX(IssueTypeList,RANDBETWEEN(1,ROWS(IssueTypeList)))</f>
        <v>Payment Failure</v>
      </c>
      <c r="D216" t="str" cm="1">
        <f t="array" aca="1" ref="D216" ca="1">INDEX(PriorityList,RANDBETWEEN(1,ROWS(PriorityList)))</f>
        <v>Low</v>
      </c>
      <c r="E216" t="str" cm="1">
        <f t="array" aca="1" ref="E216" ca="1">INDEX(SeverityList,RANDBETWEEN(1,ROWS(SeverityList)))</f>
        <v>Major</v>
      </c>
      <c r="F216" t="str" cm="1">
        <f t="array" aca="1" ref="F216" ca="1">INDEX(RegionList,RANDBETWEEN(1,ROWS(RegionList)))</f>
        <v>Southeast</v>
      </c>
      <c r="G216" t="str" cm="1">
        <f t="array" aca="1" ref="G216" ca="1">INDEX(DepartmentList,RANDBETWEEN(1,ROWS(DepartmentList)))</f>
        <v>Customer Service</v>
      </c>
      <c r="H216" s="1">
        <f t="shared" ca="1" si="14"/>
        <v>45295</v>
      </c>
      <c r="I216" s="4" t="str">
        <f ca="1">IF(IncidentTable[[#This Row],[Resolution Time (Days)]]="","",IncidentTable[[#This Row],[Created Date]]+IncidentTable[[#This Row],[Resolution Time (Days)]])</f>
        <v/>
      </c>
      <c r="J216" t="str">
        <f ca="1">IF(OR(IncidentTable[[#This Row],[Status]]="Resolved",IncidentTable[[#This Row],[Status]]="Closed"),RANDBETWEEN(1,120),"")</f>
        <v/>
      </c>
      <c r="K216" t="str">
        <f t="shared" ca="1" si="12"/>
        <v>Open</v>
      </c>
      <c r="L216" t="str" cm="1">
        <f t="array" aca="1" ref="L216" ca="1">INDEX(AnalystList,RANDBETWEEN(1,ROWS(AnalystList)))</f>
        <v>Casey Brown</v>
      </c>
      <c r="M216" t="str" cm="1">
        <f t="array" aca="1" ref="M216" ca="1">INDEX(RootCauseList,RANDBETWEEN(1,ROWS(RootCauseList)))</f>
        <v>System Bug</v>
      </c>
      <c r="N216">
        <f t="shared" ca="1" si="15"/>
        <v>5853.67</v>
      </c>
      <c r="O216" t="str">
        <f ca="1">IF(OR(IncidentTable[[#This Row],[Status]]="Resolved",IncidentTable[[#This Row],[Status]]="Closed"),
ROUND(IncidentTable[[#This Row],[Estimated Impact ($)]]*(1+RANDBETWEEN(-15,25)/100)+RAND(),2),
"")</f>
        <v/>
      </c>
      <c r="P216" t="str">
        <f ca="1">IF(IncidentTable[[#This Row],[Actual Impact ($)]]="","",ROUND(IncidentTable[[#This Row],[Actual Impact ($)]]-IncidentTable[[#This Row],[Estimated Impact ($)]],2))</f>
        <v/>
      </c>
      <c r="Q216" s="2" t="str">
        <f ca="1">IF(IncidentTable[[#This Row],[Actual Impact ($)]]="","",(IncidentTable[[#This Row],[Actual Impact ($)]]-IncidentTable[[#This Row],[Estimated Impact ($)]]) / IncidentTable[[#This Row],[Estimated Impact ($)]])</f>
        <v/>
      </c>
      <c r="R216" s="3">
        <f ca="1">IF(IncidentTable[[#This Row],[Priority]]="Critical",1,
IF(IncidentTable[[#This Row],[Priority]]="High",3,
IF(IncidentTable[[#This Row],[Priority]]="Medium",5,
IF(IncidentTable[[#This Row],[Priority]]="Low",10,""))))</f>
        <v>10</v>
      </c>
      <c r="S216" t="str">
        <f ca="1">IF(IncidentTable[[#This Row],[Resolution Time (Days)]]="","",
IF(IncidentTable[[#This Row],[Resolution Time (Days)]]&lt;=IncidentTable[[#This Row],[SLA Target (Days)]],"Yes","No"))</f>
        <v/>
      </c>
    </row>
    <row r="217" spans="1:19" x14ac:dyDescent="0.25">
      <c r="A217" t="str">
        <f t="shared" ca="1" si="13"/>
        <v>INC130863</v>
      </c>
      <c r="B217" t="str" cm="1">
        <f t="array" aca="1" ref="B217" ca="1">INDEX(SystemList,RANDBETWEEN(1,ROWS(SystemList)))</f>
        <v>Payment Processing</v>
      </c>
      <c r="C217" t="str" cm="1">
        <f t="array" aca="1" ref="C217" ca="1">INDEX(IssueTypeList,RANDBETWEEN(1,ROWS(IssueTypeList)))</f>
        <v>System Error</v>
      </c>
      <c r="D217" t="str" cm="1">
        <f t="array" aca="1" ref="D217" ca="1">INDEX(PriorityList,RANDBETWEEN(1,ROWS(PriorityList)))</f>
        <v>Medium</v>
      </c>
      <c r="E217" t="str" cm="1">
        <f t="array" aca="1" ref="E217" ca="1">INDEX(SeverityList,RANDBETWEEN(1,ROWS(SeverityList)))</f>
        <v>Major</v>
      </c>
      <c r="F217" t="str" cm="1">
        <f t="array" aca="1" ref="F217" ca="1">INDEX(RegionList,RANDBETWEEN(1,ROWS(RegionList)))</f>
        <v>East</v>
      </c>
      <c r="G217" t="str" cm="1">
        <f t="array" aca="1" ref="G217" ca="1">INDEX(DepartmentList,RANDBETWEEN(1,ROWS(DepartmentList)))</f>
        <v>Finance</v>
      </c>
      <c r="H217" s="1">
        <f t="shared" ca="1" si="14"/>
        <v>45076</v>
      </c>
      <c r="I217" s="4">
        <f ca="1">IF(IncidentTable[[#This Row],[Resolution Time (Days)]]="","",IncidentTable[[#This Row],[Created Date]]+IncidentTable[[#This Row],[Resolution Time (Days)]])</f>
        <v>45132</v>
      </c>
      <c r="J217">
        <f ca="1">IF(OR(IncidentTable[[#This Row],[Status]]="Resolved",IncidentTable[[#This Row],[Status]]="Closed"),RANDBETWEEN(1,120),"")</f>
        <v>56</v>
      </c>
      <c r="K217" t="str">
        <f t="shared" ca="1" si="12"/>
        <v>Closed</v>
      </c>
      <c r="L217" t="str" cm="1">
        <f t="array" aca="1" ref="L217" ca="1">INDEX(AnalystList,RANDBETWEEN(1,ROWS(AnalystList)))</f>
        <v>Riley Wilson</v>
      </c>
      <c r="M217" t="str" cm="1">
        <f t="array" aca="1" ref="M217" ca="1">INDEX(RootCauseList,RANDBETWEEN(1,ROWS(RootCauseList)))</f>
        <v>Process Gap</v>
      </c>
      <c r="N217">
        <f t="shared" ca="1" si="15"/>
        <v>2026.07</v>
      </c>
      <c r="O217">
        <f ca="1">IF(OR(IncidentTable[[#This Row],[Status]]="Resolved",IncidentTable[[#This Row],[Status]]="Closed"),
ROUND(IncidentTable[[#This Row],[Estimated Impact ($)]]*(1+RANDBETWEEN(-15,25)/100)+RAND(),2),
"")</f>
        <v>2148.4</v>
      </c>
      <c r="P217">
        <f ca="1">IF(IncidentTable[[#This Row],[Actual Impact ($)]]="","",ROUND(IncidentTable[[#This Row],[Actual Impact ($)]]-IncidentTable[[#This Row],[Estimated Impact ($)]],2))</f>
        <v>122.33</v>
      </c>
      <c r="Q217" s="2">
        <f ca="1">IF(IncidentTable[[#This Row],[Actual Impact ($)]]="","",(IncidentTable[[#This Row],[Actual Impact ($)]]-IncidentTable[[#This Row],[Estimated Impact ($)]]) / IncidentTable[[#This Row],[Estimated Impact ($)]])</f>
        <v>6.0377973120375981E-2</v>
      </c>
      <c r="R217" s="3">
        <f ca="1">IF(IncidentTable[[#This Row],[Priority]]="Critical",1,
IF(IncidentTable[[#This Row],[Priority]]="High",3,
IF(IncidentTable[[#This Row],[Priority]]="Medium",5,
IF(IncidentTable[[#This Row],[Priority]]="Low",10,""))))</f>
        <v>5</v>
      </c>
      <c r="S217" t="str">
        <f ca="1">IF(IncidentTable[[#This Row],[Resolution Time (Days)]]="","",
IF(IncidentTable[[#This Row],[Resolution Time (Days)]]&lt;=IncidentTable[[#This Row],[SLA Target (Days)]],"Yes","No"))</f>
        <v>No</v>
      </c>
    </row>
    <row r="218" spans="1:19" x14ac:dyDescent="0.25">
      <c r="A218" t="str">
        <f t="shared" ca="1" si="13"/>
        <v>INC223245</v>
      </c>
      <c r="B218" t="str" cm="1">
        <f t="array" aca="1" ref="B218" ca="1">INDEX(SystemList,RANDBETWEEN(1,ROWS(SystemList)))</f>
        <v>Regulatory System</v>
      </c>
      <c r="C218" t="str" cm="1">
        <f t="array" aca="1" ref="C218" ca="1">INDEX(IssueTypeList,RANDBETWEEN(1,ROWS(IssueTypeList)))</f>
        <v>Payment Failure</v>
      </c>
      <c r="D218" t="str" cm="1">
        <f t="array" aca="1" ref="D218" ca="1">INDEX(PriorityList,RANDBETWEEN(1,ROWS(PriorityList)))</f>
        <v>Low</v>
      </c>
      <c r="E218" t="str" cm="1">
        <f t="array" aca="1" ref="E218" ca="1">INDEX(SeverityList,RANDBETWEEN(1,ROWS(SeverityList)))</f>
        <v>Major</v>
      </c>
      <c r="F218" t="str" cm="1">
        <f t="array" aca="1" ref="F218" ca="1">INDEX(RegionList,RANDBETWEEN(1,ROWS(RegionList)))</f>
        <v>East</v>
      </c>
      <c r="G218" t="str" cm="1">
        <f t="array" aca="1" ref="G218" ca="1">INDEX(DepartmentList,RANDBETWEEN(1,ROWS(DepartmentList)))</f>
        <v>Compliance</v>
      </c>
      <c r="H218" s="1">
        <f t="shared" ca="1" si="14"/>
        <v>44966</v>
      </c>
      <c r="I218" s="4" t="str">
        <f ca="1">IF(IncidentTable[[#This Row],[Resolution Time (Days)]]="","",IncidentTable[[#This Row],[Created Date]]+IncidentTable[[#This Row],[Resolution Time (Days)]])</f>
        <v/>
      </c>
      <c r="J218" t="str">
        <f ca="1">IF(OR(IncidentTable[[#This Row],[Status]]="Resolved",IncidentTable[[#This Row],[Status]]="Closed"),RANDBETWEEN(1,120),"")</f>
        <v/>
      </c>
      <c r="K218" t="str">
        <f t="shared" ca="1" si="12"/>
        <v>Pending</v>
      </c>
      <c r="L218" t="str" cm="1">
        <f t="array" aca="1" ref="L218" ca="1">INDEX(AnalystList,RANDBETWEEN(1,ROWS(AnalystList)))</f>
        <v>Casey Brown</v>
      </c>
      <c r="M218" t="str" cm="1">
        <f t="array" aca="1" ref="M218" ca="1">INDEX(RootCauseList,RANDBETWEEN(1,ROWS(RootCauseList)))</f>
        <v>Network Failure</v>
      </c>
      <c r="N218">
        <f t="shared" ca="1" si="15"/>
        <v>1319.65</v>
      </c>
      <c r="O218" t="str">
        <f ca="1">IF(OR(IncidentTable[[#This Row],[Status]]="Resolved",IncidentTable[[#This Row],[Status]]="Closed"),
ROUND(IncidentTable[[#This Row],[Estimated Impact ($)]]*(1+RANDBETWEEN(-15,25)/100)+RAND(),2),
"")</f>
        <v/>
      </c>
      <c r="P218" t="str">
        <f ca="1">IF(IncidentTable[[#This Row],[Actual Impact ($)]]="","",ROUND(IncidentTable[[#This Row],[Actual Impact ($)]]-IncidentTable[[#This Row],[Estimated Impact ($)]],2))</f>
        <v/>
      </c>
      <c r="Q218" s="2" t="str">
        <f ca="1">IF(IncidentTable[[#This Row],[Actual Impact ($)]]="","",(IncidentTable[[#This Row],[Actual Impact ($)]]-IncidentTable[[#This Row],[Estimated Impact ($)]]) / IncidentTable[[#This Row],[Estimated Impact ($)]])</f>
        <v/>
      </c>
      <c r="R218" s="3">
        <f ca="1">IF(IncidentTable[[#This Row],[Priority]]="Critical",1,
IF(IncidentTable[[#This Row],[Priority]]="High",3,
IF(IncidentTable[[#This Row],[Priority]]="Medium",5,
IF(IncidentTable[[#This Row],[Priority]]="Low",10,""))))</f>
        <v>10</v>
      </c>
      <c r="S218" t="str">
        <f ca="1">IF(IncidentTable[[#This Row],[Resolution Time (Days)]]="","",
IF(IncidentTable[[#This Row],[Resolution Time (Days)]]&lt;=IncidentTable[[#This Row],[SLA Target (Days)]],"Yes","No"))</f>
        <v/>
      </c>
    </row>
    <row r="219" spans="1:19" x14ac:dyDescent="0.25">
      <c r="A219" t="str">
        <f t="shared" ca="1" si="13"/>
        <v>INC569829</v>
      </c>
      <c r="B219" t="str" cm="1">
        <f t="array" aca="1" ref="B219" ca="1">INDEX(SystemList,RANDBETWEEN(1,ROWS(SystemList)))</f>
        <v>Customer Portal</v>
      </c>
      <c r="C219" t="str" cm="1">
        <f t="array" aca="1" ref="C219" ca="1">INDEX(IssueTypeList,RANDBETWEEN(1,ROWS(IssueTypeList)))</f>
        <v>User Access Issue</v>
      </c>
      <c r="D219" t="str" cm="1">
        <f t="array" aca="1" ref="D219" ca="1">INDEX(PriorityList,RANDBETWEEN(1,ROWS(PriorityList)))</f>
        <v>Medium</v>
      </c>
      <c r="E219" t="str" cm="1">
        <f t="array" aca="1" ref="E219" ca="1">INDEX(SeverityList,RANDBETWEEN(1,ROWS(SeverityList)))</f>
        <v>Critical</v>
      </c>
      <c r="F219" t="str" cm="1">
        <f t="array" aca="1" ref="F219" ca="1">INDEX(RegionList,RANDBETWEEN(1,ROWS(RegionList)))</f>
        <v>West</v>
      </c>
      <c r="G219" t="str" cm="1">
        <f t="array" aca="1" ref="G219" ca="1">INDEX(DepartmentList,RANDBETWEEN(1,ROWS(DepartmentList)))</f>
        <v>IT</v>
      </c>
      <c r="H219" s="1">
        <f t="shared" ca="1" si="14"/>
        <v>44994</v>
      </c>
      <c r="I219" s="4" t="str">
        <f ca="1">IF(IncidentTable[[#This Row],[Resolution Time (Days)]]="","",IncidentTable[[#This Row],[Created Date]]+IncidentTable[[#This Row],[Resolution Time (Days)]])</f>
        <v/>
      </c>
      <c r="J219" t="str">
        <f ca="1">IF(OR(IncidentTable[[#This Row],[Status]]="Resolved",IncidentTable[[#This Row],[Status]]="Closed"),RANDBETWEEN(1,120),"")</f>
        <v/>
      </c>
      <c r="K219" t="str">
        <f t="shared" ca="1" si="12"/>
        <v>Open</v>
      </c>
      <c r="L219" t="str" cm="1">
        <f t="array" aca="1" ref="L219" ca="1">INDEX(AnalystList,RANDBETWEEN(1,ROWS(AnalystList)))</f>
        <v>Riley Wilson</v>
      </c>
      <c r="M219" t="str" cm="1">
        <f t="array" aca="1" ref="M219" ca="1">INDEX(RootCauseList,RANDBETWEEN(1,ROWS(RootCauseList)))</f>
        <v>System Bug</v>
      </c>
      <c r="N219">
        <f t="shared" ca="1" si="15"/>
        <v>993.59</v>
      </c>
      <c r="O219" t="str">
        <f ca="1">IF(OR(IncidentTable[[#This Row],[Status]]="Resolved",IncidentTable[[#This Row],[Status]]="Closed"),
ROUND(IncidentTable[[#This Row],[Estimated Impact ($)]]*(1+RANDBETWEEN(-15,25)/100)+RAND(),2),
"")</f>
        <v/>
      </c>
      <c r="P219" t="str">
        <f ca="1">IF(IncidentTable[[#This Row],[Actual Impact ($)]]="","",ROUND(IncidentTable[[#This Row],[Actual Impact ($)]]-IncidentTable[[#This Row],[Estimated Impact ($)]],2))</f>
        <v/>
      </c>
      <c r="Q219" s="2" t="str">
        <f ca="1">IF(IncidentTable[[#This Row],[Actual Impact ($)]]="","",(IncidentTable[[#This Row],[Actual Impact ($)]]-IncidentTable[[#This Row],[Estimated Impact ($)]]) / IncidentTable[[#This Row],[Estimated Impact ($)]])</f>
        <v/>
      </c>
      <c r="R219" s="3">
        <f ca="1">IF(IncidentTable[[#This Row],[Priority]]="Critical",1,
IF(IncidentTable[[#This Row],[Priority]]="High",3,
IF(IncidentTable[[#This Row],[Priority]]="Medium",5,
IF(IncidentTable[[#This Row],[Priority]]="Low",10,""))))</f>
        <v>5</v>
      </c>
      <c r="S219" t="str">
        <f ca="1">IF(IncidentTable[[#This Row],[Resolution Time (Days)]]="","",
IF(IncidentTable[[#This Row],[Resolution Time (Days)]]&lt;=IncidentTable[[#This Row],[SLA Target (Days)]],"Yes","No"))</f>
        <v/>
      </c>
    </row>
    <row r="220" spans="1:19" x14ac:dyDescent="0.25">
      <c r="A220" t="str">
        <f t="shared" ca="1" si="13"/>
        <v>INC804387</v>
      </c>
      <c r="B220" t="str" cm="1">
        <f t="array" aca="1" ref="B220" ca="1">INDEX(SystemList,RANDBETWEEN(1,ROWS(SystemList)))</f>
        <v>Policy Admin System</v>
      </c>
      <c r="C220" t="str" cm="1">
        <f t="array" aca="1" ref="C220" ca="1">INDEX(IssueTypeList,RANDBETWEEN(1,ROWS(IssueTypeList)))</f>
        <v>System Error</v>
      </c>
      <c r="D220" t="str" cm="1">
        <f t="array" aca="1" ref="D220" ca="1">INDEX(PriorityList,RANDBETWEEN(1,ROWS(PriorityList)))</f>
        <v>Low</v>
      </c>
      <c r="E220" t="str" cm="1">
        <f t="array" aca="1" ref="E220" ca="1">INDEX(SeverityList,RANDBETWEEN(1,ROWS(SeverityList)))</f>
        <v>Major</v>
      </c>
      <c r="F220" t="str" cm="1">
        <f t="array" aca="1" ref="F220" ca="1">INDEX(RegionList,RANDBETWEEN(1,ROWS(RegionList)))</f>
        <v>East</v>
      </c>
      <c r="G220" t="str" cm="1">
        <f t="array" aca="1" ref="G220" ca="1">INDEX(DepartmentList,RANDBETWEEN(1,ROWS(DepartmentList)))</f>
        <v>Finance</v>
      </c>
      <c r="H220" s="1">
        <f t="shared" ca="1" si="14"/>
        <v>45082</v>
      </c>
      <c r="I220" s="4" t="str">
        <f ca="1">IF(IncidentTable[[#This Row],[Resolution Time (Days)]]="","",IncidentTable[[#This Row],[Created Date]]+IncidentTable[[#This Row],[Resolution Time (Days)]])</f>
        <v/>
      </c>
      <c r="J220" t="str">
        <f ca="1">IF(OR(IncidentTable[[#This Row],[Status]]="Resolved",IncidentTable[[#This Row],[Status]]="Closed"),RANDBETWEEN(1,120),"")</f>
        <v/>
      </c>
      <c r="K220" t="str">
        <f t="shared" ca="1" si="12"/>
        <v>Open</v>
      </c>
      <c r="L220" t="str" cm="1">
        <f t="array" aca="1" ref="L220" ca="1">INDEX(AnalystList,RANDBETWEEN(1,ROWS(AnalystList)))</f>
        <v>Riley Wilson</v>
      </c>
      <c r="M220" t="str" cm="1">
        <f t="array" aca="1" ref="M220" ca="1">INDEX(RootCauseList,RANDBETWEEN(1,ROWS(RootCauseList)))</f>
        <v>Data Error</v>
      </c>
      <c r="N220">
        <f t="shared" ca="1" si="15"/>
        <v>238.4</v>
      </c>
      <c r="O220" t="str">
        <f ca="1">IF(OR(IncidentTable[[#This Row],[Status]]="Resolved",IncidentTable[[#This Row],[Status]]="Closed"),
ROUND(IncidentTable[[#This Row],[Estimated Impact ($)]]*(1+RANDBETWEEN(-15,25)/100)+RAND(),2),
"")</f>
        <v/>
      </c>
      <c r="P220" t="str">
        <f ca="1">IF(IncidentTable[[#This Row],[Actual Impact ($)]]="","",ROUND(IncidentTable[[#This Row],[Actual Impact ($)]]-IncidentTable[[#This Row],[Estimated Impact ($)]],2))</f>
        <v/>
      </c>
      <c r="Q220" s="2" t="str">
        <f ca="1">IF(IncidentTable[[#This Row],[Actual Impact ($)]]="","",(IncidentTable[[#This Row],[Actual Impact ($)]]-IncidentTable[[#This Row],[Estimated Impact ($)]]) / IncidentTable[[#This Row],[Estimated Impact ($)]])</f>
        <v/>
      </c>
      <c r="R220" s="3">
        <f ca="1">IF(IncidentTable[[#This Row],[Priority]]="Critical",1,
IF(IncidentTable[[#This Row],[Priority]]="High",3,
IF(IncidentTable[[#This Row],[Priority]]="Medium",5,
IF(IncidentTable[[#This Row],[Priority]]="Low",10,""))))</f>
        <v>10</v>
      </c>
      <c r="S220" t="str">
        <f ca="1">IF(IncidentTable[[#This Row],[Resolution Time (Days)]]="","",
IF(IncidentTable[[#This Row],[Resolution Time (Days)]]&lt;=IncidentTable[[#This Row],[SLA Target (Days)]],"Yes","No"))</f>
        <v/>
      </c>
    </row>
    <row r="221" spans="1:19" x14ac:dyDescent="0.25">
      <c r="A221" t="str">
        <f t="shared" ca="1" si="13"/>
        <v>INC134596</v>
      </c>
      <c r="B221" t="str" cm="1">
        <f t="array" aca="1" ref="B221" ca="1">INDEX(SystemList,RANDBETWEEN(1,ROWS(SystemList)))</f>
        <v>Billing System</v>
      </c>
      <c r="C221" t="str" cm="1">
        <f t="array" aca="1" ref="C221" ca="1">INDEX(IssueTypeList,RANDBETWEEN(1,ROWS(IssueTypeList)))</f>
        <v>Performance Issue</v>
      </c>
      <c r="D221" t="str" cm="1">
        <f t="array" aca="1" ref="D221" ca="1">INDEX(PriorityList,RANDBETWEEN(1,ROWS(PriorityList)))</f>
        <v>Medium</v>
      </c>
      <c r="E221" t="str" cm="1">
        <f t="array" aca="1" ref="E221" ca="1">INDEX(SeverityList,RANDBETWEEN(1,ROWS(SeverityList)))</f>
        <v>Minor</v>
      </c>
      <c r="F221" t="str" cm="1">
        <f t="array" aca="1" ref="F221" ca="1">INDEX(RegionList,RANDBETWEEN(1,ROWS(RegionList)))</f>
        <v>West</v>
      </c>
      <c r="G221" t="str" cm="1">
        <f t="array" aca="1" ref="G221" ca="1">INDEX(DepartmentList,RANDBETWEEN(1,ROWS(DepartmentList)))</f>
        <v>Claims</v>
      </c>
      <c r="H221" s="1">
        <f t="shared" ca="1" si="14"/>
        <v>45118</v>
      </c>
      <c r="I221" s="4" t="str">
        <f ca="1">IF(IncidentTable[[#This Row],[Resolution Time (Days)]]="","",IncidentTable[[#This Row],[Created Date]]+IncidentTable[[#This Row],[Resolution Time (Days)]])</f>
        <v/>
      </c>
      <c r="J221" t="str">
        <f ca="1">IF(OR(IncidentTable[[#This Row],[Status]]="Resolved",IncidentTable[[#This Row],[Status]]="Closed"),RANDBETWEEN(1,120),"")</f>
        <v/>
      </c>
      <c r="K221" t="str">
        <f t="shared" ca="1" si="12"/>
        <v>In Progress</v>
      </c>
      <c r="L221" t="str" cm="1">
        <f t="array" aca="1" ref="L221" ca="1">INDEX(AnalystList,RANDBETWEEN(1,ROWS(AnalystList)))</f>
        <v>Morgan Davis</v>
      </c>
      <c r="M221" t="str" cm="1">
        <f t="array" aca="1" ref="M221" ca="1">INDEX(RootCauseList,RANDBETWEEN(1,ROWS(RootCauseList)))</f>
        <v>Configuration Issue</v>
      </c>
      <c r="N221">
        <f t="shared" ca="1" si="15"/>
        <v>8012.42</v>
      </c>
      <c r="O221" t="str">
        <f ca="1">IF(OR(IncidentTable[[#This Row],[Status]]="Resolved",IncidentTable[[#This Row],[Status]]="Closed"),
ROUND(IncidentTable[[#This Row],[Estimated Impact ($)]]*(1+RANDBETWEEN(-15,25)/100)+RAND(),2),
"")</f>
        <v/>
      </c>
      <c r="P221" t="str">
        <f ca="1">IF(IncidentTable[[#This Row],[Actual Impact ($)]]="","",ROUND(IncidentTable[[#This Row],[Actual Impact ($)]]-IncidentTable[[#This Row],[Estimated Impact ($)]],2))</f>
        <v/>
      </c>
      <c r="Q221" s="2" t="str">
        <f ca="1">IF(IncidentTable[[#This Row],[Actual Impact ($)]]="","",(IncidentTable[[#This Row],[Actual Impact ($)]]-IncidentTable[[#This Row],[Estimated Impact ($)]]) / IncidentTable[[#This Row],[Estimated Impact ($)]])</f>
        <v/>
      </c>
      <c r="R221" s="3">
        <f ca="1">IF(IncidentTable[[#This Row],[Priority]]="Critical",1,
IF(IncidentTable[[#This Row],[Priority]]="High",3,
IF(IncidentTable[[#This Row],[Priority]]="Medium",5,
IF(IncidentTable[[#This Row],[Priority]]="Low",10,""))))</f>
        <v>5</v>
      </c>
      <c r="S221" t="str">
        <f ca="1">IF(IncidentTable[[#This Row],[Resolution Time (Days)]]="","",
IF(IncidentTable[[#This Row],[Resolution Time (Days)]]&lt;=IncidentTable[[#This Row],[SLA Target (Days)]],"Yes","No"))</f>
        <v/>
      </c>
    </row>
    <row r="222" spans="1:19" x14ac:dyDescent="0.25">
      <c r="A222" t="str">
        <f t="shared" ca="1" si="13"/>
        <v>INC690670</v>
      </c>
      <c r="B222" t="str" cm="1">
        <f t="array" aca="1" ref="B222" ca="1">INDEX(SystemList,RANDBETWEEN(1,ROWS(SystemList)))</f>
        <v>Policy Admin System</v>
      </c>
      <c r="C222" t="str" cm="1">
        <f t="array" aca="1" ref="C222" ca="1">INDEX(IssueTypeList,RANDBETWEEN(1,ROWS(IssueTypeList)))</f>
        <v>Payment Failure</v>
      </c>
      <c r="D222" t="str" cm="1">
        <f t="array" aca="1" ref="D222" ca="1">INDEX(PriorityList,RANDBETWEEN(1,ROWS(PriorityList)))</f>
        <v>Low</v>
      </c>
      <c r="E222" t="str" cm="1">
        <f t="array" aca="1" ref="E222" ca="1">INDEX(SeverityList,RANDBETWEEN(1,ROWS(SeverityList)))</f>
        <v>Major</v>
      </c>
      <c r="F222" t="str" cm="1">
        <f t="array" aca="1" ref="F222" ca="1">INDEX(RegionList,RANDBETWEEN(1,ROWS(RegionList)))</f>
        <v>Central</v>
      </c>
      <c r="G222" t="str" cm="1">
        <f t="array" aca="1" ref="G222" ca="1">INDEX(DepartmentList,RANDBETWEEN(1,ROWS(DepartmentList)))</f>
        <v>Claims</v>
      </c>
      <c r="H222" s="1">
        <f t="shared" ca="1" si="14"/>
        <v>45170</v>
      </c>
      <c r="I222" s="4" t="str">
        <f ca="1">IF(IncidentTable[[#This Row],[Resolution Time (Days)]]="","",IncidentTable[[#This Row],[Created Date]]+IncidentTable[[#This Row],[Resolution Time (Days)]])</f>
        <v/>
      </c>
      <c r="J222" t="str">
        <f ca="1">IF(OR(IncidentTable[[#This Row],[Status]]="Resolved",IncidentTable[[#This Row],[Status]]="Closed"),RANDBETWEEN(1,120),"")</f>
        <v/>
      </c>
      <c r="K222" t="str">
        <f t="shared" ca="1" si="12"/>
        <v>Open</v>
      </c>
      <c r="L222" t="str" cm="1">
        <f t="array" aca="1" ref="L222" ca="1">INDEX(AnalystList,RANDBETWEEN(1,ROWS(AnalystList)))</f>
        <v>Alex Johnson</v>
      </c>
      <c r="M222" t="str" cm="1">
        <f t="array" aca="1" ref="M222" ca="1">INDEX(RootCauseList,RANDBETWEEN(1,ROWS(RootCauseList)))</f>
        <v>Data Error</v>
      </c>
      <c r="N222">
        <f t="shared" ca="1" si="15"/>
        <v>0.75</v>
      </c>
      <c r="O222" t="str">
        <f ca="1">IF(OR(IncidentTable[[#This Row],[Status]]="Resolved",IncidentTable[[#This Row],[Status]]="Closed"),
ROUND(IncidentTable[[#This Row],[Estimated Impact ($)]]*(1+RANDBETWEEN(-15,25)/100)+RAND(),2),
"")</f>
        <v/>
      </c>
      <c r="P222" t="str">
        <f ca="1">IF(IncidentTable[[#This Row],[Actual Impact ($)]]="","",ROUND(IncidentTable[[#This Row],[Actual Impact ($)]]-IncidentTable[[#This Row],[Estimated Impact ($)]],2))</f>
        <v/>
      </c>
      <c r="Q222" s="2" t="str">
        <f ca="1">IF(IncidentTable[[#This Row],[Actual Impact ($)]]="","",(IncidentTable[[#This Row],[Actual Impact ($)]]-IncidentTable[[#This Row],[Estimated Impact ($)]]) / IncidentTable[[#This Row],[Estimated Impact ($)]])</f>
        <v/>
      </c>
      <c r="R222" s="3">
        <f ca="1">IF(IncidentTable[[#This Row],[Priority]]="Critical",1,
IF(IncidentTable[[#This Row],[Priority]]="High",3,
IF(IncidentTable[[#This Row],[Priority]]="Medium",5,
IF(IncidentTable[[#This Row],[Priority]]="Low",10,""))))</f>
        <v>10</v>
      </c>
      <c r="S222" t="str">
        <f ca="1">IF(IncidentTable[[#This Row],[Resolution Time (Days)]]="","",
IF(IncidentTable[[#This Row],[Resolution Time (Days)]]&lt;=IncidentTable[[#This Row],[SLA Target (Days)]],"Yes","No"))</f>
        <v/>
      </c>
    </row>
    <row r="223" spans="1:19" x14ac:dyDescent="0.25">
      <c r="A223" t="str">
        <f t="shared" ca="1" si="13"/>
        <v>INC283109</v>
      </c>
      <c r="B223" t="str" cm="1">
        <f t="array" aca="1" ref="B223" ca="1">INDEX(SystemList,RANDBETWEEN(1,ROWS(SystemList)))</f>
        <v>Policy Admin System</v>
      </c>
      <c r="C223" t="str" cm="1">
        <f t="array" aca="1" ref="C223" ca="1">INDEX(IssueTypeList,RANDBETWEEN(1,ROWS(IssueTypeList)))</f>
        <v>Processing Delay</v>
      </c>
      <c r="D223" t="str" cm="1">
        <f t="array" aca="1" ref="D223" ca="1">INDEX(PriorityList,RANDBETWEEN(1,ROWS(PriorityList)))</f>
        <v>High</v>
      </c>
      <c r="E223" t="str" cm="1">
        <f t="array" aca="1" ref="E223" ca="1">INDEX(SeverityList,RANDBETWEEN(1,ROWS(SeverityList)))</f>
        <v>Minor</v>
      </c>
      <c r="F223" t="str" cm="1">
        <f t="array" aca="1" ref="F223" ca="1">INDEX(RegionList,RANDBETWEEN(1,ROWS(RegionList)))</f>
        <v>East</v>
      </c>
      <c r="G223" t="str" cm="1">
        <f t="array" aca="1" ref="G223" ca="1">INDEX(DepartmentList,RANDBETWEEN(1,ROWS(DepartmentList)))</f>
        <v>Finance</v>
      </c>
      <c r="H223" s="1">
        <f t="shared" ca="1" si="14"/>
        <v>45024</v>
      </c>
      <c r="I223" s="4" t="str">
        <f ca="1">IF(IncidentTable[[#This Row],[Resolution Time (Days)]]="","",IncidentTable[[#This Row],[Created Date]]+IncidentTable[[#This Row],[Resolution Time (Days)]])</f>
        <v/>
      </c>
      <c r="J223" t="str">
        <f ca="1">IF(OR(IncidentTable[[#This Row],[Status]]="Resolved",IncidentTable[[#This Row],[Status]]="Closed"),RANDBETWEEN(1,120),"")</f>
        <v/>
      </c>
      <c r="K223" t="str">
        <f t="shared" ca="1" si="12"/>
        <v>Pending</v>
      </c>
      <c r="L223" t="str" cm="1">
        <f t="array" aca="1" ref="L223" ca="1">INDEX(AnalystList,RANDBETWEEN(1,ROWS(AnalystList)))</f>
        <v>Riley Wilson</v>
      </c>
      <c r="M223" t="str" cm="1">
        <f t="array" aca="1" ref="M223" ca="1">INDEX(RootCauseList,RANDBETWEEN(1,ROWS(RootCauseList)))</f>
        <v>User Error</v>
      </c>
      <c r="N223">
        <f t="shared" ca="1" si="15"/>
        <v>1403.75</v>
      </c>
      <c r="O223" t="str">
        <f ca="1">IF(OR(IncidentTable[[#This Row],[Status]]="Resolved",IncidentTable[[#This Row],[Status]]="Closed"),
ROUND(IncidentTable[[#This Row],[Estimated Impact ($)]]*(1+RANDBETWEEN(-15,25)/100)+RAND(),2),
"")</f>
        <v/>
      </c>
      <c r="P223" t="str">
        <f ca="1">IF(IncidentTable[[#This Row],[Actual Impact ($)]]="","",ROUND(IncidentTable[[#This Row],[Actual Impact ($)]]-IncidentTable[[#This Row],[Estimated Impact ($)]],2))</f>
        <v/>
      </c>
      <c r="Q223" s="2" t="str">
        <f ca="1">IF(IncidentTable[[#This Row],[Actual Impact ($)]]="","",(IncidentTable[[#This Row],[Actual Impact ($)]]-IncidentTable[[#This Row],[Estimated Impact ($)]]) / IncidentTable[[#This Row],[Estimated Impact ($)]])</f>
        <v/>
      </c>
      <c r="R223" s="3">
        <f ca="1">IF(IncidentTable[[#This Row],[Priority]]="Critical",1,
IF(IncidentTable[[#This Row],[Priority]]="High",3,
IF(IncidentTable[[#This Row],[Priority]]="Medium",5,
IF(IncidentTable[[#This Row],[Priority]]="Low",10,""))))</f>
        <v>3</v>
      </c>
      <c r="S223" t="str">
        <f ca="1">IF(IncidentTable[[#This Row],[Resolution Time (Days)]]="","",
IF(IncidentTable[[#This Row],[Resolution Time (Days)]]&lt;=IncidentTable[[#This Row],[SLA Target (Days)]],"Yes","No"))</f>
        <v/>
      </c>
    </row>
    <row r="224" spans="1:19" x14ac:dyDescent="0.25">
      <c r="A224" t="str">
        <f t="shared" ca="1" si="13"/>
        <v>INC967885</v>
      </c>
      <c r="B224" t="str" cm="1">
        <f t="array" aca="1" ref="B224" ca="1">INDEX(SystemList,RANDBETWEEN(1,ROWS(SystemList)))</f>
        <v>Payment Processing</v>
      </c>
      <c r="C224" t="str" cm="1">
        <f t="array" aca="1" ref="C224" ca="1">INDEX(IssueTypeList,RANDBETWEEN(1,ROWS(IssueTypeList)))</f>
        <v>Complaint</v>
      </c>
      <c r="D224" t="str" cm="1">
        <f t="array" aca="1" ref="D224" ca="1">INDEX(PriorityList,RANDBETWEEN(1,ROWS(PriorityList)))</f>
        <v>Critical</v>
      </c>
      <c r="E224" t="str" cm="1">
        <f t="array" aca="1" ref="E224" ca="1">INDEX(SeverityList,RANDBETWEEN(1,ROWS(SeverityList)))</f>
        <v>Minor</v>
      </c>
      <c r="F224" t="str" cm="1">
        <f t="array" aca="1" ref="F224" ca="1">INDEX(RegionList,RANDBETWEEN(1,ROWS(RegionList)))</f>
        <v>Southeast</v>
      </c>
      <c r="G224" t="str" cm="1">
        <f t="array" aca="1" ref="G224" ca="1">INDEX(DepartmentList,RANDBETWEEN(1,ROWS(DepartmentList)))</f>
        <v>Compliance</v>
      </c>
      <c r="H224" s="1">
        <f t="shared" ca="1" si="14"/>
        <v>45387</v>
      </c>
      <c r="I224" s="4" t="str">
        <f ca="1">IF(IncidentTable[[#This Row],[Resolution Time (Days)]]="","",IncidentTable[[#This Row],[Created Date]]+IncidentTable[[#This Row],[Resolution Time (Days)]])</f>
        <v/>
      </c>
      <c r="J224" t="str">
        <f ca="1">IF(OR(IncidentTable[[#This Row],[Status]]="Resolved",IncidentTable[[#This Row],[Status]]="Closed"),RANDBETWEEN(1,120),"")</f>
        <v/>
      </c>
      <c r="K224" t="str">
        <f t="shared" ca="1" si="12"/>
        <v>Open</v>
      </c>
      <c r="L224" t="str" cm="1">
        <f t="array" aca="1" ref="L224" ca="1">INDEX(AnalystList,RANDBETWEEN(1,ROWS(AnalystList)))</f>
        <v>Riley Wilson</v>
      </c>
      <c r="M224" t="str" cm="1">
        <f t="array" aca="1" ref="M224" ca="1">INDEX(RootCauseList,RANDBETWEEN(1,ROWS(RootCauseList)))</f>
        <v>System Bug</v>
      </c>
      <c r="N224">
        <f t="shared" ca="1" si="15"/>
        <v>220.73</v>
      </c>
      <c r="O224" t="str">
        <f ca="1">IF(OR(IncidentTable[[#This Row],[Status]]="Resolved",IncidentTable[[#This Row],[Status]]="Closed"),
ROUND(IncidentTable[[#This Row],[Estimated Impact ($)]]*(1+RANDBETWEEN(-15,25)/100)+RAND(),2),
"")</f>
        <v/>
      </c>
      <c r="P224" t="str">
        <f ca="1">IF(IncidentTable[[#This Row],[Actual Impact ($)]]="","",ROUND(IncidentTable[[#This Row],[Actual Impact ($)]]-IncidentTable[[#This Row],[Estimated Impact ($)]],2))</f>
        <v/>
      </c>
      <c r="Q224" s="2" t="str">
        <f ca="1">IF(IncidentTable[[#This Row],[Actual Impact ($)]]="","",(IncidentTable[[#This Row],[Actual Impact ($)]]-IncidentTable[[#This Row],[Estimated Impact ($)]]) / IncidentTable[[#This Row],[Estimated Impact ($)]])</f>
        <v/>
      </c>
      <c r="R224" s="3">
        <f ca="1">IF(IncidentTable[[#This Row],[Priority]]="Critical",1,
IF(IncidentTable[[#This Row],[Priority]]="High",3,
IF(IncidentTable[[#This Row],[Priority]]="Medium",5,
IF(IncidentTable[[#This Row],[Priority]]="Low",10,""))))</f>
        <v>1</v>
      </c>
      <c r="S224" t="str">
        <f ca="1">IF(IncidentTable[[#This Row],[Resolution Time (Days)]]="","",
IF(IncidentTable[[#This Row],[Resolution Time (Days)]]&lt;=IncidentTable[[#This Row],[SLA Target (Days)]],"Yes","No"))</f>
        <v/>
      </c>
    </row>
    <row r="225" spans="1:19" x14ac:dyDescent="0.25">
      <c r="A225" t="str">
        <f t="shared" ca="1" si="13"/>
        <v>INC315483</v>
      </c>
      <c r="B225" t="str" cm="1">
        <f t="array" aca="1" ref="B225" ca="1">INDEX(SystemList,RANDBETWEEN(1,ROWS(SystemList)))</f>
        <v>Policy Admin System</v>
      </c>
      <c r="C225" t="str" cm="1">
        <f t="array" aca="1" ref="C225" ca="1">INDEX(IssueTypeList,RANDBETWEEN(1,ROWS(IssueTypeList)))</f>
        <v>Integration Failure</v>
      </c>
      <c r="D225" t="str" cm="1">
        <f t="array" aca="1" ref="D225" ca="1">INDEX(PriorityList,RANDBETWEEN(1,ROWS(PriorityList)))</f>
        <v>Critical</v>
      </c>
      <c r="E225" t="str" cm="1">
        <f t="array" aca="1" ref="E225" ca="1">INDEX(SeverityList,RANDBETWEEN(1,ROWS(SeverityList)))</f>
        <v>Moderate</v>
      </c>
      <c r="F225" t="str" cm="1">
        <f t="array" aca="1" ref="F225" ca="1">INDEX(RegionList,RANDBETWEEN(1,ROWS(RegionList)))</f>
        <v>East</v>
      </c>
      <c r="G225" t="str" cm="1">
        <f t="array" aca="1" ref="G225" ca="1">INDEX(DepartmentList,RANDBETWEEN(1,ROWS(DepartmentList)))</f>
        <v>Billing</v>
      </c>
      <c r="H225" s="1">
        <f t="shared" ca="1" si="14"/>
        <v>45282</v>
      </c>
      <c r="I225" s="4">
        <f ca="1">IF(IncidentTable[[#This Row],[Resolution Time (Days)]]="","",IncidentTable[[#This Row],[Created Date]]+IncidentTable[[#This Row],[Resolution Time (Days)]])</f>
        <v>45387</v>
      </c>
      <c r="J225">
        <f ca="1">IF(OR(IncidentTable[[#This Row],[Status]]="Resolved",IncidentTable[[#This Row],[Status]]="Closed"),RANDBETWEEN(1,120),"")</f>
        <v>105</v>
      </c>
      <c r="K225" t="str">
        <f t="shared" ca="1" si="12"/>
        <v>Closed</v>
      </c>
      <c r="L225" t="str" cm="1">
        <f t="array" aca="1" ref="L225" ca="1">INDEX(AnalystList,RANDBETWEEN(1,ROWS(AnalystList)))</f>
        <v>Taylor Smith</v>
      </c>
      <c r="M225" t="str" cm="1">
        <f t="array" aca="1" ref="M225" ca="1">INDEX(RootCauseList,RANDBETWEEN(1,ROWS(RootCauseList)))</f>
        <v>Configuration Issue</v>
      </c>
      <c r="N225">
        <f t="shared" ca="1" si="15"/>
        <v>222.23</v>
      </c>
      <c r="O225">
        <f ca="1">IF(OR(IncidentTable[[#This Row],[Status]]="Resolved",IncidentTable[[#This Row],[Status]]="Closed"),
ROUND(IncidentTable[[#This Row],[Estimated Impact ($)]]*(1+RANDBETWEEN(-15,25)/100)+RAND(),2),
"")</f>
        <v>245.35</v>
      </c>
      <c r="P225">
        <f ca="1">IF(IncidentTable[[#This Row],[Actual Impact ($)]]="","",ROUND(IncidentTable[[#This Row],[Actual Impact ($)]]-IncidentTable[[#This Row],[Estimated Impact ($)]],2))</f>
        <v>23.12</v>
      </c>
      <c r="Q225" s="2">
        <f ca="1">IF(IncidentTable[[#This Row],[Actual Impact ($)]]="","",(IncidentTable[[#This Row],[Actual Impact ($)]]-IncidentTable[[#This Row],[Estimated Impact ($)]]) / IncidentTable[[#This Row],[Estimated Impact ($)]])</f>
        <v>0.10403635872744456</v>
      </c>
      <c r="R225" s="3">
        <f ca="1">IF(IncidentTable[[#This Row],[Priority]]="Critical",1,
IF(IncidentTable[[#This Row],[Priority]]="High",3,
IF(IncidentTable[[#This Row],[Priority]]="Medium",5,
IF(IncidentTable[[#This Row],[Priority]]="Low",10,""))))</f>
        <v>1</v>
      </c>
      <c r="S225" t="str">
        <f ca="1">IF(IncidentTable[[#This Row],[Resolution Time (Days)]]="","",
IF(IncidentTable[[#This Row],[Resolution Time (Days)]]&lt;=IncidentTable[[#This Row],[SLA Target (Days)]],"Yes","No"))</f>
        <v>No</v>
      </c>
    </row>
    <row r="226" spans="1:19" x14ac:dyDescent="0.25">
      <c r="A226" t="str">
        <f t="shared" ca="1" si="13"/>
        <v>INC798189</v>
      </c>
      <c r="B226" t="str" cm="1">
        <f t="array" aca="1" ref="B226" ca="1">INDEX(SystemList,RANDBETWEEN(1,ROWS(SystemList)))</f>
        <v>Customer Portal</v>
      </c>
      <c r="C226" t="str" cm="1">
        <f t="array" aca="1" ref="C226" ca="1">INDEX(IssueTypeList,RANDBETWEEN(1,ROWS(IssueTypeList)))</f>
        <v>User Access Issue</v>
      </c>
      <c r="D226" t="str" cm="1">
        <f t="array" aca="1" ref="D226" ca="1">INDEX(PriorityList,RANDBETWEEN(1,ROWS(PriorityList)))</f>
        <v>Medium</v>
      </c>
      <c r="E226" t="str" cm="1">
        <f t="array" aca="1" ref="E226" ca="1">INDEX(SeverityList,RANDBETWEEN(1,ROWS(SeverityList)))</f>
        <v>Moderate</v>
      </c>
      <c r="F226" t="str" cm="1">
        <f t="array" aca="1" ref="F226" ca="1">INDEX(RegionList,RANDBETWEEN(1,ROWS(RegionList)))</f>
        <v>Midwest</v>
      </c>
      <c r="G226" t="str" cm="1">
        <f t="array" aca="1" ref="G226" ca="1">INDEX(DepartmentList,RANDBETWEEN(1,ROWS(DepartmentList)))</f>
        <v>IT</v>
      </c>
      <c r="H226" s="1">
        <f t="shared" ca="1" si="14"/>
        <v>45300</v>
      </c>
      <c r="I226" s="4" t="str">
        <f ca="1">IF(IncidentTable[[#This Row],[Resolution Time (Days)]]="","",IncidentTable[[#This Row],[Created Date]]+IncidentTable[[#This Row],[Resolution Time (Days)]])</f>
        <v/>
      </c>
      <c r="J226" t="str">
        <f ca="1">IF(OR(IncidentTable[[#This Row],[Status]]="Resolved",IncidentTable[[#This Row],[Status]]="Closed"),RANDBETWEEN(1,120),"")</f>
        <v/>
      </c>
      <c r="K226" t="str">
        <f t="shared" ca="1" si="12"/>
        <v>Open</v>
      </c>
      <c r="L226" t="str" cm="1">
        <f t="array" aca="1" ref="L226" ca="1">INDEX(AnalystList,RANDBETWEEN(1,ROWS(AnalystList)))</f>
        <v>Casey Brown</v>
      </c>
      <c r="M226" t="str" cm="1">
        <f t="array" aca="1" ref="M226" ca="1">INDEX(RootCauseList,RANDBETWEEN(1,ROWS(RootCauseList)))</f>
        <v>Unknown</v>
      </c>
      <c r="N226">
        <f t="shared" ca="1" si="15"/>
        <v>0.01</v>
      </c>
      <c r="O226" t="str">
        <f ca="1">IF(OR(IncidentTable[[#This Row],[Status]]="Resolved",IncidentTable[[#This Row],[Status]]="Closed"),
ROUND(IncidentTable[[#This Row],[Estimated Impact ($)]]*(1+RANDBETWEEN(-15,25)/100)+RAND(),2),
"")</f>
        <v/>
      </c>
      <c r="P226" t="str">
        <f ca="1">IF(IncidentTable[[#This Row],[Actual Impact ($)]]="","",ROUND(IncidentTable[[#This Row],[Actual Impact ($)]]-IncidentTable[[#This Row],[Estimated Impact ($)]],2))</f>
        <v/>
      </c>
      <c r="Q226" s="2" t="str">
        <f ca="1">IF(IncidentTable[[#This Row],[Actual Impact ($)]]="","",(IncidentTable[[#This Row],[Actual Impact ($)]]-IncidentTable[[#This Row],[Estimated Impact ($)]]) / IncidentTable[[#This Row],[Estimated Impact ($)]])</f>
        <v/>
      </c>
      <c r="R226" s="3">
        <f ca="1">IF(IncidentTable[[#This Row],[Priority]]="Critical",1,
IF(IncidentTable[[#This Row],[Priority]]="High",3,
IF(IncidentTable[[#This Row],[Priority]]="Medium",5,
IF(IncidentTable[[#This Row],[Priority]]="Low",10,""))))</f>
        <v>5</v>
      </c>
      <c r="S226" t="str">
        <f ca="1">IF(IncidentTable[[#This Row],[Resolution Time (Days)]]="","",
IF(IncidentTable[[#This Row],[Resolution Time (Days)]]&lt;=IncidentTable[[#This Row],[SLA Target (Days)]],"Yes","No"))</f>
        <v/>
      </c>
    </row>
    <row r="227" spans="1:19" x14ac:dyDescent="0.25">
      <c r="A227" t="str">
        <f t="shared" ca="1" si="13"/>
        <v>INC133899</v>
      </c>
      <c r="B227" t="str" cm="1">
        <f t="array" aca="1" ref="B227" ca="1">INDEX(SystemList,RANDBETWEEN(1,ROWS(SystemList)))</f>
        <v>Policy Admin System</v>
      </c>
      <c r="C227" t="str" cm="1">
        <f t="array" aca="1" ref="C227" ca="1">INDEX(IssueTypeList,RANDBETWEEN(1,ROWS(IssueTypeList)))</f>
        <v>Integration Failure</v>
      </c>
      <c r="D227" t="str" cm="1">
        <f t="array" aca="1" ref="D227" ca="1">INDEX(PriorityList,RANDBETWEEN(1,ROWS(PriorityList)))</f>
        <v>Medium</v>
      </c>
      <c r="E227" t="str" cm="1">
        <f t="array" aca="1" ref="E227" ca="1">INDEX(SeverityList,RANDBETWEEN(1,ROWS(SeverityList)))</f>
        <v>Major</v>
      </c>
      <c r="F227" t="str" cm="1">
        <f t="array" aca="1" ref="F227" ca="1">INDEX(RegionList,RANDBETWEEN(1,ROWS(RegionList)))</f>
        <v>Southeast</v>
      </c>
      <c r="G227" t="str" cm="1">
        <f t="array" aca="1" ref="G227" ca="1">INDEX(DepartmentList,RANDBETWEEN(1,ROWS(DepartmentList)))</f>
        <v>Billing</v>
      </c>
      <c r="H227" s="1">
        <f t="shared" ca="1" si="14"/>
        <v>45383</v>
      </c>
      <c r="I227" s="4" t="str">
        <f ca="1">IF(IncidentTable[[#This Row],[Resolution Time (Days)]]="","",IncidentTable[[#This Row],[Created Date]]+IncidentTable[[#This Row],[Resolution Time (Days)]])</f>
        <v/>
      </c>
      <c r="J227" t="str">
        <f ca="1">IF(OR(IncidentTable[[#This Row],[Status]]="Resolved",IncidentTable[[#This Row],[Status]]="Closed"),RANDBETWEEN(1,120),"")</f>
        <v/>
      </c>
      <c r="K227" t="str">
        <f t="shared" ca="1" si="12"/>
        <v>Pending</v>
      </c>
      <c r="L227" t="str" cm="1">
        <f t="array" aca="1" ref="L227" ca="1">INDEX(AnalystList,RANDBETWEEN(1,ROWS(AnalystList)))</f>
        <v>Morgan Davis</v>
      </c>
      <c r="M227" t="str" cm="1">
        <f t="array" aca="1" ref="M227" ca="1">INDEX(RootCauseList,RANDBETWEEN(1,ROWS(RootCauseList)))</f>
        <v>Unknown</v>
      </c>
      <c r="N227">
        <f t="shared" ca="1" si="15"/>
        <v>16.34</v>
      </c>
      <c r="O227" t="str">
        <f ca="1">IF(OR(IncidentTable[[#This Row],[Status]]="Resolved",IncidentTable[[#This Row],[Status]]="Closed"),
ROUND(IncidentTable[[#This Row],[Estimated Impact ($)]]*(1+RANDBETWEEN(-15,25)/100)+RAND(),2),
"")</f>
        <v/>
      </c>
      <c r="P227" t="str">
        <f ca="1">IF(IncidentTable[[#This Row],[Actual Impact ($)]]="","",ROUND(IncidentTable[[#This Row],[Actual Impact ($)]]-IncidentTable[[#This Row],[Estimated Impact ($)]],2))</f>
        <v/>
      </c>
      <c r="Q227" s="2" t="str">
        <f ca="1">IF(IncidentTable[[#This Row],[Actual Impact ($)]]="","",(IncidentTable[[#This Row],[Actual Impact ($)]]-IncidentTable[[#This Row],[Estimated Impact ($)]]) / IncidentTable[[#This Row],[Estimated Impact ($)]])</f>
        <v/>
      </c>
      <c r="R227" s="3">
        <f ca="1">IF(IncidentTable[[#This Row],[Priority]]="Critical",1,
IF(IncidentTable[[#This Row],[Priority]]="High",3,
IF(IncidentTable[[#This Row],[Priority]]="Medium",5,
IF(IncidentTable[[#This Row],[Priority]]="Low",10,""))))</f>
        <v>5</v>
      </c>
      <c r="S227" t="str">
        <f ca="1">IF(IncidentTable[[#This Row],[Resolution Time (Days)]]="","",
IF(IncidentTable[[#This Row],[Resolution Time (Days)]]&lt;=IncidentTable[[#This Row],[SLA Target (Days)]],"Yes","No"))</f>
        <v/>
      </c>
    </row>
    <row r="228" spans="1:19" x14ac:dyDescent="0.25">
      <c r="A228" t="str">
        <f t="shared" ca="1" si="13"/>
        <v>INC495188</v>
      </c>
      <c r="B228" t="str" cm="1">
        <f t="array" aca="1" ref="B228" ca="1">INDEX(SystemList,RANDBETWEEN(1,ROWS(SystemList)))</f>
        <v>Customer Portal</v>
      </c>
      <c r="C228" t="str" cm="1">
        <f t="array" aca="1" ref="C228" ca="1">INDEX(IssueTypeList,RANDBETWEEN(1,ROWS(IssueTypeList)))</f>
        <v>Integration Failure</v>
      </c>
      <c r="D228" t="str" cm="1">
        <f t="array" aca="1" ref="D228" ca="1">INDEX(PriorityList,RANDBETWEEN(1,ROWS(PriorityList)))</f>
        <v>Medium</v>
      </c>
      <c r="E228" t="str" cm="1">
        <f t="array" aca="1" ref="E228" ca="1">INDEX(SeverityList,RANDBETWEEN(1,ROWS(SeverityList)))</f>
        <v>Minor</v>
      </c>
      <c r="F228" t="str" cm="1">
        <f t="array" aca="1" ref="F228" ca="1">INDEX(RegionList,RANDBETWEEN(1,ROWS(RegionList)))</f>
        <v>East</v>
      </c>
      <c r="G228" t="str" cm="1">
        <f t="array" aca="1" ref="G228" ca="1">INDEX(DepartmentList,RANDBETWEEN(1,ROWS(DepartmentList)))</f>
        <v>Finance</v>
      </c>
      <c r="H228" s="1">
        <f t="shared" ca="1" si="14"/>
        <v>45455</v>
      </c>
      <c r="I228" s="4">
        <f ca="1">IF(IncidentTable[[#This Row],[Resolution Time (Days)]]="","",IncidentTable[[#This Row],[Created Date]]+IncidentTable[[#This Row],[Resolution Time (Days)]])</f>
        <v>45558</v>
      </c>
      <c r="J228">
        <f ca="1">IF(OR(IncidentTable[[#This Row],[Status]]="Resolved",IncidentTable[[#This Row],[Status]]="Closed"),RANDBETWEEN(1,120),"")</f>
        <v>103</v>
      </c>
      <c r="K228" t="str">
        <f t="shared" ca="1" si="12"/>
        <v>Resolved</v>
      </c>
      <c r="L228" t="str" cm="1">
        <f t="array" aca="1" ref="L228" ca="1">INDEX(AnalystList,RANDBETWEEN(1,ROWS(AnalystList)))</f>
        <v>Jordan Lee</v>
      </c>
      <c r="M228" t="str" cm="1">
        <f t="array" aca="1" ref="M228" ca="1">INDEX(RootCauseList,RANDBETWEEN(1,ROWS(RootCauseList)))</f>
        <v>Unknown</v>
      </c>
      <c r="N228">
        <f t="shared" ca="1" si="15"/>
        <v>15664.44</v>
      </c>
      <c r="O228">
        <f ca="1">IF(OR(IncidentTable[[#This Row],[Status]]="Resolved",IncidentTable[[#This Row],[Status]]="Closed"),
ROUND(IncidentTable[[#This Row],[Estimated Impact ($)]]*(1+RANDBETWEEN(-15,25)/100)+RAND(),2),
"")</f>
        <v>13628.98</v>
      </c>
      <c r="P228">
        <f ca="1">IF(IncidentTable[[#This Row],[Actual Impact ($)]]="","",ROUND(IncidentTable[[#This Row],[Actual Impact ($)]]-IncidentTable[[#This Row],[Estimated Impact ($)]],2))</f>
        <v>-2035.46</v>
      </c>
      <c r="Q228" s="2">
        <f ca="1">IF(IncidentTable[[#This Row],[Actual Impact ($)]]="","",(IncidentTable[[#This Row],[Actual Impact ($)]]-IncidentTable[[#This Row],[Estimated Impact ($)]]) / IncidentTable[[#This Row],[Estimated Impact ($)]])</f>
        <v>-0.12994144699714774</v>
      </c>
      <c r="R228" s="3">
        <f ca="1">IF(IncidentTable[[#This Row],[Priority]]="Critical",1,
IF(IncidentTable[[#This Row],[Priority]]="High",3,
IF(IncidentTable[[#This Row],[Priority]]="Medium",5,
IF(IncidentTable[[#This Row],[Priority]]="Low",10,""))))</f>
        <v>5</v>
      </c>
      <c r="S228" t="str">
        <f ca="1">IF(IncidentTable[[#This Row],[Resolution Time (Days)]]="","",
IF(IncidentTable[[#This Row],[Resolution Time (Days)]]&lt;=IncidentTable[[#This Row],[SLA Target (Days)]],"Yes","No"))</f>
        <v>No</v>
      </c>
    </row>
    <row r="229" spans="1:19" x14ac:dyDescent="0.25">
      <c r="A229" t="str">
        <f t="shared" ca="1" si="13"/>
        <v>INC466575</v>
      </c>
      <c r="B229" t="str" cm="1">
        <f t="array" aca="1" ref="B229" ca="1">INDEX(SystemList,RANDBETWEEN(1,ROWS(SystemList)))</f>
        <v>Customer Portal</v>
      </c>
      <c r="C229" t="str" cm="1">
        <f t="array" aca="1" ref="C229" ca="1">INDEX(IssueTypeList,RANDBETWEEN(1,ROWS(IssueTypeList)))</f>
        <v>Complaint</v>
      </c>
      <c r="D229" t="str" cm="1">
        <f t="array" aca="1" ref="D229" ca="1">INDEX(PriorityList,RANDBETWEEN(1,ROWS(PriorityList)))</f>
        <v>High</v>
      </c>
      <c r="E229" t="str" cm="1">
        <f t="array" aca="1" ref="E229" ca="1">INDEX(SeverityList,RANDBETWEEN(1,ROWS(SeverityList)))</f>
        <v>Major</v>
      </c>
      <c r="F229" t="str" cm="1">
        <f t="array" aca="1" ref="F229" ca="1">INDEX(RegionList,RANDBETWEEN(1,ROWS(RegionList)))</f>
        <v>Midwest</v>
      </c>
      <c r="G229" t="str" cm="1">
        <f t="array" aca="1" ref="G229" ca="1">INDEX(DepartmentList,RANDBETWEEN(1,ROWS(DepartmentList)))</f>
        <v>Claims</v>
      </c>
      <c r="H229" s="1">
        <f t="shared" ca="1" si="14"/>
        <v>45076</v>
      </c>
      <c r="I229" s="4">
        <f ca="1">IF(IncidentTable[[#This Row],[Resolution Time (Days)]]="","",IncidentTable[[#This Row],[Created Date]]+IncidentTable[[#This Row],[Resolution Time (Days)]])</f>
        <v>45118</v>
      </c>
      <c r="J229">
        <f ca="1">IF(OR(IncidentTable[[#This Row],[Status]]="Resolved",IncidentTable[[#This Row],[Status]]="Closed"),RANDBETWEEN(1,120),"")</f>
        <v>42</v>
      </c>
      <c r="K229" t="str">
        <f t="shared" ca="1" si="12"/>
        <v>Resolved</v>
      </c>
      <c r="L229" t="str" cm="1">
        <f t="array" aca="1" ref="L229" ca="1">INDEX(AnalystList,RANDBETWEEN(1,ROWS(AnalystList)))</f>
        <v>Alex Johnson</v>
      </c>
      <c r="M229" t="str" cm="1">
        <f t="array" aca="1" ref="M229" ca="1">INDEX(RootCauseList,RANDBETWEEN(1,ROWS(RootCauseList)))</f>
        <v>Integration Failure</v>
      </c>
      <c r="N229">
        <f t="shared" ca="1" si="15"/>
        <v>39464.980000000003</v>
      </c>
      <c r="O229">
        <f ca="1">IF(OR(IncidentTable[[#This Row],[Status]]="Resolved",IncidentTable[[#This Row],[Status]]="Closed"),
ROUND(IncidentTable[[#This Row],[Estimated Impact ($)]]*(1+RANDBETWEEN(-15,25)/100)+RAND(),2),
"")</f>
        <v>35124.379999999997</v>
      </c>
      <c r="P229">
        <f ca="1">IF(IncidentTable[[#This Row],[Actual Impact ($)]]="","",ROUND(IncidentTable[[#This Row],[Actual Impact ($)]]-IncidentTable[[#This Row],[Estimated Impact ($)]],2))</f>
        <v>-4340.6000000000004</v>
      </c>
      <c r="Q229" s="2">
        <f ca="1">IF(IncidentTable[[#This Row],[Actual Impact ($)]]="","",(IncidentTable[[#This Row],[Actual Impact ($)]]-IncidentTable[[#This Row],[Estimated Impact ($)]]) / IncidentTable[[#This Row],[Estimated Impact ($)]])</f>
        <v>-0.10998611933922189</v>
      </c>
      <c r="R229" s="3">
        <f ca="1">IF(IncidentTable[[#This Row],[Priority]]="Critical",1,
IF(IncidentTable[[#This Row],[Priority]]="High",3,
IF(IncidentTable[[#This Row],[Priority]]="Medium",5,
IF(IncidentTable[[#This Row],[Priority]]="Low",10,""))))</f>
        <v>3</v>
      </c>
      <c r="S229" t="str">
        <f ca="1">IF(IncidentTable[[#This Row],[Resolution Time (Days)]]="","",
IF(IncidentTable[[#This Row],[Resolution Time (Days)]]&lt;=IncidentTable[[#This Row],[SLA Target (Days)]],"Yes","No"))</f>
        <v>No</v>
      </c>
    </row>
    <row r="230" spans="1:19" x14ac:dyDescent="0.25">
      <c r="A230" t="str">
        <f t="shared" ca="1" si="13"/>
        <v>INC527112</v>
      </c>
      <c r="B230" t="str" cm="1">
        <f t="array" aca="1" ref="B230" ca="1">INDEX(SystemList,RANDBETWEEN(1,ROWS(SystemList)))</f>
        <v>Reporting System</v>
      </c>
      <c r="C230" t="str" cm="1">
        <f t="array" aca="1" ref="C230" ca="1">INDEX(IssueTypeList,RANDBETWEEN(1,ROWS(IssueTypeList)))</f>
        <v>Integration Failure</v>
      </c>
      <c r="D230" t="str" cm="1">
        <f t="array" aca="1" ref="D230" ca="1">INDEX(PriorityList,RANDBETWEEN(1,ROWS(PriorityList)))</f>
        <v>Low</v>
      </c>
      <c r="E230" t="str" cm="1">
        <f t="array" aca="1" ref="E230" ca="1">INDEX(SeverityList,RANDBETWEEN(1,ROWS(SeverityList)))</f>
        <v>Critical</v>
      </c>
      <c r="F230" t="str" cm="1">
        <f t="array" aca="1" ref="F230" ca="1">INDEX(RegionList,RANDBETWEEN(1,ROWS(RegionList)))</f>
        <v>East</v>
      </c>
      <c r="G230" t="str" cm="1">
        <f t="array" aca="1" ref="G230" ca="1">INDEX(DepartmentList,RANDBETWEEN(1,ROWS(DepartmentList)))</f>
        <v>IT</v>
      </c>
      <c r="H230" s="1">
        <f t="shared" ca="1" si="14"/>
        <v>45274</v>
      </c>
      <c r="I230" s="4">
        <f ca="1">IF(IncidentTable[[#This Row],[Resolution Time (Days)]]="","",IncidentTable[[#This Row],[Created Date]]+IncidentTable[[#This Row],[Resolution Time (Days)]])</f>
        <v>45342</v>
      </c>
      <c r="J230">
        <f ca="1">IF(OR(IncidentTable[[#This Row],[Status]]="Resolved",IncidentTable[[#This Row],[Status]]="Closed"),RANDBETWEEN(1,120),"")</f>
        <v>68</v>
      </c>
      <c r="K230" t="str">
        <f t="shared" ca="1" si="12"/>
        <v>Closed</v>
      </c>
      <c r="L230" t="str" cm="1">
        <f t="array" aca="1" ref="L230" ca="1">INDEX(AnalystList,RANDBETWEEN(1,ROWS(AnalystList)))</f>
        <v>Taylor Smith</v>
      </c>
      <c r="M230" t="str" cm="1">
        <f t="array" aca="1" ref="M230" ca="1">INDEX(RootCauseList,RANDBETWEEN(1,ROWS(RootCauseList)))</f>
        <v>Network Failure</v>
      </c>
      <c r="N230">
        <f t="shared" ca="1" si="15"/>
        <v>8575.02</v>
      </c>
      <c r="O230">
        <f ca="1">IF(OR(IncidentTable[[#This Row],[Status]]="Resolved",IncidentTable[[#This Row],[Status]]="Closed"),
ROUND(IncidentTable[[#This Row],[Estimated Impact ($)]]*(1+RANDBETWEEN(-15,25)/100)+RAND(),2),
"")</f>
        <v>9518.31</v>
      </c>
      <c r="P230">
        <f ca="1">IF(IncidentTable[[#This Row],[Actual Impact ($)]]="","",ROUND(IncidentTable[[#This Row],[Actual Impact ($)]]-IncidentTable[[#This Row],[Estimated Impact ($)]],2))</f>
        <v>943.29</v>
      </c>
      <c r="Q230" s="2">
        <f ca="1">IF(IncidentTable[[#This Row],[Actual Impact ($)]]="","",(IncidentTable[[#This Row],[Actual Impact ($)]]-IncidentTable[[#This Row],[Estimated Impact ($)]]) / IncidentTable[[#This Row],[Estimated Impact ($)]])</f>
        <v>0.11000440815298379</v>
      </c>
      <c r="R230" s="3">
        <f ca="1">IF(IncidentTable[[#This Row],[Priority]]="Critical",1,
IF(IncidentTable[[#This Row],[Priority]]="High",3,
IF(IncidentTable[[#This Row],[Priority]]="Medium",5,
IF(IncidentTable[[#This Row],[Priority]]="Low",10,""))))</f>
        <v>10</v>
      </c>
      <c r="S230" t="str">
        <f ca="1">IF(IncidentTable[[#This Row],[Resolution Time (Days)]]="","",
IF(IncidentTable[[#This Row],[Resolution Time (Days)]]&lt;=IncidentTable[[#This Row],[SLA Target (Days)]],"Yes","No"))</f>
        <v>No</v>
      </c>
    </row>
    <row r="231" spans="1:19" x14ac:dyDescent="0.25">
      <c r="A231" t="str">
        <f t="shared" ca="1" si="13"/>
        <v>INC874936</v>
      </c>
      <c r="B231" t="str" cm="1">
        <f t="array" aca="1" ref="B231" ca="1">INDEX(SystemList,RANDBETWEEN(1,ROWS(SystemList)))</f>
        <v>Customer Portal</v>
      </c>
      <c r="C231" t="str" cm="1">
        <f t="array" aca="1" ref="C231" ca="1">INDEX(IssueTypeList,RANDBETWEEN(1,ROWS(IssueTypeList)))</f>
        <v>Data Issue</v>
      </c>
      <c r="D231" t="str" cm="1">
        <f t="array" aca="1" ref="D231" ca="1">INDEX(PriorityList,RANDBETWEEN(1,ROWS(PriorityList)))</f>
        <v>Critical</v>
      </c>
      <c r="E231" t="str" cm="1">
        <f t="array" aca="1" ref="E231" ca="1">INDEX(SeverityList,RANDBETWEEN(1,ROWS(SeverityList)))</f>
        <v>Critical</v>
      </c>
      <c r="F231" t="str" cm="1">
        <f t="array" aca="1" ref="F231" ca="1">INDEX(RegionList,RANDBETWEEN(1,ROWS(RegionList)))</f>
        <v>Southeast</v>
      </c>
      <c r="G231" t="str" cm="1">
        <f t="array" aca="1" ref="G231" ca="1">INDEX(DepartmentList,RANDBETWEEN(1,ROWS(DepartmentList)))</f>
        <v>Compliance</v>
      </c>
      <c r="H231" s="1">
        <f t="shared" ca="1" si="14"/>
        <v>44968</v>
      </c>
      <c r="I231" s="4">
        <f ca="1">IF(IncidentTable[[#This Row],[Resolution Time (Days)]]="","",IncidentTable[[#This Row],[Created Date]]+IncidentTable[[#This Row],[Resolution Time (Days)]])</f>
        <v>45012</v>
      </c>
      <c r="J231">
        <f ca="1">IF(OR(IncidentTable[[#This Row],[Status]]="Resolved",IncidentTable[[#This Row],[Status]]="Closed"),RANDBETWEEN(1,120),"")</f>
        <v>44</v>
      </c>
      <c r="K231" t="str">
        <f t="shared" ca="1" si="12"/>
        <v>Closed</v>
      </c>
      <c r="L231" t="str" cm="1">
        <f t="array" aca="1" ref="L231" ca="1">INDEX(AnalystList,RANDBETWEEN(1,ROWS(AnalystList)))</f>
        <v>Morgan Davis</v>
      </c>
      <c r="M231" t="str" cm="1">
        <f t="array" aca="1" ref="M231" ca="1">INDEX(RootCauseList,RANDBETWEEN(1,ROWS(RootCauseList)))</f>
        <v>System Bug</v>
      </c>
      <c r="N231">
        <f t="shared" ca="1" si="15"/>
        <v>198.69</v>
      </c>
      <c r="O231">
        <f ca="1">IF(OR(IncidentTable[[#This Row],[Status]]="Resolved",IncidentTable[[#This Row],[Status]]="Closed"),
ROUND(IncidentTable[[#This Row],[Estimated Impact ($)]]*(1+RANDBETWEEN(-15,25)/100)+RAND(),2),
"")</f>
        <v>183.69</v>
      </c>
      <c r="P231">
        <f ca="1">IF(IncidentTable[[#This Row],[Actual Impact ($)]]="","",ROUND(IncidentTable[[#This Row],[Actual Impact ($)]]-IncidentTable[[#This Row],[Estimated Impact ($)]],2))</f>
        <v>-15</v>
      </c>
      <c r="Q231" s="2">
        <f ca="1">IF(IncidentTable[[#This Row],[Actual Impact ($)]]="","",(IncidentTable[[#This Row],[Actual Impact ($)]]-IncidentTable[[#This Row],[Estimated Impact ($)]]) / IncidentTable[[#This Row],[Estimated Impact ($)]])</f>
        <v>-7.5494488902310128E-2</v>
      </c>
      <c r="R231" s="3">
        <f ca="1">IF(IncidentTable[[#This Row],[Priority]]="Critical",1,
IF(IncidentTable[[#This Row],[Priority]]="High",3,
IF(IncidentTable[[#This Row],[Priority]]="Medium",5,
IF(IncidentTable[[#This Row],[Priority]]="Low",10,""))))</f>
        <v>1</v>
      </c>
      <c r="S231" t="str">
        <f ca="1">IF(IncidentTable[[#This Row],[Resolution Time (Days)]]="","",
IF(IncidentTable[[#This Row],[Resolution Time (Days)]]&lt;=IncidentTable[[#This Row],[SLA Target (Days)]],"Yes","No"))</f>
        <v>No</v>
      </c>
    </row>
    <row r="232" spans="1:19" x14ac:dyDescent="0.25">
      <c r="A232" t="str">
        <f t="shared" ca="1" si="13"/>
        <v>INC889974</v>
      </c>
      <c r="B232" t="str" cm="1">
        <f t="array" aca="1" ref="B232" ca="1">INDEX(SystemList,RANDBETWEEN(1,ROWS(SystemList)))</f>
        <v>Regulatory System</v>
      </c>
      <c r="C232" t="str" cm="1">
        <f t="array" aca="1" ref="C232" ca="1">INDEX(IssueTypeList,RANDBETWEEN(1,ROWS(IssueTypeList)))</f>
        <v>Integration Failure</v>
      </c>
      <c r="D232" t="str" cm="1">
        <f t="array" aca="1" ref="D232" ca="1">INDEX(PriorityList,RANDBETWEEN(1,ROWS(PriorityList)))</f>
        <v>Low</v>
      </c>
      <c r="E232" t="str" cm="1">
        <f t="array" aca="1" ref="E232" ca="1">INDEX(SeverityList,RANDBETWEEN(1,ROWS(SeverityList)))</f>
        <v>Critical</v>
      </c>
      <c r="F232" t="str" cm="1">
        <f t="array" aca="1" ref="F232" ca="1">INDEX(RegionList,RANDBETWEEN(1,ROWS(RegionList)))</f>
        <v>Midwest</v>
      </c>
      <c r="G232" t="str" cm="1">
        <f t="array" aca="1" ref="G232" ca="1">INDEX(DepartmentList,RANDBETWEEN(1,ROWS(DepartmentList)))</f>
        <v>Billing</v>
      </c>
      <c r="H232" s="1">
        <f t="shared" ca="1" si="14"/>
        <v>45418</v>
      </c>
      <c r="I232" s="4" t="str">
        <f ca="1">IF(IncidentTable[[#This Row],[Resolution Time (Days)]]="","",IncidentTable[[#This Row],[Created Date]]+IncidentTable[[#This Row],[Resolution Time (Days)]])</f>
        <v/>
      </c>
      <c r="J232" t="str">
        <f ca="1">IF(OR(IncidentTable[[#This Row],[Status]]="Resolved",IncidentTable[[#This Row],[Status]]="Closed"),RANDBETWEEN(1,120),"")</f>
        <v/>
      </c>
      <c r="K232" t="str">
        <f t="shared" ca="1" si="12"/>
        <v>Pending</v>
      </c>
      <c r="L232" t="str" cm="1">
        <f t="array" aca="1" ref="L232" ca="1">INDEX(AnalystList,RANDBETWEEN(1,ROWS(AnalystList)))</f>
        <v>Casey Brown</v>
      </c>
      <c r="M232" t="str" cm="1">
        <f t="array" aca="1" ref="M232" ca="1">INDEX(RootCauseList,RANDBETWEEN(1,ROWS(RootCauseList)))</f>
        <v>Process Gap</v>
      </c>
      <c r="N232">
        <f t="shared" ca="1" si="15"/>
        <v>42.21</v>
      </c>
      <c r="O232" t="str">
        <f ca="1">IF(OR(IncidentTable[[#This Row],[Status]]="Resolved",IncidentTable[[#This Row],[Status]]="Closed"),
ROUND(IncidentTable[[#This Row],[Estimated Impact ($)]]*(1+RANDBETWEEN(-15,25)/100)+RAND(),2),
"")</f>
        <v/>
      </c>
      <c r="P232" t="str">
        <f ca="1">IF(IncidentTable[[#This Row],[Actual Impact ($)]]="","",ROUND(IncidentTable[[#This Row],[Actual Impact ($)]]-IncidentTable[[#This Row],[Estimated Impact ($)]],2))</f>
        <v/>
      </c>
      <c r="Q232" s="2" t="str">
        <f ca="1">IF(IncidentTable[[#This Row],[Actual Impact ($)]]="","",(IncidentTable[[#This Row],[Actual Impact ($)]]-IncidentTable[[#This Row],[Estimated Impact ($)]]) / IncidentTable[[#This Row],[Estimated Impact ($)]])</f>
        <v/>
      </c>
      <c r="R232" s="3">
        <f ca="1">IF(IncidentTable[[#This Row],[Priority]]="Critical",1,
IF(IncidentTable[[#This Row],[Priority]]="High",3,
IF(IncidentTable[[#This Row],[Priority]]="Medium",5,
IF(IncidentTable[[#This Row],[Priority]]="Low",10,""))))</f>
        <v>10</v>
      </c>
      <c r="S232" t="str">
        <f ca="1">IF(IncidentTable[[#This Row],[Resolution Time (Days)]]="","",
IF(IncidentTable[[#This Row],[Resolution Time (Days)]]&lt;=IncidentTable[[#This Row],[SLA Target (Days)]],"Yes","No"))</f>
        <v/>
      </c>
    </row>
    <row r="233" spans="1:19" x14ac:dyDescent="0.25">
      <c r="A233" t="str">
        <f t="shared" ca="1" si="13"/>
        <v>INC104005</v>
      </c>
      <c r="B233" t="str" cm="1">
        <f t="array" aca="1" ref="B233" ca="1">INDEX(SystemList,RANDBETWEEN(1,ROWS(SystemList)))</f>
        <v>Claims System</v>
      </c>
      <c r="C233" t="str" cm="1">
        <f t="array" aca="1" ref="C233" ca="1">INDEX(IssueTypeList,RANDBETWEEN(1,ROWS(IssueTypeList)))</f>
        <v>Performance Issue</v>
      </c>
      <c r="D233" t="str" cm="1">
        <f t="array" aca="1" ref="D233" ca="1">INDEX(PriorityList,RANDBETWEEN(1,ROWS(PriorityList)))</f>
        <v>High</v>
      </c>
      <c r="E233" t="str" cm="1">
        <f t="array" aca="1" ref="E233" ca="1">INDEX(SeverityList,RANDBETWEEN(1,ROWS(SeverityList)))</f>
        <v>Critical</v>
      </c>
      <c r="F233" t="str" cm="1">
        <f t="array" aca="1" ref="F233" ca="1">INDEX(RegionList,RANDBETWEEN(1,ROWS(RegionList)))</f>
        <v>Southeast</v>
      </c>
      <c r="G233" t="str" cm="1">
        <f t="array" aca="1" ref="G233" ca="1">INDEX(DepartmentList,RANDBETWEEN(1,ROWS(DepartmentList)))</f>
        <v>Customer Service</v>
      </c>
      <c r="H233" s="1">
        <f t="shared" ca="1" si="14"/>
        <v>44984</v>
      </c>
      <c r="I233" s="4" t="str">
        <f ca="1">IF(IncidentTable[[#This Row],[Resolution Time (Days)]]="","",IncidentTable[[#This Row],[Created Date]]+IncidentTable[[#This Row],[Resolution Time (Days)]])</f>
        <v/>
      </c>
      <c r="J233" t="str">
        <f ca="1">IF(OR(IncidentTable[[#This Row],[Status]]="Resolved",IncidentTable[[#This Row],[Status]]="Closed"),RANDBETWEEN(1,120),"")</f>
        <v/>
      </c>
      <c r="K233" t="str">
        <f t="shared" ca="1" si="12"/>
        <v>Pending</v>
      </c>
      <c r="L233" t="str" cm="1">
        <f t="array" aca="1" ref="L233" ca="1">INDEX(AnalystList,RANDBETWEEN(1,ROWS(AnalystList)))</f>
        <v>Riley Wilson</v>
      </c>
      <c r="M233" t="str" cm="1">
        <f t="array" aca="1" ref="M233" ca="1">INDEX(RootCauseList,RANDBETWEEN(1,ROWS(RootCauseList)))</f>
        <v>Data Error</v>
      </c>
      <c r="N233">
        <f t="shared" ca="1" si="15"/>
        <v>8144.69</v>
      </c>
      <c r="O233" t="str">
        <f ca="1">IF(OR(IncidentTable[[#This Row],[Status]]="Resolved",IncidentTable[[#This Row],[Status]]="Closed"),
ROUND(IncidentTable[[#This Row],[Estimated Impact ($)]]*(1+RANDBETWEEN(-15,25)/100)+RAND(),2),
"")</f>
        <v/>
      </c>
      <c r="P233" t="str">
        <f ca="1">IF(IncidentTable[[#This Row],[Actual Impact ($)]]="","",ROUND(IncidentTable[[#This Row],[Actual Impact ($)]]-IncidentTable[[#This Row],[Estimated Impact ($)]],2))</f>
        <v/>
      </c>
      <c r="Q233" s="2" t="str">
        <f ca="1">IF(IncidentTable[[#This Row],[Actual Impact ($)]]="","",(IncidentTable[[#This Row],[Actual Impact ($)]]-IncidentTable[[#This Row],[Estimated Impact ($)]]) / IncidentTable[[#This Row],[Estimated Impact ($)]])</f>
        <v/>
      </c>
      <c r="R233" s="3">
        <f ca="1">IF(IncidentTable[[#This Row],[Priority]]="Critical",1,
IF(IncidentTable[[#This Row],[Priority]]="High",3,
IF(IncidentTable[[#This Row],[Priority]]="Medium",5,
IF(IncidentTable[[#This Row],[Priority]]="Low",10,""))))</f>
        <v>3</v>
      </c>
      <c r="S233" t="str">
        <f ca="1">IF(IncidentTable[[#This Row],[Resolution Time (Days)]]="","",
IF(IncidentTable[[#This Row],[Resolution Time (Days)]]&lt;=IncidentTable[[#This Row],[SLA Target (Days)]],"Yes","No"))</f>
        <v/>
      </c>
    </row>
    <row r="234" spans="1:19" x14ac:dyDescent="0.25">
      <c r="A234" t="str">
        <f t="shared" ca="1" si="13"/>
        <v>INC600042</v>
      </c>
      <c r="B234" t="str" cm="1">
        <f t="array" aca="1" ref="B234" ca="1">INDEX(SystemList,RANDBETWEEN(1,ROWS(SystemList)))</f>
        <v>Customer Portal</v>
      </c>
      <c r="C234" t="str" cm="1">
        <f t="array" aca="1" ref="C234" ca="1">INDEX(IssueTypeList,RANDBETWEEN(1,ROWS(IssueTypeList)))</f>
        <v>Integration Failure</v>
      </c>
      <c r="D234" t="str" cm="1">
        <f t="array" aca="1" ref="D234" ca="1">INDEX(PriorityList,RANDBETWEEN(1,ROWS(PriorityList)))</f>
        <v>Medium</v>
      </c>
      <c r="E234" t="str" cm="1">
        <f t="array" aca="1" ref="E234" ca="1">INDEX(SeverityList,RANDBETWEEN(1,ROWS(SeverityList)))</f>
        <v>Major</v>
      </c>
      <c r="F234" t="str" cm="1">
        <f t="array" aca="1" ref="F234" ca="1">INDEX(RegionList,RANDBETWEEN(1,ROWS(RegionList)))</f>
        <v>Southeast</v>
      </c>
      <c r="G234" t="str" cm="1">
        <f t="array" aca="1" ref="G234" ca="1">INDEX(DepartmentList,RANDBETWEEN(1,ROWS(DepartmentList)))</f>
        <v>Customer Service</v>
      </c>
      <c r="H234" s="1">
        <f t="shared" ca="1" si="14"/>
        <v>45252</v>
      </c>
      <c r="I234" s="4" t="str">
        <f ca="1">IF(IncidentTable[[#This Row],[Resolution Time (Days)]]="","",IncidentTable[[#This Row],[Created Date]]+IncidentTable[[#This Row],[Resolution Time (Days)]])</f>
        <v/>
      </c>
      <c r="J234" t="str">
        <f ca="1">IF(OR(IncidentTable[[#This Row],[Status]]="Resolved",IncidentTable[[#This Row],[Status]]="Closed"),RANDBETWEEN(1,120),"")</f>
        <v/>
      </c>
      <c r="K234" t="str">
        <f t="shared" ca="1" si="12"/>
        <v>Open</v>
      </c>
      <c r="L234" t="str" cm="1">
        <f t="array" aca="1" ref="L234" ca="1">INDEX(AnalystList,RANDBETWEEN(1,ROWS(AnalystList)))</f>
        <v>Jordan Lee</v>
      </c>
      <c r="M234" t="str" cm="1">
        <f t="array" aca="1" ref="M234" ca="1">INDEX(RootCauseList,RANDBETWEEN(1,ROWS(RootCauseList)))</f>
        <v>User Error</v>
      </c>
      <c r="N234">
        <f t="shared" ca="1" si="15"/>
        <v>1176.4100000000001</v>
      </c>
      <c r="O234" t="str">
        <f ca="1">IF(OR(IncidentTable[[#This Row],[Status]]="Resolved",IncidentTable[[#This Row],[Status]]="Closed"),
ROUND(IncidentTable[[#This Row],[Estimated Impact ($)]]*(1+RANDBETWEEN(-15,25)/100)+RAND(),2),
"")</f>
        <v/>
      </c>
      <c r="P234" t="str">
        <f ca="1">IF(IncidentTable[[#This Row],[Actual Impact ($)]]="","",ROUND(IncidentTable[[#This Row],[Actual Impact ($)]]-IncidentTable[[#This Row],[Estimated Impact ($)]],2))</f>
        <v/>
      </c>
      <c r="Q234" s="2" t="str">
        <f ca="1">IF(IncidentTable[[#This Row],[Actual Impact ($)]]="","",(IncidentTable[[#This Row],[Actual Impact ($)]]-IncidentTable[[#This Row],[Estimated Impact ($)]]) / IncidentTable[[#This Row],[Estimated Impact ($)]])</f>
        <v/>
      </c>
      <c r="R234" s="3">
        <f ca="1">IF(IncidentTable[[#This Row],[Priority]]="Critical",1,
IF(IncidentTable[[#This Row],[Priority]]="High",3,
IF(IncidentTable[[#This Row],[Priority]]="Medium",5,
IF(IncidentTable[[#This Row],[Priority]]="Low",10,""))))</f>
        <v>5</v>
      </c>
      <c r="S234" t="str">
        <f ca="1">IF(IncidentTable[[#This Row],[Resolution Time (Days)]]="","",
IF(IncidentTable[[#This Row],[Resolution Time (Days)]]&lt;=IncidentTable[[#This Row],[SLA Target (Days)]],"Yes","No"))</f>
        <v/>
      </c>
    </row>
    <row r="235" spans="1:19" x14ac:dyDescent="0.25">
      <c r="A235" t="str">
        <f t="shared" ca="1" si="13"/>
        <v>INC627726</v>
      </c>
      <c r="B235" t="str" cm="1">
        <f t="array" aca="1" ref="B235" ca="1">INDEX(SystemList,RANDBETWEEN(1,ROWS(SystemList)))</f>
        <v>Payment Processing</v>
      </c>
      <c r="C235" t="str" cm="1">
        <f t="array" aca="1" ref="C235" ca="1">INDEX(IssueTypeList,RANDBETWEEN(1,ROWS(IssueTypeList)))</f>
        <v>Integration Failure</v>
      </c>
      <c r="D235" t="str" cm="1">
        <f t="array" aca="1" ref="D235" ca="1">INDEX(PriorityList,RANDBETWEEN(1,ROWS(PriorityList)))</f>
        <v>Low</v>
      </c>
      <c r="E235" t="str" cm="1">
        <f t="array" aca="1" ref="E235" ca="1">INDEX(SeverityList,RANDBETWEEN(1,ROWS(SeverityList)))</f>
        <v>Minor</v>
      </c>
      <c r="F235" t="str" cm="1">
        <f t="array" aca="1" ref="F235" ca="1">INDEX(RegionList,RANDBETWEEN(1,ROWS(RegionList)))</f>
        <v>Midwest</v>
      </c>
      <c r="G235" t="str" cm="1">
        <f t="array" aca="1" ref="G235" ca="1">INDEX(DepartmentList,RANDBETWEEN(1,ROWS(DepartmentList)))</f>
        <v>Claims</v>
      </c>
      <c r="H235" s="1">
        <f t="shared" ca="1" si="14"/>
        <v>45086</v>
      </c>
      <c r="I235" s="4">
        <f ca="1">IF(IncidentTable[[#This Row],[Resolution Time (Days)]]="","",IncidentTable[[#This Row],[Created Date]]+IncidentTable[[#This Row],[Resolution Time (Days)]])</f>
        <v>45188</v>
      </c>
      <c r="J235">
        <f ca="1">IF(OR(IncidentTable[[#This Row],[Status]]="Resolved",IncidentTable[[#This Row],[Status]]="Closed"),RANDBETWEEN(1,120),"")</f>
        <v>102</v>
      </c>
      <c r="K235" t="str">
        <f t="shared" ca="1" si="12"/>
        <v>Closed</v>
      </c>
      <c r="L235" t="str" cm="1">
        <f t="array" aca="1" ref="L235" ca="1">INDEX(AnalystList,RANDBETWEEN(1,ROWS(AnalystList)))</f>
        <v>Taylor Smith</v>
      </c>
      <c r="M235" t="str" cm="1">
        <f t="array" aca="1" ref="M235" ca="1">INDEX(RootCauseList,RANDBETWEEN(1,ROWS(RootCauseList)))</f>
        <v>Data Error</v>
      </c>
      <c r="N235">
        <f t="shared" ca="1" si="15"/>
        <v>50.12</v>
      </c>
      <c r="O235">
        <f ca="1">IF(OR(IncidentTable[[#This Row],[Status]]="Resolved",IncidentTable[[#This Row],[Status]]="Closed"),
ROUND(IncidentTable[[#This Row],[Estimated Impact ($)]]*(1+RANDBETWEEN(-15,25)/100)+RAND(),2),
"")</f>
        <v>54.84</v>
      </c>
      <c r="P235">
        <f ca="1">IF(IncidentTable[[#This Row],[Actual Impact ($)]]="","",ROUND(IncidentTable[[#This Row],[Actual Impact ($)]]-IncidentTable[[#This Row],[Estimated Impact ($)]],2))</f>
        <v>4.72</v>
      </c>
      <c r="Q235" s="2">
        <f ca="1">IF(IncidentTable[[#This Row],[Actual Impact ($)]]="","",(IncidentTable[[#This Row],[Actual Impact ($)]]-IncidentTable[[#This Row],[Estimated Impact ($)]]) / IncidentTable[[#This Row],[Estimated Impact ($)]])</f>
        <v>9.4173982442138995E-2</v>
      </c>
      <c r="R235" s="3">
        <f ca="1">IF(IncidentTable[[#This Row],[Priority]]="Critical",1,
IF(IncidentTable[[#This Row],[Priority]]="High",3,
IF(IncidentTable[[#This Row],[Priority]]="Medium",5,
IF(IncidentTable[[#This Row],[Priority]]="Low",10,""))))</f>
        <v>10</v>
      </c>
      <c r="S235" t="str">
        <f ca="1">IF(IncidentTable[[#This Row],[Resolution Time (Days)]]="","",
IF(IncidentTable[[#This Row],[Resolution Time (Days)]]&lt;=IncidentTable[[#This Row],[SLA Target (Days)]],"Yes","No"))</f>
        <v>No</v>
      </c>
    </row>
    <row r="236" spans="1:19" x14ac:dyDescent="0.25">
      <c r="A236" t="str">
        <f t="shared" ca="1" si="13"/>
        <v>INC262206</v>
      </c>
      <c r="B236" t="str" cm="1">
        <f t="array" aca="1" ref="B236" ca="1">INDEX(SystemList,RANDBETWEEN(1,ROWS(SystemList)))</f>
        <v>Reporting System</v>
      </c>
      <c r="C236" t="str" cm="1">
        <f t="array" aca="1" ref="C236" ca="1">INDEX(IssueTypeList,RANDBETWEEN(1,ROWS(IssueTypeList)))</f>
        <v>Performance Issue</v>
      </c>
      <c r="D236" t="str" cm="1">
        <f t="array" aca="1" ref="D236" ca="1">INDEX(PriorityList,RANDBETWEEN(1,ROWS(PriorityList)))</f>
        <v>High</v>
      </c>
      <c r="E236" t="str" cm="1">
        <f t="array" aca="1" ref="E236" ca="1">INDEX(SeverityList,RANDBETWEEN(1,ROWS(SeverityList)))</f>
        <v>Minor</v>
      </c>
      <c r="F236" t="str" cm="1">
        <f t="array" aca="1" ref="F236" ca="1">INDEX(RegionList,RANDBETWEEN(1,ROWS(RegionList)))</f>
        <v>Central</v>
      </c>
      <c r="G236" t="str" cm="1">
        <f t="array" aca="1" ref="G236" ca="1">INDEX(DepartmentList,RANDBETWEEN(1,ROWS(DepartmentList)))</f>
        <v>Customer Service</v>
      </c>
      <c r="H236" s="1">
        <f t="shared" ca="1" si="14"/>
        <v>45283</v>
      </c>
      <c r="I236" s="4">
        <f ca="1">IF(IncidentTable[[#This Row],[Resolution Time (Days)]]="","",IncidentTable[[#This Row],[Created Date]]+IncidentTable[[#This Row],[Resolution Time (Days)]])</f>
        <v>45387</v>
      </c>
      <c r="J236">
        <f ca="1">IF(OR(IncidentTable[[#This Row],[Status]]="Resolved",IncidentTable[[#This Row],[Status]]="Closed"),RANDBETWEEN(1,120),"")</f>
        <v>104</v>
      </c>
      <c r="K236" t="str">
        <f t="shared" ca="1" si="12"/>
        <v>Resolved</v>
      </c>
      <c r="L236" t="str" cm="1">
        <f t="array" aca="1" ref="L236" ca="1">INDEX(AnalystList,RANDBETWEEN(1,ROWS(AnalystList)))</f>
        <v>Jordan Lee</v>
      </c>
      <c r="M236" t="str" cm="1">
        <f t="array" aca="1" ref="M236" ca="1">INDEX(RootCauseList,RANDBETWEEN(1,ROWS(RootCauseList)))</f>
        <v>Unknown</v>
      </c>
      <c r="N236">
        <f t="shared" ca="1" si="15"/>
        <v>190.78</v>
      </c>
      <c r="O236">
        <f ca="1">IF(OR(IncidentTable[[#This Row],[Status]]="Resolved",IncidentTable[[#This Row],[Status]]="Closed"),
ROUND(IncidentTable[[#This Row],[Estimated Impact ($)]]*(1+RANDBETWEEN(-15,25)/100)+RAND(),2),
"")</f>
        <v>208.14</v>
      </c>
      <c r="P236">
        <f ca="1">IF(IncidentTable[[#This Row],[Actual Impact ($)]]="","",ROUND(IncidentTable[[#This Row],[Actual Impact ($)]]-IncidentTable[[#This Row],[Estimated Impact ($)]],2))</f>
        <v>17.36</v>
      </c>
      <c r="Q236" s="2">
        <f ca="1">IF(IncidentTable[[#This Row],[Actual Impact ($)]]="","",(IncidentTable[[#This Row],[Actual Impact ($)]]-IncidentTable[[#This Row],[Estimated Impact ($)]]) / IncidentTable[[#This Row],[Estimated Impact ($)]])</f>
        <v>9.0994863193206751E-2</v>
      </c>
      <c r="R236" s="3">
        <f ca="1">IF(IncidentTable[[#This Row],[Priority]]="Critical",1,
IF(IncidentTable[[#This Row],[Priority]]="High",3,
IF(IncidentTable[[#This Row],[Priority]]="Medium",5,
IF(IncidentTable[[#This Row],[Priority]]="Low",10,""))))</f>
        <v>3</v>
      </c>
      <c r="S236" t="str">
        <f ca="1">IF(IncidentTable[[#This Row],[Resolution Time (Days)]]="","",
IF(IncidentTable[[#This Row],[Resolution Time (Days)]]&lt;=IncidentTable[[#This Row],[SLA Target (Days)]],"Yes","No"))</f>
        <v>No</v>
      </c>
    </row>
    <row r="237" spans="1:19" x14ac:dyDescent="0.25">
      <c r="A237" t="str">
        <f t="shared" ca="1" si="13"/>
        <v>INC523974</v>
      </c>
      <c r="B237" t="str" cm="1">
        <f t="array" aca="1" ref="B237" ca="1">INDEX(SystemList,RANDBETWEEN(1,ROWS(SystemList)))</f>
        <v>Policy Admin System</v>
      </c>
      <c r="C237" t="str" cm="1">
        <f t="array" aca="1" ref="C237" ca="1">INDEX(IssueTypeList,RANDBETWEEN(1,ROWS(IssueTypeList)))</f>
        <v>System Error</v>
      </c>
      <c r="D237" t="str" cm="1">
        <f t="array" aca="1" ref="D237" ca="1">INDEX(PriorityList,RANDBETWEEN(1,ROWS(PriorityList)))</f>
        <v>Critical</v>
      </c>
      <c r="E237" t="str" cm="1">
        <f t="array" aca="1" ref="E237" ca="1">INDEX(SeverityList,RANDBETWEEN(1,ROWS(SeverityList)))</f>
        <v>Major</v>
      </c>
      <c r="F237" t="str" cm="1">
        <f t="array" aca="1" ref="F237" ca="1">INDEX(RegionList,RANDBETWEEN(1,ROWS(RegionList)))</f>
        <v>West</v>
      </c>
      <c r="G237" t="str" cm="1">
        <f t="array" aca="1" ref="G237" ca="1">INDEX(DepartmentList,RANDBETWEEN(1,ROWS(DepartmentList)))</f>
        <v>Customer Service</v>
      </c>
      <c r="H237" s="1">
        <f t="shared" ca="1" si="14"/>
        <v>45468</v>
      </c>
      <c r="I237" s="4" t="str">
        <f ca="1">IF(IncidentTable[[#This Row],[Resolution Time (Days)]]="","",IncidentTable[[#This Row],[Created Date]]+IncidentTable[[#This Row],[Resolution Time (Days)]])</f>
        <v/>
      </c>
      <c r="J237" t="str">
        <f ca="1">IF(OR(IncidentTable[[#This Row],[Status]]="Resolved",IncidentTable[[#This Row],[Status]]="Closed"),RANDBETWEEN(1,120),"")</f>
        <v/>
      </c>
      <c r="K237" t="str">
        <f t="shared" ca="1" si="12"/>
        <v>Pending</v>
      </c>
      <c r="L237" t="str" cm="1">
        <f t="array" aca="1" ref="L237" ca="1">INDEX(AnalystList,RANDBETWEEN(1,ROWS(AnalystList)))</f>
        <v>Alex Johnson</v>
      </c>
      <c r="M237" t="str" cm="1">
        <f t="array" aca="1" ref="M237" ca="1">INDEX(RootCauseList,RANDBETWEEN(1,ROWS(RootCauseList)))</f>
        <v>Unknown</v>
      </c>
      <c r="N237">
        <f t="shared" ca="1" si="15"/>
        <v>47726.12</v>
      </c>
      <c r="O237" t="str">
        <f ca="1">IF(OR(IncidentTable[[#This Row],[Status]]="Resolved",IncidentTable[[#This Row],[Status]]="Closed"),
ROUND(IncidentTable[[#This Row],[Estimated Impact ($)]]*(1+RANDBETWEEN(-15,25)/100)+RAND(),2),
"")</f>
        <v/>
      </c>
      <c r="P237" t="str">
        <f ca="1">IF(IncidentTable[[#This Row],[Actual Impact ($)]]="","",ROUND(IncidentTable[[#This Row],[Actual Impact ($)]]-IncidentTable[[#This Row],[Estimated Impact ($)]],2))</f>
        <v/>
      </c>
      <c r="Q237" s="2" t="str">
        <f ca="1">IF(IncidentTable[[#This Row],[Actual Impact ($)]]="","",(IncidentTable[[#This Row],[Actual Impact ($)]]-IncidentTable[[#This Row],[Estimated Impact ($)]]) / IncidentTable[[#This Row],[Estimated Impact ($)]])</f>
        <v/>
      </c>
      <c r="R237" s="3">
        <f ca="1">IF(IncidentTable[[#This Row],[Priority]]="Critical",1,
IF(IncidentTable[[#This Row],[Priority]]="High",3,
IF(IncidentTable[[#This Row],[Priority]]="Medium",5,
IF(IncidentTable[[#This Row],[Priority]]="Low",10,""))))</f>
        <v>1</v>
      </c>
      <c r="S237" t="str">
        <f ca="1">IF(IncidentTable[[#This Row],[Resolution Time (Days)]]="","",
IF(IncidentTable[[#This Row],[Resolution Time (Days)]]&lt;=IncidentTable[[#This Row],[SLA Target (Days)]],"Yes","No"))</f>
        <v/>
      </c>
    </row>
    <row r="238" spans="1:19" x14ac:dyDescent="0.25">
      <c r="A238" t="str">
        <f t="shared" ca="1" si="13"/>
        <v>INC576837</v>
      </c>
      <c r="B238" t="str" cm="1">
        <f t="array" aca="1" ref="B238" ca="1">INDEX(SystemList,RANDBETWEEN(1,ROWS(SystemList)))</f>
        <v>Claims System</v>
      </c>
      <c r="C238" t="str" cm="1">
        <f t="array" aca="1" ref="C238" ca="1">INDEX(IssueTypeList,RANDBETWEEN(1,ROWS(IssueTypeList)))</f>
        <v>Performance Issue</v>
      </c>
      <c r="D238" t="str" cm="1">
        <f t="array" aca="1" ref="D238" ca="1">INDEX(PriorityList,RANDBETWEEN(1,ROWS(PriorityList)))</f>
        <v>Medium</v>
      </c>
      <c r="E238" t="str" cm="1">
        <f t="array" aca="1" ref="E238" ca="1">INDEX(SeverityList,RANDBETWEEN(1,ROWS(SeverityList)))</f>
        <v>Major</v>
      </c>
      <c r="F238" t="str" cm="1">
        <f t="array" aca="1" ref="F238" ca="1">INDEX(RegionList,RANDBETWEEN(1,ROWS(RegionList)))</f>
        <v>Midwest</v>
      </c>
      <c r="G238" t="str" cm="1">
        <f t="array" aca="1" ref="G238" ca="1">INDEX(DepartmentList,RANDBETWEEN(1,ROWS(DepartmentList)))</f>
        <v>Customer Service</v>
      </c>
      <c r="H238" s="1">
        <f t="shared" ca="1" si="14"/>
        <v>45271</v>
      </c>
      <c r="I238" s="4" t="str">
        <f ca="1">IF(IncidentTable[[#This Row],[Resolution Time (Days)]]="","",IncidentTable[[#This Row],[Created Date]]+IncidentTable[[#This Row],[Resolution Time (Days)]])</f>
        <v/>
      </c>
      <c r="J238" t="str">
        <f ca="1">IF(OR(IncidentTable[[#This Row],[Status]]="Resolved",IncidentTable[[#This Row],[Status]]="Closed"),RANDBETWEEN(1,120),"")</f>
        <v/>
      </c>
      <c r="K238" t="str">
        <f t="shared" ca="1" si="12"/>
        <v>Pending</v>
      </c>
      <c r="L238" t="str" cm="1">
        <f t="array" aca="1" ref="L238" ca="1">INDEX(AnalystList,RANDBETWEEN(1,ROWS(AnalystList)))</f>
        <v>Jordan Lee</v>
      </c>
      <c r="M238" t="str" cm="1">
        <f t="array" aca="1" ref="M238" ca="1">INDEX(RootCauseList,RANDBETWEEN(1,ROWS(RootCauseList)))</f>
        <v>System Bug</v>
      </c>
      <c r="N238">
        <f t="shared" ca="1" si="15"/>
        <v>2940.79</v>
      </c>
      <c r="O238" t="str">
        <f ca="1">IF(OR(IncidentTable[[#This Row],[Status]]="Resolved",IncidentTable[[#This Row],[Status]]="Closed"),
ROUND(IncidentTable[[#This Row],[Estimated Impact ($)]]*(1+RANDBETWEEN(-15,25)/100)+RAND(),2),
"")</f>
        <v/>
      </c>
      <c r="P238" t="str">
        <f ca="1">IF(IncidentTable[[#This Row],[Actual Impact ($)]]="","",ROUND(IncidentTable[[#This Row],[Actual Impact ($)]]-IncidentTable[[#This Row],[Estimated Impact ($)]],2))</f>
        <v/>
      </c>
      <c r="Q238" s="2" t="str">
        <f ca="1">IF(IncidentTable[[#This Row],[Actual Impact ($)]]="","",(IncidentTable[[#This Row],[Actual Impact ($)]]-IncidentTable[[#This Row],[Estimated Impact ($)]]) / IncidentTable[[#This Row],[Estimated Impact ($)]])</f>
        <v/>
      </c>
      <c r="R238" s="3">
        <f ca="1">IF(IncidentTable[[#This Row],[Priority]]="Critical",1,
IF(IncidentTable[[#This Row],[Priority]]="High",3,
IF(IncidentTable[[#This Row],[Priority]]="Medium",5,
IF(IncidentTable[[#This Row],[Priority]]="Low",10,""))))</f>
        <v>5</v>
      </c>
      <c r="S238" t="str">
        <f ca="1">IF(IncidentTable[[#This Row],[Resolution Time (Days)]]="","",
IF(IncidentTable[[#This Row],[Resolution Time (Days)]]&lt;=IncidentTable[[#This Row],[SLA Target (Days)]],"Yes","No"))</f>
        <v/>
      </c>
    </row>
    <row r="239" spans="1:19" x14ac:dyDescent="0.25">
      <c r="A239" t="str">
        <f t="shared" ca="1" si="13"/>
        <v>INC247166</v>
      </c>
      <c r="B239" t="str" cm="1">
        <f t="array" aca="1" ref="B239" ca="1">INDEX(SystemList,RANDBETWEEN(1,ROWS(SystemList)))</f>
        <v>Policy Admin System</v>
      </c>
      <c r="C239" t="str" cm="1">
        <f t="array" aca="1" ref="C239" ca="1">INDEX(IssueTypeList,RANDBETWEEN(1,ROWS(IssueTypeList)))</f>
        <v>Data Issue</v>
      </c>
      <c r="D239" t="str" cm="1">
        <f t="array" aca="1" ref="D239" ca="1">INDEX(PriorityList,RANDBETWEEN(1,ROWS(PriorityList)))</f>
        <v>Critical</v>
      </c>
      <c r="E239" t="str" cm="1">
        <f t="array" aca="1" ref="E239" ca="1">INDEX(SeverityList,RANDBETWEEN(1,ROWS(SeverityList)))</f>
        <v>Critical</v>
      </c>
      <c r="F239" t="str" cm="1">
        <f t="array" aca="1" ref="F239" ca="1">INDEX(RegionList,RANDBETWEEN(1,ROWS(RegionList)))</f>
        <v>East</v>
      </c>
      <c r="G239" t="str" cm="1">
        <f t="array" aca="1" ref="G239" ca="1">INDEX(DepartmentList,RANDBETWEEN(1,ROWS(DepartmentList)))</f>
        <v>Claims</v>
      </c>
      <c r="H239" s="1">
        <f t="shared" ca="1" si="14"/>
        <v>45026</v>
      </c>
      <c r="I239" s="4" t="str">
        <f ca="1">IF(IncidentTable[[#This Row],[Resolution Time (Days)]]="","",IncidentTable[[#This Row],[Created Date]]+IncidentTable[[#This Row],[Resolution Time (Days)]])</f>
        <v/>
      </c>
      <c r="J239" t="str">
        <f ca="1">IF(OR(IncidentTable[[#This Row],[Status]]="Resolved",IncidentTable[[#This Row],[Status]]="Closed"),RANDBETWEEN(1,120),"")</f>
        <v/>
      </c>
      <c r="K239" t="str">
        <f t="shared" ca="1" si="12"/>
        <v>Open</v>
      </c>
      <c r="L239" t="str" cm="1">
        <f t="array" aca="1" ref="L239" ca="1">INDEX(AnalystList,RANDBETWEEN(1,ROWS(AnalystList)))</f>
        <v>Casey Brown</v>
      </c>
      <c r="M239" t="str" cm="1">
        <f t="array" aca="1" ref="M239" ca="1">INDEX(RootCauseList,RANDBETWEEN(1,ROWS(RootCauseList)))</f>
        <v>Unknown</v>
      </c>
      <c r="N239">
        <f t="shared" ca="1" si="15"/>
        <v>263.47000000000003</v>
      </c>
      <c r="O239" t="str">
        <f ca="1">IF(OR(IncidentTable[[#This Row],[Status]]="Resolved",IncidentTable[[#This Row],[Status]]="Closed"),
ROUND(IncidentTable[[#This Row],[Estimated Impact ($)]]*(1+RANDBETWEEN(-15,25)/100)+RAND(),2),
"")</f>
        <v/>
      </c>
      <c r="P239" t="str">
        <f ca="1">IF(IncidentTable[[#This Row],[Actual Impact ($)]]="","",ROUND(IncidentTable[[#This Row],[Actual Impact ($)]]-IncidentTable[[#This Row],[Estimated Impact ($)]],2))</f>
        <v/>
      </c>
      <c r="Q239" s="2" t="str">
        <f ca="1">IF(IncidentTable[[#This Row],[Actual Impact ($)]]="","",(IncidentTable[[#This Row],[Actual Impact ($)]]-IncidentTable[[#This Row],[Estimated Impact ($)]]) / IncidentTable[[#This Row],[Estimated Impact ($)]])</f>
        <v/>
      </c>
      <c r="R239" s="3">
        <f ca="1">IF(IncidentTable[[#This Row],[Priority]]="Critical",1,
IF(IncidentTable[[#This Row],[Priority]]="High",3,
IF(IncidentTable[[#This Row],[Priority]]="Medium",5,
IF(IncidentTable[[#This Row],[Priority]]="Low",10,""))))</f>
        <v>1</v>
      </c>
      <c r="S239" t="str">
        <f ca="1">IF(IncidentTable[[#This Row],[Resolution Time (Days)]]="","",
IF(IncidentTable[[#This Row],[Resolution Time (Days)]]&lt;=IncidentTable[[#This Row],[SLA Target (Days)]],"Yes","No"))</f>
        <v/>
      </c>
    </row>
    <row r="240" spans="1:19" x14ac:dyDescent="0.25">
      <c r="A240" t="str">
        <f t="shared" ca="1" si="13"/>
        <v>INC754633</v>
      </c>
      <c r="B240" t="str" cm="1">
        <f t="array" aca="1" ref="B240" ca="1">INDEX(SystemList,RANDBETWEEN(1,ROWS(SystemList)))</f>
        <v>Reporting System</v>
      </c>
      <c r="C240" t="str" cm="1">
        <f t="array" aca="1" ref="C240" ca="1">INDEX(IssueTypeList,RANDBETWEEN(1,ROWS(IssueTypeList)))</f>
        <v>User Access Issue</v>
      </c>
      <c r="D240" t="str" cm="1">
        <f t="array" aca="1" ref="D240" ca="1">INDEX(PriorityList,RANDBETWEEN(1,ROWS(PriorityList)))</f>
        <v>High</v>
      </c>
      <c r="E240" t="str" cm="1">
        <f t="array" aca="1" ref="E240" ca="1">INDEX(SeverityList,RANDBETWEEN(1,ROWS(SeverityList)))</f>
        <v>Major</v>
      </c>
      <c r="F240" t="str" cm="1">
        <f t="array" aca="1" ref="F240" ca="1">INDEX(RegionList,RANDBETWEEN(1,ROWS(RegionList)))</f>
        <v>East</v>
      </c>
      <c r="G240" t="str" cm="1">
        <f t="array" aca="1" ref="G240" ca="1">INDEX(DepartmentList,RANDBETWEEN(1,ROWS(DepartmentList)))</f>
        <v>IT</v>
      </c>
      <c r="H240" s="1">
        <f t="shared" ca="1" si="14"/>
        <v>45243</v>
      </c>
      <c r="I240" s="4" t="str">
        <f ca="1">IF(IncidentTable[[#This Row],[Resolution Time (Days)]]="","",IncidentTable[[#This Row],[Created Date]]+IncidentTable[[#This Row],[Resolution Time (Days)]])</f>
        <v/>
      </c>
      <c r="J240" t="str">
        <f ca="1">IF(OR(IncidentTable[[#This Row],[Status]]="Resolved",IncidentTable[[#This Row],[Status]]="Closed"),RANDBETWEEN(1,120),"")</f>
        <v/>
      </c>
      <c r="K240" t="str">
        <f t="shared" ca="1" si="12"/>
        <v>Pending</v>
      </c>
      <c r="L240" t="str" cm="1">
        <f t="array" aca="1" ref="L240" ca="1">INDEX(AnalystList,RANDBETWEEN(1,ROWS(AnalystList)))</f>
        <v>Jordan Lee</v>
      </c>
      <c r="M240" t="str" cm="1">
        <f t="array" aca="1" ref="M240" ca="1">INDEX(RootCauseList,RANDBETWEEN(1,ROWS(RootCauseList)))</f>
        <v>Integration Failure</v>
      </c>
      <c r="N240">
        <f t="shared" ca="1" si="15"/>
        <v>11484.86</v>
      </c>
      <c r="O240" t="str">
        <f ca="1">IF(OR(IncidentTable[[#This Row],[Status]]="Resolved",IncidentTable[[#This Row],[Status]]="Closed"),
ROUND(IncidentTable[[#This Row],[Estimated Impact ($)]]*(1+RANDBETWEEN(-15,25)/100)+RAND(),2),
"")</f>
        <v/>
      </c>
      <c r="P240" t="str">
        <f ca="1">IF(IncidentTable[[#This Row],[Actual Impact ($)]]="","",ROUND(IncidentTable[[#This Row],[Actual Impact ($)]]-IncidentTable[[#This Row],[Estimated Impact ($)]],2))</f>
        <v/>
      </c>
      <c r="Q240" s="2" t="str">
        <f ca="1">IF(IncidentTable[[#This Row],[Actual Impact ($)]]="","",(IncidentTable[[#This Row],[Actual Impact ($)]]-IncidentTable[[#This Row],[Estimated Impact ($)]]) / IncidentTable[[#This Row],[Estimated Impact ($)]])</f>
        <v/>
      </c>
      <c r="R240" s="3">
        <f ca="1">IF(IncidentTable[[#This Row],[Priority]]="Critical",1,
IF(IncidentTable[[#This Row],[Priority]]="High",3,
IF(IncidentTable[[#This Row],[Priority]]="Medium",5,
IF(IncidentTable[[#This Row],[Priority]]="Low",10,""))))</f>
        <v>3</v>
      </c>
      <c r="S240" t="str">
        <f ca="1">IF(IncidentTable[[#This Row],[Resolution Time (Days)]]="","",
IF(IncidentTable[[#This Row],[Resolution Time (Days)]]&lt;=IncidentTable[[#This Row],[SLA Target (Days)]],"Yes","No"))</f>
        <v/>
      </c>
    </row>
    <row r="241" spans="1:19" x14ac:dyDescent="0.25">
      <c r="A241" t="str">
        <f t="shared" ca="1" si="13"/>
        <v>INC894585</v>
      </c>
      <c r="B241" t="str" cm="1">
        <f t="array" aca="1" ref="B241" ca="1">INDEX(SystemList,RANDBETWEEN(1,ROWS(SystemList)))</f>
        <v>Billing System</v>
      </c>
      <c r="C241" t="str" cm="1">
        <f t="array" aca="1" ref="C241" ca="1">INDEX(IssueTypeList,RANDBETWEEN(1,ROWS(IssueTypeList)))</f>
        <v>Integration Failure</v>
      </c>
      <c r="D241" t="str" cm="1">
        <f t="array" aca="1" ref="D241" ca="1">INDEX(PriorityList,RANDBETWEEN(1,ROWS(PriorityList)))</f>
        <v>Medium</v>
      </c>
      <c r="E241" t="str" cm="1">
        <f t="array" aca="1" ref="E241" ca="1">INDEX(SeverityList,RANDBETWEEN(1,ROWS(SeverityList)))</f>
        <v>Minor</v>
      </c>
      <c r="F241" t="str" cm="1">
        <f t="array" aca="1" ref="F241" ca="1">INDEX(RegionList,RANDBETWEEN(1,ROWS(RegionList)))</f>
        <v>Central</v>
      </c>
      <c r="G241" t="str" cm="1">
        <f t="array" aca="1" ref="G241" ca="1">INDEX(DepartmentList,RANDBETWEEN(1,ROWS(DepartmentList)))</f>
        <v>Billing</v>
      </c>
      <c r="H241" s="1">
        <f t="shared" ca="1" si="14"/>
        <v>45463</v>
      </c>
      <c r="I241" s="4">
        <f ca="1">IF(IncidentTable[[#This Row],[Resolution Time (Days)]]="","",IncidentTable[[#This Row],[Created Date]]+IncidentTable[[#This Row],[Resolution Time (Days)]])</f>
        <v>45545</v>
      </c>
      <c r="J241">
        <f ca="1">IF(OR(IncidentTable[[#This Row],[Status]]="Resolved",IncidentTable[[#This Row],[Status]]="Closed"),RANDBETWEEN(1,120),"")</f>
        <v>82</v>
      </c>
      <c r="K241" t="str">
        <f t="shared" ca="1" si="12"/>
        <v>Closed</v>
      </c>
      <c r="L241" t="str" cm="1">
        <f t="array" aca="1" ref="L241" ca="1">INDEX(AnalystList,RANDBETWEEN(1,ROWS(AnalystList)))</f>
        <v>Jordan Lee</v>
      </c>
      <c r="M241" t="str" cm="1">
        <f t="array" aca="1" ref="M241" ca="1">INDEX(RootCauseList,RANDBETWEEN(1,ROWS(RootCauseList)))</f>
        <v>Integration Failure</v>
      </c>
      <c r="N241">
        <f t="shared" ca="1" si="15"/>
        <v>3003.93</v>
      </c>
      <c r="O241">
        <f ca="1">IF(OR(IncidentTable[[#This Row],[Status]]="Resolved",IncidentTable[[#This Row],[Status]]="Closed"),
ROUND(IncidentTable[[#This Row],[Estimated Impact ($)]]*(1+RANDBETWEEN(-15,25)/100)+RAND(),2),
"")</f>
        <v>3514.61</v>
      </c>
      <c r="P241">
        <f ca="1">IF(IncidentTable[[#This Row],[Actual Impact ($)]]="","",ROUND(IncidentTable[[#This Row],[Actual Impact ($)]]-IncidentTable[[#This Row],[Estimated Impact ($)]],2))</f>
        <v>510.68</v>
      </c>
      <c r="Q241" s="2">
        <f ca="1">IF(IncidentTable[[#This Row],[Actual Impact ($)]]="","",(IncidentTable[[#This Row],[Actual Impact ($)]]-IncidentTable[[#This Row],[Estimated Impact ($)]]) / IncidentTable[[#This Row],[Estimated Impact ($)]])</f>
        <v>0.17000396147713173</v>
      </c>
      <c r="R241" s="3">
        <f ca="1">IF(IncidentTable[[#This Row],[Priority]]="Critical",1,
IF(IncidentTable[[#This Row],[Priority]]="High",3,
IF(IncidentTable[[#This Row],[Priority]]="Medium",5,
IF(IncidentTable[[#This Row],[Priority]]="Low",10,""))))</f>
        <v>5</v>
      </c>
      <c r="S241" t="str">
        <f ca="1">IF(IncidentTable[[#This Row],[Resolution Time (Days)]]="","",
IF(IncidentTable[[#This Row],[Resolution Time (Days)]]&lt;=IncidentTable[[#This Row],[SLA Target (Days)]],"Yes","No"))</f>
        <v>No</v>
      </c>
    </row>
    <row r="242" spans="1:19" x14ac:dyDescent="0.25">
      <c r="A242" t="str">
        <f t="shared" ca="1" si="13"/>
        <v>INC476839</v>
      </c>
      <c r="B242" t="str" cm="1">
        <f t="array" aca="1" ref="B242" ca="1">INDEX(SystemList,RANDBETWEEN(1,ROWS(SystemList)))</f>
        <v>Claims System</v>
      </c>
      <c r="C242" t="str" cm="1">
        <f t="array" aca="1" ref="C242" ca="1">INDEX(IssueTypeList,RANDBETWEEN(1,ROWS(IssueTypeList)))</f>
        <v>Processing Delay</v>
      </c>
      <c r="D242" t="str" cm="1">
        <f t="array" aca="1" ref="D242" ca="1">INDEX(PriorityList,RANDBETWEEN(1,ROWS(PriorityList)))</f>
        <v>Low</v>
      </c>
      <c r="E242" t="str" cm="1">
        <f t="array" aca="1" ref="E242" ca="1">INDEX(SeverityList,RANDBETWEEN(1,ROWS(SeverityList)))</f>
        <v>Minor</v>
      </c>
      <c r="F242" t="str" cm="1">
        <f t="array" aca="1" ref="F242" ca="1">INDEX(RegionList,RANDBETWEEN(1,ROWS(RegionList)))</f>
        <v>West</v>
      </c>
      <c r="G242" t="str" cm="1">
        <f t="array" aca="1" ref="G242" ca="1">INDEX(DepartmentList,RANDBETWEEN(1,ROWS(DepartmentList)))</f>
        <v>IT</v>
      </c>
      <c r="H242" s="1">
        <f t="shared" ca="1" si="14"/>
        <v>45369</v>
      </c>
      <c r="I242" s="4" t="str">
        <f ca="1">IF(IncidentTable[[#This Row],[Resolution Time (Days)]]="","",IncidentTable[[#This Row],[Created Date]]+IncidentTable[[#This Row],[Resolution Time (Days)]])</f>
        <v/>
      </c>
      <c r="J242" t="str">
        <f ca="1">IF(OR(IncidentTable[[#This Row],[Status]]="Resolved",IncidentTable[[#This Row],[Status]]="Closed"),RANDBETWEEN(1,120),"")</f>
        <v/>
      </c>
      <c r="K242" t="str">
        <f t="shared" ca="1" si="12"/>
        <v>Open</v>
      </c>
      <c r="L242" t="str" cm="1">
        <f t="array" aca="1" ref="L242" ca="1">INDEX(AnalystList,RANDBETWEEN(1,ROWS(AnalystList)))</f>
        <v>Jordan Lee</v>
      </c>
      <c r="M242" t="str" cm="1">
        <f t="array" aca="1" ref="M242" ca="1">INDEX(RootCauseList,RANDBETWEEN(1,ROWS(RootCauseList)))</f>
        <v>Network Failure</v>
      </c>
      <c r="N242">
        <f t="shared" ca="1" si="15"/>
        <v>1924.09</v>
      </c>
      <c r="O242" t="str">
        <f ca="1">IF(OR(IncidentTable[[#This Row],[Status]]="Resolved",IncidentTable[[#This Row],[Status]]="Closed"),
ROUND(IncidentTable[[#This Row],[Estimated Impact ($)]]*(1+RANDBETWEEN(-15,25)/100)+RAND(),2),
"")</f>
        <v/>
      </c>
      <c r="P242" t="str">
        <f ca="1">IF(IncidentTable[[#This Row],[Actual Impact ($)]]="","",ROUND(IncidentTable[[#This Row],[Actual Impact ($)]]-IncidentTable[[#This Row],[Estimated Impact ($)]],2))</f>
        <v/>
      </c>
      <c r="Q242" s="2" t="str">
        <f ca="1">IF(IncidentTable[[#This Row],[Actual Impact ($)]]="","",(IncidentTable[[#This Row],[Actual Impact ($)]]-IncidentTable[[#This Row],[Estimated Impact ($)]]) / IncidentTable[[#This Row],[Estimated Impact ($)]])</f>
        <v/>
      </c>
      <c r="R242" s="3">
        <f ca="1">IF(IncidentTable[[#This Row],[Priority]]="Critical",1,
IF(IncidentTable[[#This Row],[Priority]]="High",3,
IF(IncidentTable[[#This Row],[Priority]]="Medium",5,
IF(IncidentTable[[#This Row],[Priority]]="Low",10,""))))</f>
        <v>10</v>
      </c>
      <c r="S242" t="str">
        <f ca="1">IF(IncidentTable[[#This Row],[Resolution Time (Days)]]="","",
IF(IncidentTable[[#This Row],[Resolution Time (Days)]]&lt;=IncidentTable[[#This Row],[SLA Target (Days)]],"Yes","No"))</f>
        <v/>
      </c>
    </row>
    <row r="243" spans="1:19" x14ac:dyDescent="0.25">
      <c r="A243" t="str">
        <f t="shared" ca="1" si="13"/>
        <v>INC716012</v>
      </c>
      <c r="B243" t="str" cm="1">
        <f t="array" aca="1" ref="B243" ca="1">INDEX(SystemList,RANDBETWEEN(1,ROWS(SystemList)))</f>
        <v>Reporting System</v>
      </c>
      <c r="C243" t="str" cm="1">
        <f t="array" aca="1" ref="C243" ca="1">INDEX(IssueTypeList,RANDBETWEEN(1,ROWS(IssueTypeList)))</f>
        <v>User Access Issue</v>
      </c>
      <c r="D243" t="str" cm="1">
        <f t="array" aca="1" ref="D243" ca="1">INDEX(PriorityList,RANDBETWEEN(1,ROWS(PriorityList)))</f>
        <v>Critical</v>
      </c>
      <c r="E243" t="str" cm="1">
        <f t="array" aca="1" ref="E243" ca="1">INDEX(SeverityList,RANDBETWEEN(1,ROWS(SeverityList)))</f>
        <v>Critical</v>
      </c>
      <c r="F243" t="str" cm="1">
        <f t="array" aca="1" ref="F243" ca="1">INDEX(RegionList,RANDBETWEEN(1,ROWS(RegionList)))</f>
        <v>West</v>
      </c>
      <c r="G243" t="str" cm="1">
        <f t="array" aca="1" ref="G243" ca="1">INDEX(DepartmentList,RANDBETWEEN(1,ROWS(DepartmentList)))</f>
        <v>IT</v>
      </c>
      <c r="H243" s="1">
        <f t="shared" ca="1" si="14"/>
        <v>45421</v>
      </c>
      <c r="I243" s="4">
        <f ca="1">IF(IncidentTable[[#This Row],[Resolution Time (Days)]]="","",IncidentTable[[#This Row],[Created Date]]+IncidentTable[[#This Row],[Resolution Time (Days)]])</f>
        <v>45453</v>
      </c>
      <c r="J243">
        <f ca="1">IF(OR(IncidentTable[[#This Row],[Status]]="Resolved",IncidentTable[[#This Row],[Status]]="Closed"),RANDBETWEEN(1,120),"")</f>
        <v>32</v>
      </c>
      <c r="K243" t="str">
        <f t="shared" ca="1" si="12"/>
        <v>Closed</v>
      </c>
      <c r="L243" t="str" cm="1">
        <f t="array" aca="1" ref="L243" ca="1">INDEX(AnalystList,RANDBETWEEN(1,ROWS(AnalystList)))</f>
        <v>Jordan Lee</v>
      </c>
      <c r="M243" t="str" cm="1">
        <f t="array" aca="1" ref="M243" ca="1">INDEX(RootCauseList,RANDBETWEEN(1,ROWS(RootCauseList)))</f>
        <v>User Error</v>
      </c>
      <c r="N243">
        <f t="shared" ca="1" si="15"/>
        <v>1766.88</v>
      </c>
      <c r="O243">
        <f ca="1">IF(OR(IncidentTable[[#This Row],[Status]]="Resolved",IncidentTable[[#This Row],[Status]]="Closed"),
ROUND(IncidentTable[[#This Row],[Estimated Impact ($)]]*(1+RANDBETWEEN(-15,25)/100)+RAND(),2),
"")</f>
        <v>1979.11</v>
      </c>
      <c r="P243">
        <f ca="1">IF(IncidentTable[[#This Row],[Actual Impact ($)]]="","",ROUND(IncidentTable[[#This Row],[Actual Impact ($)]]-IncidentTable[[#This Row],[Estimated Impact ($)]],2))</f>
        <v>212.23</v>
      </c>
      <c r="Q243" s="2">
        <f ca="1">IF(IncidentTable[[#This Row],[Actual Impact ($)]]="","",(IncidentTable[[#This Row],[Actual Impact ($)]]-IncidentTable[[#This Row],[Estimated Impact ($)]]) / IncidentTable[[#This Row],[Estimated Impact ($)]])</f>
        <v>0.12011568414380137</v>
      </c>
      <c r="R243" s="3">
        <f ca="1">IF(IncidentTable[[#This Row],[Priority]]="Critical",1,
IF(IncidentTable[[#This Row],[Priority]]="High",3,
IF(IncidentTable[[#This Row],[Priority]]="Medium",5,
IF(IncidentTable[[#This Row],[Priority]]="Low",10,""))))</f>
        <v>1</v>
      </c>
      <c r="S243" t="str">
        <f ca="1">IF(IncidentTable[[#This Row],[Resolution Time (Days)]]="","",
IF(IncidentTable[[#This Row],[Resolution Time (Days)]]&lt;=IncidentTable[[#This Row],[SLA Target (Days)]],"Yes","No"))</f>
        <v>No</v>
      </c>
    </row>
    <row r="244" spans="1:19" x14ac:dyDescent="0.25">
      <c r="A244" t="str">
        <f t="shared" ca="1" si="13"/>
        <v>INC262746</v>
      </c>
      <c r="B244" t="str" cm="1">
        <f t="array" aca="1" ref="B244" ca="1">INDEX(SystemList,RANDBETWEEN(1,ROWS(SystemList)))</f>
        <v>Customer Portal</v>
      </c>
      <c r="C244" t="str" cm="1">
        <f t="array" aca="1" ref="C244" ca="1">INDEX(IssueTypeList,RANDBETWEEN(1,ROWS(IssueTypeList)))</f>
        <v>User Access Issue</v>
      </c>
      <c r="D244" t="str" cm="1">
        <f t="array" aca="1" ref="D244" ca="1">INDEX(PriorityList,RANDBETWEEN(1,ROWS(PriorityList)))</f>
        <v>Low</v>
      </c>
      <c r="E244" t="str" cm="1">
        <f t="array" aca="1" ref="E244" ca="1">INDEX(SeverityList,RANDBETWEEN(1,ROWS(SeverityList)))</f>
        <v>Critical</v>
      </c>
      <c r="F244" t="str" cm="1">
        <f t="array" aca="1" ref="F244" ca="1">INDEX(RegionList,RANDBETWEEN(1,ROWS(RegionList)))</f>
        <v>Central</v>
      </c>
      <c r="G244" t="str" cm="1">
        <f t="array" aca="1" ref="G244" ca="1">INDEX(DepartmentList,RANDBETWEEN(1,ROWS(DepartmentList)))</f>
        <v>Finance</v>
      </c>
      <c r="H244" s="1">
        <f t="shared" ca="1" si="14"/>
        <v>45153</v>
      </c>
      <c r="I244" s="4">
        <f ca="1">IF(IncidentTable[[#This Row],[Resolution Time (Days)]]="","",IncidentTable[[#This Row],[Created Date]]+IncidentTable[[#This Row],[Resolution Time (Days)]])</f>
        <v>45173</v>
      </c>
      <c r="J244">
        <f ca="1">IF(OR(IncidentTable[[#This Row],[Status]]="Resolved",IncidentTable[[#This Row],[Status]]="Closed"),RANDBETWEEN(1,120),"")</f>
        <v>20</v>
      </c>
      <c r="K244" t="str">
        <f t="shared" ca="1" si="12"/>
        <v>Closed</v>
      </c>
      <c r="L244" t="str" cm="1">
        <f t="array" aca="1" ref="L244" ca="1">INDEX(AnalystList,RANDBETWEEN(1,ROWS(AnalystList)))</f>
        <v>Jordan Lee</v>
      </c>
      <c r="M244" t="str" cm="1">
        <f t="array" aca="1" ref="M244" ca="1">INDEX(RootCauseList,RANDBETWEEN(1,ROWS(RootCauseList)))</f>
        <v>Configuration Issue</v>
      </c>
      <c r="N244">
        <f t="shared" ca="1" si="15"/>
        <v>1215.6199999999999</v>
      </c>
      <c r="O244">
        <f ca="1">IF(OR(IncidentTable[[#This Row],[Status]]="Resolved",IncidentTable[[#This Row],[Status]]="Closed"),
ROUND(IncidentTable[[#This Row],[Estimated Impact ($)]]*(1+RANDBETWEEN(-15,25)/100)+RAND(),2),
"")</f>
        <v>1496.12</v>
      </c>
      <c r="P244">
        <f ca="1">IF(IncidentTable[[#This Row],[Actual Impact ($)]]="","",ROUND(IncidentTable[[#This Row],[Actual Impact ($)]]-IncidentTable[[#This Row],[Estimated Impact ($)]],2))</f>
        <v>280.5</v>
      </c>
      <c r="Q244" s="2">
        <f ca="1">IF(IncidentTable[[#This Row],[Actual Impact ($)]]="","",(IncidentTable[[#This Row],[Actual Impact ($)]]-IncidentTable[[#This Row],[Estimated Impact ($)]]) / IncidentTable[[#This Row],[Estimated Impact ($)]])</f>
        <v>0.23074645037100411</v>
      </c>
      <c r="R244" s="3">
        <f ca="1">IF(IncidentTable[[#This Row],[Priority]]="Critical",1,
IF(IncidentTable[[#This Row],[Priority]]="High",3,
IF(IncidentTable[[#This Row],[Priority]]="Medium",5,
IF(IncidentTable[[#This Row],[Priority]]="Low",10,""))))</f>
        <v>10</v>
      </c>
      <c r="S244" t="str">
        <f ca="1">IF(IncidentTable[[#This Row],[Resolution Time (Days)]]="","",
IF(IncidentTable[[#This Row],[Resolution Time (Days)]]&lt;=IncidentTable[[#This Row],[SLA Target (Days)]],"Yes","No"))</f>
        <v>No</v>
      </c>
    </row>
    <row r="245" spans="1:19" x14ac:dyDescent="0.25">
      <c r="A245" t="str">
        <f t="shared" ca="1" si="13"/>
        <v>INC418064</v>
      </c>
      <c r="B245" t="str" cm="1">
        <f t="array" aca="1" ref="B245" ca="1">INDEX(SystemList,RANDBETWEEN(1,ROWS(SystemList)))</f>
        <v>Policy Admin System</v>
      </c>
      <c r="C245" t="str" cm="1">
        <f t="array" aca="1" ref="C245" ca="1">INDEX(IssueTypeList,RANDBETWEEN(1,ROWS(IssueTypeList)))</f>
        <v>Complaint</v>
      </c>
      <c r="D245" t="str" cm="1">
        <f t="array" aca="1" ref="D245" ca="1">INDEX(PriorityList,RANDBETWEEN(1,ROWS(PriorityList)))</f>
        <v>Low</v>
      </c>
      <c r="E245" t="str" cm="1">
        <f t="array" aca="1" ref="E245" ca="1">INDEX(SeverityList,RANDBETWEEN(1,ROWS(SeverityList)))</f>
        <v>Moderate</v>
      </c>
      <c r="F245" t="str" cm="1">
        <f t="array" aca="1" ref="F245" ca="1">INDEX(RegionList,RANDBETWEEN(1,ROWS(RegionList)))</f>
        <v>Midwest</v>
      </c>
      <c r="G245" t="str" cm="1">
        <f t="array" aca="1" ref="G245" ca="1">INDEX(DepartmentList,RANDBETWEEN(1,ROWS(DepartmentList)))</f>
        <v>Claims</v>
      </c>
      <c r="H245" s="1">
        <f t="shared" ca="1" si="14"/>
        <v>44996</v>
      </c>
      <c r="I245" s="4">
        <f ca="1">IF(IncidentTable[[#This Row],[Resolution Time (Days)]]="","",IncidentTable[[#This Row],[Created Date]]+IncidentTable[[#This Row],[Resolution Time (Days)]])</f>
        <v>45060</v>
      </c>
      <c r="J245">
        <f ca="1">IF(OR(IncidentTable[[#This Row],[Status]]="Resolved",IncidentTable[[#This Row],[Status]]="Closed"),RANDBETWEEN(1,120),"")</f>
        <v>64</v>
      </c>
      <c r="K245" t="str">
        <f t="shared" ca="1" si="12"/>
        <v>Closed</v>
      </c>
      <c r="L245" t="str" cm="1">
        <f t="array" aca="1" ref="L245" ca="1">INDEX(AnalystList,RANDBETWEEN(1,ROWS(AnalystList)))</f>
        <v>Casey Brown</v>
      </c>
      <c r="M245" t="str" cm="1">
        <f t="array" aca="1" ref="M245" ca="1">INDEX(RootCauseList,RANDBETWEEN(1,ROWS(RootCauseList)))</f>
        <v>Unknown</v>
      </c>
      <c r="N245">
        <f t="shared" ca="1" si="15"/>
        <v>76.760000000000005</v>
      </c>
      <c r="O245">
        <f ca="1">IF(OR(IncidentTable[[#This Row],[Status]]="Resolved",IncidentTable[[#This Row],[Status]]="Closed"),
ROUND(IncidentTable[[#This Row],[Estimated Impact ($)]]*(1+RANDBETWEEN(-15,25)/100)+RAND(),2),
"")</f>
        <v>76.760000000000005</v>
      </c>
      <c r="P245">
        <f ca="1">IF(IncidentTable[[#This Row],[Actual Impact ($)]]="","",ROUND(IncidentTable[[#This Row],[Actual Impact ($)]]-IncidentTable[[#This Row],[Estimated Impact ($)]],2))</f>
        <v>0</v>
      </c>
      <c r="Q245" s="2">
        <f ca="1">IF(IncidentTable[[#This Row],[Actual Impact ($)]]="","",(IncidentTable[[#This Row],[Actual Impact ($)]]-IncidentTable[[#This Row],[Estimated Impact ($)]]) / IncidentTable[[#This Row],[Estimated Impact ($)]])</f>
        <v>0</v>
      </c>
      <c r="R245" s="3">
        <f ca="1">IF(IncidentTable[[#This Row],[Priority]]="Critical",1,
IF(IncidentTable[[#This Row],[Priority]]="High",3,
IF(IncidentTable[[#This Row],[Priority]]="Medium",5,
IF(IncidentTable[[#This Row],[Priority]]="Low",10,""))))</f>
        <v>10</v>
      </c>
      <c r="S245" t="str">
        <f ca="1">IF(IncidentTable[[#This Row],[Resolution Time (Days)]]="","",
IF(IncidentTable[[#This Row],[Resolution Time (Days)]]&lt;=IncidentTable[[#This Row],[SLA Target (Days)]],"Yes","No"))</f>
        <v>No</v>
      </c>
    </row>
    <row r="246" spans="1:19" x14ac:dyDescent="0.25">
      <c r="A246" t="str">
        <f t="shared" ca="1" si="13"/>
        <v>INC604615</v>
      </c>
      <c r="B246" t="str" cm="1">
        <f t="array" aca="1" ref="B246" ca="1">INDEX(SystemList,RANDBETWEEN(1,ROWS(SystemList)))</f>
        <v>Claims System</v>
      </c>
      <c r="C246" t="str" cm="1">
        <f t="array" aca="1" ref="C246" ca="1">INDEX(IssueTypeList,RANDBETWEEN(1,ROWS(IssueTypeList)))</f>
        <v>System Error</v>
      </c>
      <c r="D246" t="str" cm="1">
        <f t="array" aca="1" ref="D246" ca="1">INDEX(PriorityList,RANDBETWEEN(1,ROWS(PriorityList)))</f>
        <v>Medium</v>
      </c>
      <c r="E246" t="str" cm="1">
        <f t="array" aca="1" ref="E246" ca="1">INDEX(SeverityList,RANDBETWEEN(1,ROWS(SeverityList)))</f>
        <v>Critical</v>
      </c>
      <c r="F246" t="str" cm="1">
        <f t="array" aca="1" ref="F246" ca="1">INDEX(RegionList,RANDBETWEEN(1,ROWS(RegionList)))</f>
        <v>Central</v>
      </c>
      <c r="G246" t="str" cm="1">
        <f t="array" aca="1" ref="G246" ca="1">INDEX(DepartmentList,RANDBETWEEN(1,ROWS(DepartmentList)))</f>
        <v>Claims</v>
      </c>
      <c r="H246" s="1">
        <f t="shared" ca="1" si="14"/>
        <v>45234</v>
      </c>
      <c r="I246" s="4">
        <f ca="1">IF(IncidentTable[[#This Row],[Resolution Time (Days)]]="","",IncidentTable[[#This Row],[Created Date]]+IncidentTable[[#This Row],[Resolution Time (Days)]])</f>
        <v>45289</v>
      </c>
      <c r="J246">
        <f ca="1">IF(OR(IncidentTable[[#This Row],[Status]]="Resolved",IncidentTable[[#This Row],[Status]]="Closed"),RANDBETWEEN(1,120),"")</f>
        <v>55</v>
      </c>
      <c r="K246" t="str">
        <f t="shared" ca="1" si="12"/>
        <v>Closed</v>
      </c>
      <c r="L246" t="str" cm="1">
        <f t="array" aca="1" ref="L246" ca="1">INDEX(AnalystList,RANDBETWEEN(1,ROWS(AnalystList)))</f>
        <v>Jordan Lee</v>
      </c>
      <c r="M246" t="str" cm="1">
        <f t="array" aca="1" ref="M246" ca="1">INDEX(RootCauseList,RANDBETWEEN(1,ROWS(RootCauseList)))</f>
        <v>Integration Failure</v>
      </c>
      <c r="N246">
        <f t="shared" ca="1" si="15"/>
        <v>2646.32</v>
      </c>
      <c r="O246">
        <f ca="1">IF(OR(IncidentTable[[#This Row],[Status]]="Resolved",IncidentTable[[#This Row],[Status]]="Closed"),
ROUND(IncidentTable[[#This Row],[Estimated Impact ($)]]*(1+RANDBETWEEN(-15,25)/100)+RAND(),2),
"")</f>
        <v>2514.69</v>
      </c>
      <c r="P246">
        <f ca="1">IF(IncidentTable[[#This Row],[Actual Impact ($)]]="","",ROUND(IncidentTable[[#This Row],[Actual Impact ($)]]-IncidentTable[[#This Row],[Estimated Impact ($)]],2))</f>
        <v>-131.63</v>
      </c>
      <c r="Q246" s="2">
        <f ca="1">IF(IncidentTable[[#This Row],[Actual Impact ($)]]="","",(IncidentTable[[#This Row],[Actual Impact ($)]]-IncidentTable[[#This Row],[Estimated Impact ($)]]) / IncidentTable[[#This Row],[Estimated Impact ($)]])</f>
        <v>-4.9740772091054784E-2</v>
      </c>
      <c r="R246" s="3">
        <f ca="1">IF(IncidentTable[[#This Row],[Priority]]="Critical",1,
IF(IncidentTable[[#This Row],[Priority]]="High",3,
IF(IncidentTable[[#This Row],[Priority]]="Medium",5,
IF(IncidentTable[[#This Row],[Priority]]="Low",10,""))))</f>
        <v>5</v>
      </c>
      <c r="S246" t="str">
        <f ca="1">IF(IncidentTable[[#This Row],[Resolution Time (Days)]]="","",
IF(IncidentTable[[#This Row],[Resolution Time (Days)]]&lt;=IncidentTable[[#This Row],[SLA Target (Days)]],"Yes","No"))</f>
        <v>No</v>
      </c>
    </row>
    <row r="247" spans="1:19" x14ac:dyDescent="0.25">
      <c r="A247" t="str">
        <f t="shared" ca="1" si="13"/>
        <v>INC943376</v>
      </c>
      <c r="B247" t="str" cm="1">
        <f t="array" aca="1" ref="B247" ca="1">INDEX(SystemList,RANDBETWEEN(1,ROWS(SystemList)))</f>
        <v>Billing System</v>
      </c>
      <c r="C247" t="str" cm="1">
        <f t="array" aca="1" ref="C247" ca="1">INDEX(IssueTypeList,RANDBETWEEN(1,ROWS(IssueTypeList)))</f>
        <v>System Error</v>
      </c>
      <c r="D247" t="str" cm="1">
        <f t="array" aca="1" ref="D247" ca="1">INDEX(PriorityList,RANDBETWEEN(1,ROWS(PriorityList)))</f>
        <v>Critical</v>
      </c>
      <c r="E247" t="str" cm="1">
        <f t="array" aca="1" ref="E247" ca="1">INDEX(SeverityList,RANDBETWEEN(1,ROWS(SeverityList)))</f>
        <v>Minor</v>
      </c>
      <c r="F247" t="str" cm="1">
        <f t="array" aca="1" ref="F247" ca="1">INDEX(RegionList,RANDBETWEEN(1,ROWS(RegionList)))</f>
        <v>East</v>
      </c>
      <c r="G247" t="str" cm="1">
        <f t="array" aca="1" ref="G247" ca="1">INDEX(DepartmentList,RANDBETWEEN(1,ROWS(DepartmentList)))</f>
        <v>Compliance</v>
      </c>
      <c r="H247" s="1">
        <f t="shared" ca="1" si="14"/>
        <v>45373</v>
      </c>
      <c r="I247" s="4" t="str">
        <f ca="1">IF(IncidentTable[[#This Row],[Resolution Time (Days)]]="","",IncidentTable[[#This Row],[Created Date]]+IncidentTable[[#This Row],[Resolution Time (Days)]])</f>
        <v/>
      </c>
      <c r="J247" t="str">
        <f ca="1">IF(OR(IncidentTable[[#This Row],[Status]]="Resolved",IncidentTable[[#This Row],[Status]]="Closed"),RANDBETWEEN(1,120),"")</f>
        <v/>
      </c>
      <c r="K247" t="str">
        <f t="shared" ca="1" si="12"/>
        <v>In Progress</v>
      </c>
      <c r="L247" t="str" cm="1">
        <f t="array" aca="1" ref="L247" ca="1">INDEX(AnalystList,RANDBETWEEN(1,ROWS(AnalystList)))</f>
        <v>Taylor Smith</v>
      </c>
      <c r="M247" t="str" cm="1">
        <f t="array" aca="1" ref="M247" ca="1">INDEX(RootCauseList,RANDBETWEEN(1,ROWS(RootCauseList)))</f>
        <v>Process Gap</v>
      </c>
      <c r="N247">
        <f t="shared" ca="1" si="15"/>
        <v>463.5</v>
      </c>
      <c r="O247" t="str">
        <f ca="1">IF(OR(IncidentTable[[#This Row],[Status]]="Resolved",IncidentTable[[#This Row],[Status]]="Closed"),
ROUND(IncidentTable[[#This Row],[Estimated Impact ($)]]*(1+RANDBETWEEN(-15,25)/100)+RAND(),2),
"")</f>
        <v/>
      </c>
      <c r="P247" t="str">
        <f ca="1">IF(IncidentTable[[#This Row],[Actual Impact ($)]]="","",ROUND(IncidentTable[[#This Row],[Actual Impact ($)]]-IncidentTable[[#This Row],[Estimated Impact ($)]],2))</f>
        <v/>
      </c>
      <c r="Q247" s="2" t="str">
        <f ca="1">IF(IncidentTable[[#This Row],[Actual Impact ($)]]="","",(IncidentTable[[#This Row],[Actual Impact ($)]]-IncidentTable[[#This Row],[Estimated Impact ($)]]) / IncidentTable[[#This Row],[Estimated Impact ($)]])</f>
        <v/>
      </c>
      <c r="R247" s="3">
        <f ca="1">IF(IncidentTable[[#This Row],[Priority]]="Critical",1,
IF(IncidentTable[[#This Row],[Priority]]="High",3,
IF(IncidentTable[[#This Row],[Priority]]="Medium",5,
IF(IncidentTable[[#This Row],[Priority]]="Low",10,""))))</f>
        <v>1</v>
      </c>
      <c r="S247" t="str">
        <f ca="1">IF(IncidentTable[[#This Row],[Resolution Time (Days)]]="","",
IF(IncidentTable[[#This Row],[Resolution Time (Days)]]&lt;=IncidentTable[[#This Row],[SLA Target (Days)]],"Yes","No"))</f>
        <v/>
      </c>
    </row>
    <row r="248" spans="1:19" x14ac:dyDescent="0.25">
      <c r="A248" t="str">
        <f t="shared" ca="1" si="13"/>
        <v>INC420296</v>
      </c>
      <c r="B248" t="str" cm="1">
        <f t="array" aca="1" ref="B248" ca="1">INDEX(SystemList,RANDBETWEEN(1,ROWS(SystemList)))</f>
        <v>Policy Admin System</v>
      </c>
      <c r="C248" t="str" cm="1">
        <f t="array" aca="1" ref="C248" ca="1">INDEX(IssueTypeList,RANDBETWEEN(1,ROWS(IssueTypeList)))</f>
        <v>Data Issue</v>
      </c>
      <c r="D248" t="str" cm="1">
        <f t="array" aca="1" ref="D248" ca="1">INDEX(PriorityList,RANDBETWEEN(1,ROWS(PriorityList)))</f>
        <v>Medium</v>
      </c>
      <c r="E248" t="str" cm="1">
        <f t="array" aca="1" ref="E248" ca="1">INDEX(SeverityList,RANDBETWEEN(1,ROWS(SeverityList)))</f>
        <v>Major</v>
      </c>
      <c r="F248" t="str" cm="1">
        <f t="array" aca="1" ref="F248" ca="1">INDEX(RegionList,RANDBETWEEN(1,ROWS(RegionList)))</f>
        <v>Central</v>
      </c>
      <c r="G248" t="str" cm="1">
        <f t="array" aca="1" ref="G248" ca="1">INDEX(DepartmentList,RANDBETWEEN(1,ROWS(DepartmentList)))</f>
        <v>Compliance</v>
      </c>
      <c r="H248" s="1">
        <f t="shared" ca="1" si="14"/>
        <v>45467</v>
      </c>
      <c r="I248" s="4" t="str">
        <f ca="1">IF(IncidentTable[[#This Row],[Resolution Time (Days)]]="","",IncidentTable[[#This Row],[Created Date]]+IncidentTable[[#This Row],[Resolution Time (Days)]])</f>
        <v/>
      </c>
      <c r="J248" t="str">
        <f ca="1">IF(OR(IncidentTable[[#This Row],[Status]]="Resolved",IncidentTable[[#This Row],[Status]]="Closed"),RANDBETWEEN(1,120),"")</f>
        <v/>
      </c>
      <c r="K248" t="str">
        <f t="shared" ca="1" si="12"/>
        <v>Open</v>
      </c>
      <c r="L248" t="str" cm="1">
        <f t="array" aca="1" ref="L248" ca="1">INDEX(AnalystList,RANDBETWEEN(1,ROWS(AnalystList)))</f>
        <v>Taylor Smith</v>
      </c>
      <c r="M248" t="str" cm="1">
        <f t="array" aca="1" ref="M248" ca="1">INDEX(RootCauseList,RANDBETWEEN(1,ROWS(RootCauseList)))</f>
        <v>Data Error</v>
      </c>
      <c r="N248">
        <f t="shared" ca="1" si="15"/>
        <v>220.8</v>
      </c>
      <c r="O248" t="str">
        <f ca="1">IF(OR(IncidentTable[[#This Row],[Status]]="Resolved",IncidentTable[[#This Row],[Status]]="Closed"),
ROUND(IncidentTable[[#This Row],[Estimated Impact ($)]]*(1+RANDBETWEEN(-15,25)/100)+RAND(),2),
"")</f>
        <v/>
      </c>
      <c r="P248" t="str">
        <f ca="1">IF(IncidentTable[[#This Row],[Actual Impact ($)]]="","",ROUND(IncidentTable[[#This Row],[Actual Impact ($)]]-IncidentTable[[#This Row],[Estimated Impact ($)]],2))</f>
        <v/>
      </c>
      <c r="Q248" s="2" t="str">
        <f ca="1">IF(IncidentTable[[#This Row],[Actual Impact ($)]]="","",(IncidentTable[[#This Row],[Actual Impact ($)]]-IncidentTable[[#This Row],[Estimated Impact ($)]]) / IncidentTable[[#This Row],[Estimated Impact ($)]])</f>
        <v/>
      </c>
      <c r="R248" s="3">
        <f ca="1">IF(IncidentTable[[#This Row],[Priority]]="Critical",1,
IF(IncidentTable[[#This Row],[Priority]]="High",3,
IF(IncidentTable[[#This Row],[Priority]]="Medium",5,
IF(IncidentTable[[#This Row],[Priority]]="Low",10,""))))</f>
        <v>5</v>
      </c>
      <c r="S248" t="str">
        <f ca="1">IF(IncidentTable[[#This Row],[Resolution Time (Days)]]="","",
IF(IncidentTable[[#This Row],[Resolution Time (Days)]]&lt;=IncidentTable[[#This Row],[SLA Target (Days)]],"Yes","No"))</f>
        <v/>
      </c>
    </row>
    <row r="249" spans="1:19" x14ac:dyDescent="0.25">
      <c r="A249" t="str">
        <f t="shared" ca="1" si="13"/>
        <v>INC146663</v>
      </c>
      <c r="B249" t="str" cm="1">
        <f t="array" aca="1" ref="B249" ca="1">INDEX(SystemList,RANDBETWEEN(1,ROWS(SystemList)))</f>
        <v>Regulatory System</v>
      </c>
      <c r="C249" t="str" cm="1">
        <f t="array" aca="1" ref="C249" ca="1">INDEX(IssueTypeList,RANDBETWEEN(1,ROWS(IssueTypeList)))</f>
        <v>Payment Failure</v>
      </c>
      <c r="D249" t="str" cm="1">
        <f t="array" aca="1" ref="D249" ca="1">INDEX(PriorityList,RANDBETWEEN(1,ROWS(PriorityList)))</f>
        <v>High</v>
      </c>
      <c r="E249" t="str" cm="1">
        <f t="array" aca="1" ref="E249" ca="1">INDEX(SeverityList,RANDBETWEEN(1,ROWS(SeverityList)))</f>
        <v>Critical</v>
      </c>
      <c r="F249" t="str" cm="1">
        <f t="array" aca="1" ref="F249" ca="1">INDEX(RegionList,RANDBETWEEN(1,ROWS(RegionList)))</f>
        <v>Central</v>
      </c>
      <c r="G249" t="str" cm="1">
        <f t="array" aca="1" ref="G249" ca="1">INDEX(DepartmentList,RANDBETWEEN(1,ROWS(DepartmentList)))</f>
        <v>Customer Service</v>
      </c>
      <c r="H249" s="1">
        <f t="shared" ca="1" si="14"/>
        <v>45416</v>
      </c>
      <c r="I249" s="4" t="str">
        <f ca="1">IF(IncidentTable[[#This Row],[Resolution Time (Days)]]="","",IncidentTable[[#This Row],[Created Date]]+IncidentTable[[#This Row],[Resolution Time (Days)]])</f>
        <v/>
      </c>
      <c r="J249" t="str">
        <f ca="1">IF(OR(IncidentTable[[#This Row],[Status]]="Resolved",IncidentTable[[#This Row],[Status]]="Closed"),RANDBETWEEN(1,120),"")</f>
        <v/>
      </c>
      <c r="K249" t="str">
        <f t="shared" ca="1" si="12"/>
        <v>In Progress</v>
      </c>
      <c r="L249" t="str" cm="1">
        <f t="array" aca="1" ref="L249" ca="1">INDEX(AnalystList,RANDBETWEEN(1,ROWS(AnalystList)))</f>
        <v>Casey Brown</v>
      </c>
      <c r="M249" t="str" cm="1">
        <f t="array" aca="1" ref="M249" ca="1">INDEX(RootCauseList,RANDBETWEEN(1,ROWS(RootCauseList)))</f>
        <v>User Error</v>
      </c>
      <c r="N249">
        <f t="shared" ca="1" si="15"/>
        <v>6133.86</v>
      </c>
      <c r="O249" t="str">
        <f ca="1">IF(OR(IncidentTable[[#This Row],[Status]]="Resolved",IncidentTable[[#This Row],[Status]]="Closed"),
ROUND(IncidentTable[[#This Row],[Estimated Impact ($)]]*(1+RANDBETWEEN(-15,25)/100)+RAND(),2),
"")</f>
        <v/>
      </c>
      <c r="P249" t="str">
        <f ca="1">IF(IncidentTable[[#This Row],[Actual Impact ($)]]="","",ROUND(IncidentTable[[#This Row],[Actual Impact ($)]]-IncidentTable[[#This Row],[Estimated Impact ($)]],2))</f>
        <v/>
      </c>
      <c r="Q249" s="2" t="str">
        <f ca="1">IF(IncidentTable[[#This Row],[Actual Impact ($)]]="","",(IncidentTable[[#This Row],[Actual Impact ($)]]-IncidentTable[[#This Row],[Estimated Impact ($)]]) / IncidentTable[[#This Row],[Estimated Impact ($)]])</f>
        <v/>
      </c>
      <c r="R249" s="3">
        <f ca="1">IF(IncidentTable[[#This Row],[Priority]]="Critical",1,
IF(IncidentTable[[#This Row],[Priority]]="High",3,
IF(IncidentTable[[#This Row],[Priority]]="Medium",5,
IF(IncidentTable[[#This Row],[Priority]]="Low",10,""))))</f>
        <v>3</v>
      </c>
      <c r="S249" t="str">
        <f ca="1">IF(IncidentTable[[#This Row],[Resolution Time (Days)]]="","",
IF(IncidentTable[[#This Row],[Resolution Time (Days)]]&lt;=IncidentTable[[#This Row],[SLA Target (Days)]],"Yes","No"))</f>
        <v/>
      </c>
    </row>
    <row r="250" spans="1:19" x14ac:dyDescent="0.25">
      <c r="A250" t="str">
        <f t="shared" ca="1" si="13"/>
        <v>INC578752</v>
      </c>
      <c r="B250" t="str" cm="1">
        <f t="array" aca="1" ref="B250" ca="1">INDEX(SystemList,RANDBETWEEN(1,ROWS(SystemList)))</f>
        <v>Regulatory System</v>
      </c>
      <c r="C250" t="str" cm="1">
        <f t="array" aca="1" ref="C250" ca="1">INDEX(IssueTypeList,RANDBETWEEN(1,ROWS(IssueTypeList)))</f>
        <v>Processing Delay</v>
      </c>
      <c r="D250" t="str" cm="1">
        <f t="array" aca="1" ref="D250" ca="1">INDEX(PriorityList,RANDBETWEEN(1,ROWS(PriorityList)))</f>
        <v>Critical</v>
      </c>
      <c r="E250" t="str" cm="1">
        <f t="array" aca="1" ref="E250" ca="1">INDEX(SeverityList,RANDBETWEEN(1,ROWS(SeverityList)))</f>
        <v>Major</v>
      </c>
      <c r="F250" t="str" cm="1">
        <f t="array" aca="1" ref="F250" ca="1">INDEX(RegionList,RANDBETWEEN(1,ROWS(RegionList)))</f>
        <v>East</v>
      </c>
      <c r="G250" t="str" cm="1">
        <f t="array" aca="1" ref="G250" ca="1">INDEX(DepartmentList,RANDBETWEEN(1,ROWS(DepartmentList)))</f>
        <v>Compliance</v>
      </c>
      <c r="H250" s="1">
        <f t="shared" ca="1" si="14"/>
        <v>45321</v>
      </c>
      <c r="I250" s="4">
        <f ca="1">IF(IncidentTable[[#This Row],[Resolution Time (Days)]]="","",IncidentTable[[#This Row],[Created Date]]+IncidentTable[[#This Row],[Resolution Time (Days)]])</f>
        <v>45362</v>
      </c>
      <c r="J250">
        <f ca="1">IF(OR(IncidentTable[[#This Row],[Status]]="Resolved",IncidentTable[[#This Row],[Status]]="Closed"),RANDBETWEEN(1,120),"")</f>
        <v>41</v>
      </c>
      <c r="K250" t="str">
        <f t="shared" ca="1" si="12"/>
        <v>Closed</v>
      </c>
      <c r="L250" t="str" cm="1">
        <f t="array" aca="1" ref="L250" ca="1">INDEX(AnalystList,RANDBETWEEN(1,ROWS(AnalystList)))</f>
        <v>Casey Brown</v>
      </c>
      <c r="M250" t="str" cm="1">
        <f t="array" aca="1" ref="M250" ca="1">INDEX(RootCauseList,RANDBETWEEN(1,ROWS(RootCauseList)))</f>
        <v>User Error</v>
      </c>
      <c r="N250">
        <f t="shared" ca="1" si="15"/>
        <v>0.03</v>
      </c>
      <c r="O250">
        <f ca="1">IF(OR(IncidentTable[[#This Row],[Status]]="Resolved",IncidentTable[[#This Row],[Status]]="Closed"),
ROUND(IncidentTable[[#This Row],[Estimated Impact ($)]]*(1+RANDBETWEEN(-15,25)/100)+RAND(),2),
"")</f>
        <v>0.38</v>
      </c>
      <c r="P250">
        <f ca="1">IF(IncidentTable[[#This Row],[Actual Impact ($)]]="","",ROUND(IncidentTable[[#This Row],[Actual Impact ($)]]-IncidentTable[[#This Row],[Estimated Impact ($)]],2))</f>
        <v>0.35</v>
      </c>
      <c r="Q250" s="2">
        <f ca="1">IF(IncidentTable[[#This Row],[Actual Impact ($)]]="","",(IncidentTable[[#This Row],[Actual Impact ($)]]-IncidentTable[[#This Row],[Estimated Impact ($)]]) / IncidentTable[[#This Row],[Estimated Impact ($)]])</f>
        <v>11.666666666666666</v>
      </c>
      <c r="R250" s="3">
        <f ca="1">IF(IncidentTable[[#This Row],[Priority]]="Critical",1,
IF(IncidentTable[[#This Row],[Priority]]="High",3,
IF(IncidentTable[[#This Row],[Priority]]="Medium",5,
IF(IncidentTable[[#This Row],[Priority]]="Low",10,""))))</f>
        <v>1</v>
      </c>
      <c r="S250" t="str">
        <f ca="1">IF(IncidentTable[[#This Row],[Resolution Time (Days)]]="","",
IF(IncidentTable[[#This Row],[Resolution Time (Days)]]&lt;=IncidentTable[[#This Row],[SLA Target (Days)]],"Yes","No"))</f>
        <v>No</v>
      </c>
    </row>
    <row r="251" spans="1:19" x14ac:dyDescent="0.25">
      <c r="A251" t="str">
        <f t="shared" ca="1" si="13"/>
        <v>INC352302</v>
      </c>
      <c r="B251" t="str" cm="1">
        <f t="array" aca="1" ref="B251" ca="1">INDEX(SystemList,RANDBETWEEN(1,ROWS(SystemList)))</f>
        <v>Claims System</v>
      </c>
      <c r="C251" t="str" cm="1">
        <f t="array" aca="1" ref="C251" ca="1">INDEX(IssueTypeList,RANDBETWEEN(1,ROWS(IssueTypeList)))</f>
        <v>Payment Failure</v>
      </c>
      <c r="D251" t="str" cm="1">
        <f t="array" aca="1" ref="D251" ca="1">INDEX(PriorityList,RANDBETWEEN(1,ROWS(PriorityList)))</f>
        <v>Medium</v>
      </c>
      <c r="E251" t="str" cm="1">
        <f t="array" aca="1" ref="E251" ca="1">INDEX(SeverityList,RANDBETWEEN(1,ROWS(SeverityList)))</f>
        <v>Moderate</v>
      </c>
      <c r="F251" t="str" cm="1">
        <f t="array" aca="1" ref="F251" ca="1">INDEX(RegionList,RANDBETWEEN(1,ROWS(RegionList)))</f>
        <v>East</v>
      </c>
      <c r="G251" t="str" cm="1">
        <f t="array" aca="1" ref="G251" ca="1">INDEX(DepartmentList,RANDBETWEEN(1,ROWS(DepartmentList)))</f>
        <v>Claims</v>
      </c>
      <c r="H251" s="1">
        <f t="shared" ca="1" si="14"/>
        <v>45379</v>
      </c>
      <c r="I251" s="4">
        <f ca="1">IF(IncidentTable[[#This Row],[Resolution Time (Days)]]="","",IncidentTable[[#This Row],[Created Date]]+IncidentTable[[#This Row],[Resolution Time (Days)]])</f>
        <v>45438</v>
      </c>
      <c r="J251">
        <f ca="1">IF(OR(IncidentTable[[#This Row],[Status]]="Resolved",IncidentTable[[#This Row],[Status]]="Closed"),RANDBETWEEN(1,120),"")</f>
        <v>59</v>
      </c>
      <c r="K251" t="str">
        <f t="shared" ca="1" si="12"/>
        <v>Resolved</v>
      </c>
      <c r="L251" t="str" cm="1">
        <f t="array" aca="1" ref="L251" ca="1">INDEX(AnalystList,RANDBETWEEN(1,ROWS(AnalystList)))</f>
        <v>Jordan Lee</v>
      </c>
      <c r="M251" t="str" cm="1">
        <f t="array" aca="1" ref="M251" ca="1">INDEX(RootCauseList,RANDBETWEEN(1,ROWS(RootCauseList)))</f>
        <v>Data Error</v>
      </c>
      <c r="N251">
        <f t="shared" ca="1" si="15"/>
        <v>9035.67</v>
      </c>
      <c r="O251">
        <f ca="1">IF(OR(IncidentTable[[#This Row],[Status]]="Resolved",IncidentTable[[#This Row],[Status]]="Closed"),
ROUND(IncidentTable[[#This Row],[Estimated Impact ($)]]*(1+RANDBETWEEN(-15,25)/100)+RAND(),2),
"")</f>
        <v>7861.67</v>
      </c>
      <c r="P251">
        <f ca="1">IF(IncidentTable[[#This Row],[Actual Impact ($)]]="","",ROUND(IncidentTable[[#This Row],[Actual Impact ($)]]-IncidentTable[[#This Row],[Estimated Impact ($)]],2))</f>
        <v>-1174</v>
      </c>
      <c r="Q251" s="2">
        <f ca="1">IF(IncidentTable[[#This Row],[Actual Impact ($)]]="","",(IncidentTable[[#This Row],[Actual Impact ($)]]-IncidentTable[[#This Row],[Estimated Impact ($)]]) / IncidentTable[[#This Row],[Estimated Impact ($)]])</f>
        <v>-0.12992949056351105</v>
      </c>
      <c r="R251" s="3">
        <f ca="1">IF(IncidentTable[[#This Row],[Priority]]="Critical",1,
IF(IncidentTable[[#This Row],[Priority]]="High",3,
IF(IncidentTable[[#This Row],[Priority]]="Medium",5,
IF(IncidentTable[[#This Row],[Priority]]="Low",10,""))))</f>
        <v>5</v>
      </c>
      <c r="S251" t="str">
        <f ca="1">IF(IncidentTable[[#This Row],[Resolution Time (Days)]]="","",
IF(IncidentTable[[#This Row],[Resolution Time (Days)]]&lt;=IncidentTable[[#This Row],[SLA Target (Days)]],"Yes","No"))</f>
        <v>No</v>
      </c>
    </row>
    <row r="252" spans="1:19" x14ac:dyDescent="0.25">
      <c r="A252" t="str">
        <f t="shared" ca="1" si="13"/>
        <v>INC201540</v>
      </c>
      <c r="B252" t="str" cm="1">
        <f t="array" aca="1" ref="B252" ca="1">INDEX(SystemList,RANDBETWEEN(1,ROWS(SystemList)))</f>
        <v>Regulatory System</v>
      </c>
      <c r="C252" t="str" cm="1">
        <f t="array" aca="1" ref="C252" ca="1">INDEX(IssueTypeList,RANDBETWEEN(1,ROWS(IssueTypeList)))</f>
        <v>Data Issue</v>
      </c>
      <c r="D252" t="str" cm="1">
        <f t="array" aca="1" ref="D252" ca="1">INDEX(PriorityList,RANDBETWEEN(1,ROWS(PriorityList)))</f>
        <v>Low</v>
      </c>
      <c r="E252" t="str" cm="1">
        <f t="array" aca="1" ref="E252" ca="1">INDEX(SeverityList,RANDBETWEEN(1,ROWS(SeverityList)))</f>
        <v>Minor</v>
      </c>
      <c r="F252" t="str" cm="1">
        <f t="array" aca="1" ref="F252" ca="1">INDEX(RegionList,RANDBETWEEN(1,ROWS(RegionList)))</f>
        <v>West</v>
      </c>
      <c r="G252" t="str" cm="1">
        <f t="array" aca="1" ref="G252" ca="1">INDEX(DepartmentList,RANDBETWEEN(1,ROWS(DepartmentList)))</f>
        <v>Compliance</v>
      </c>
      <c r="H252" s="1">
        <f t="shared" ca="1" si="14"/>
        <v>44992</v>
      </c>
      <c r="I252" s="4" t="str">
        <f ca="1">IF(IncidentTable[[#This Row],[Resolution Time (Days)]]="","",IncidentTable[[#This Row],[Created Date]]+IncidentTable[[#This Row],[Resolution Time (Days)]])</f>
        <v/>
      </c>
      <c r="J252" t="str">
        <f ca="1">IF(OR(IncidentTable[[#This Row],[Status]]="Resolved",IncidentTable[[#This Row],[Status]]="Closed"),RANDBETWEEN(1,120),"")</f>
        <v/>
      </c>
      <c r="K252" t="str">
        <f t="shared" ca="1" si="12"/>
        <v>In Progress</v>
      </c>
      <c r="L252" t="str" cm="1">
        <f t="array" aca="1" ref="L252" ca="1">INDEX(AnalystList,RANDBETWEEN(1,ROWS(AnalystList)))</f>
        <v>Jordan Lee</v>
      </c>
      <c r="M252" t="str" cm="1">
        <f t="array" aca="1" ref="M252" ca="1">INDEX(RootCauseList,RANDBETWEEN(1,ROWS(RootCauseList)))</f>
        <v>Integration Failure</v>
      </c>
      <c r="N252">
        <f t="shared" ca="1" si="15"/>
        <v>153.52000000000001</v>
      </c>
      <c r="O252" t="str">
        <f ca="1">IF(OR(IncidentTable[[#This Row],[Status]]="Resolved",IncidentTable[[#This Row],[Status]]="Closed"),
ROUND(IncidentTable[[#This Row],[Estimated Impact ($)]]*(1+RANDBETWEEN(-15,25)/100)+RAND(),2),
"")</f>
        <v/>
      </c>
      <c r="P252" t="str">
        <f ca="1">IF(IncidentTable[[#This Row],[Actual Impact ($)]]="","",ROUND(IncidentTable[[#This Row],[Actual Impact ($)]]-IncidentTable[[#This Row],[Estimated Impact ($)]],2))</f>
        <v/>
      </c>
      <c r="Q252" s="2" t="str">
        <f ca="1">IF(IncidentTable[[#This Row],[Actual Impact ($)]]="","",(IncidentTable[[#This Row],[Actual Impact ($)]]-IncidentTable[[#This Row],[Estimated Impact ($)]]) / IncidentTable[[#This Row],[Estimated Impact ($)]])</f>
        <v/>
      </c>
      <c r="R252" s="3">
        <f ca="1">IF(IncidentTable[[#This Row],[Priority]]="Critical",1,
IF(IncidentTable[[#This Row],[Priority]]="High",3,
IF(IncidentTable[[#This Row],[Priority]]="Medium",5,
IF(IncidentTable[[#This Row],[Priority]]="Low",10,""))))</f>
        <v>10</v>
      </c>
      <c r="S252" t="str">
        <f ca="1">IF(IncidentTable[[#This Row],[Resolution Time (Days)]]="","",
IF(IncidentTable[[#This Row],[Resolution Time (Days)]]&lt;=IncidentTable[[#This Row],[SLA Target (Days)]],"Yes","No"))</f>
        <v/>
      </c>
    </row>
    <row r="253" spans="1:19" x14ac:dyDescent="0.25">
      <c r="A253" t="str">
        <f t="shared" ca="1" si="13"/>
        <v>INC266740</v>
      </c>
      <c r="B253" t="str" cm="1">
        <f t="array" aca="1" ref="B253" ca="1">INDEX(SystemList,RANDBETWEEN(1,ROWS(SystemList)))</f>
        <v>Customer Portal</v>
      </c>
      <c r="C253" t="str" cm="1">
        <f t="array" aca="1" ref="C253" ca="1">INDEX(IssueTypeList,RANDBETWEEN(1,ROWS(IssueTypeList)))</f>
        <v>System Error</v>
      </c>
      <c r="D253" t="str" cm="1">
        <f t="array" aca="1" ref="D253" ca="1">INDEX(PriorityList,RANDBETWEEN(1,ROWS(PriorityList)))</f>
        <v>High</v>
      </c>
      <c r="E253" t="str" cm="1">
        <f t="array" aca="1" ref="E253" ca="1">INDEX(SeverityList,RANDBETWEEN(1,ROWS(SeverityList)))</f>
        <v>Major</v>
      </c>
      <c r="F253" t="str" cm="1">
        <f t="array" aca="1" ref="F253" ca="1">INDEX(RegionList,RANDBETWEEN(1,ROWS(RegionList)))</f>
        <v>East</v>
      </c>
      <c r="G253" t="str" cm="1">
        <f t="array" aca="1" ref="G253" ca="1">INDEX(DepartmentList,RANDBETWEEN(1,ROWS(DepartmentList)))</f>
        <v>Claims</v>
      </c>
      <c r="H253" s="1">
        <f t="shared" ca="1" si="14"/>
        <v>45216</v>
      </c>
      <c r="I253" s="4">
        <f ca="1">IF(IncidentTable[[#This Row],[Resolution Time (Days)]]="","",IncidentTable[[#This Row],[Created Date]]+IncidentTable[[#This Row],[Resolution Time (Days)]])</f>
        <v>45261</v>
      </c>
      <c r="J253">
        <f ca="1">IF(OR(IncidentTable[[#This Row],[Status]]="Resolved",IncidentTable[[#This Row],[Status]]="Closed"),RANDBETWEEN(1,120),"")</f>
        <v>45</v>
      </c>
      <c r="K253" t="str">
        <f t="shared" ca="1" si="12"/>
        <v>Resolved</v>
      </c>
      <c r="L253" t="str" cm="1">
        <f t="array" aca="1" ref="L253" ca="1">INDEX(AnalystList,RANDBETWEEN(1,ROWS(AnalystList)))</f>
        <v>Casey Brown</v>
      </c>
      <c r="M253" t="str" cm="1">
        <f t="array" aca="1" ref="M253" ca="1">INDEX(RootCauseList,RANDBETWEEN(1,ROWS(RootCauseList)))</f>
        <v>User Error</v>
      </c>
      <c r="N253">
        <f t="shared" ca="1" si="15"/>
        <v>318.22000000000003</v>
      </c>
      <c r="O253">
        <f ca="1">IF(OR(IncidentTable[[#This Row],[Status]]="Resolved",IncidentTable[[#This Row],[Status]]="Closed"),
ROUND(IncidentTable[[#This Row],[Estimated Impact ($)]]*(1+RANDBETWEEN(-15,25)/100)+RAND(),2),
"")</f>
        <v>324.74</v>
      </c>
      <c r="P253">
        <f ca="1">IF(IncidentTable[[#This Row],[Actual Impact ($)]]="","",ROUND(IncidentTable[[#This Row],[Actual Impact ($)]]-IncidentTable[[#This Row],[Estimated Impact ($)]],2))</f>
        <v>6.52</v>
      </c>
      <c r="Q253" s="2">
        <f ca="1">IF(IncidentTable[[#This Row],[Actual Impact ($)]]="","",(IncidentTable[[#This Row],[Actual Impact ($)]]-IncidentTable[[#This Row],[Estimated Impact ($)]]) / IncidentTable[[#This Row],[Estimated Impact ($)]])</f>
        <v>2.0488969895041106E-2</v>
      </c>
      <c r="R253" s="3">
        <f ca="1">IF(IncidentTable[[#This Row],[Priority]]="Critical",1,
IF(IncidentTable[[#This Row],[Priority]]="High",3,
IF(IncidentTable[[#This Row],[Priority]]="Medium",5,
IF(IncidentTable[[#This Row],[Priority]]="Low",10,""))))</f>
        <v>3</v>
      </c>
      <c r="S253" t="str">
        <f ca="1">IF(IncidentTable[[#This Row],[Resolution Time (Days)]]="","",
IF(IncidentTable[[#This Row],[Resolution Time (Days)]]&lt;=IncidentTable[[#This Row],[SLA Target (Days)]],"Yes","No"))</f>
        <v>No</v>
      </c>
    </row>
    <row r="254" spans="1:19" x14ac:dyDescent="0.25">
      <c r="A254" t="str">
        <f t="shared" ca="1" si="13"/>
        <v>INC251115</v>
      </c>
      <c r="B254" t="str" cm="1">
        <f t="array" aca="1" ref="B254" ca="1">INDEX(SystemList,RANDBETWEEN(1,ROWS(SystemList)))</f>
        <v>Customer Portal</v>
      </c>
      <c r="C254" t="str" cm="1">
        <f t="array" aca="1" ref="C254" ca="1">INDEX(IssueTypeList,RANDBETWEEN(1,ROWS(IssueTypeList)))</f>
        <v>Integration Failure</v>
      </c>
      <c r="D254" t="str" cm="1">
        <f t="array" aca="1" ref="D254" ca="1">INDEX(PriorityList,RANDBETWEEN(1,ROWS(PriorityList)))</f>
        <v>Medium</v>
      </c>
      <c r="E254" t="str" cm="1">
        <f t="array" aca="1" ref="E254" ca="1">INDEX(SeverityList,RANDBETWEEN(1,ROWS(SeverityList)))</f>
        <v>Moderate</v>
      </c>
      <c r="F254" t="str" cm="1">
        <f t="array" aca="1" ref="F254" ca="1">INDEX(RegionList,RANDBETWEEN(1,ROWS(RegionList)))</f>
        <v>East</v>
      </c>
      <c r="G254" t="str" cm="1">
        <f t="array" aca="1" ref="G254" ca="1">INDEX(DepartmentList,RANDBETWEEN(1,ROWS(DepartmentList)))</f>
        <v>Customer Service</v>
      </c>
      <c r="H254" s="1">
        <f t="shared" ca="1" si="14"/>
        <v>45372</v>
      </c>
      <c r="I254" s="4" t="str">
        <f ca="1">IF(IncidentTable[[#This Row],[Resolution Time (Days)]]="","",IncidentTable[[#This Row],[Created Date]]+IncidentTable[[#This Row],[Resolution Time (Days)]])</f>
        <v/>
      </c>
      <c r="J254" t="str">
        <f ca="1">IF(OR(IncidentTable[[#This Row],[Status]]="Resolved",IncidentTable[[#This Row],[Status]]="Closed"),RANDBETWEEN(1,120),"")</f>
        <v/>
      </c>
      <c r="K254" t="str">
        <f t="shared" ca="1" si="12"/>
        <v>Open</v>
      </c>
      <c r="L254" t="str" cm="1">
        <f t="array" aca="1" ref="L254" ca="1">INDEX(AnalystList,RANDBETWEEN(1,ROWS(AnalystList)))</f>
        <v>Morgan Davis</v>
      </c>
      <c r="M254" t="str" cm="1">
        <f t="array" aca="1" ref="M254" ca="1">INDEX(RootCauseList,RANDBETWEEN(1,ROWS(RootCauseList)))</f>
        <v>Integration Failure</v>
      </c>
      <c r="N254">
        <f t="shared" ca="1" si="15"/>
        <v>5980.2</v>
      </c>
      <c r="O254" t="str">
        <f ca="1">IF(OR(IncidentTable[[#This Row],[Status]]="Resolved",IncidentTable[[#This Row],[Status]]="Closed"),
ROUND(IncidentTable[[#This Row],[Estimated Impact ($)]]*(1+RANDBETWEEN(-15,25)/100)+RAND(),2),
"")</f>
        <v/>
      </c>
      <c r="P254" t="str">
        <f ca="1">IF(IncidentTable[[#This Row],[Actual Impact ($)]]="","",ROUND(IncidentTable[[#This Row],[Actual Impact ($)]]-IncidentTable[[#This Row],[Estimated Impact ($)]],2))</f>
        <v/>
      </c>
      <c r="Q254" s="2" t="str">
        <f ca="1">IF(IncidentTable[[#This Row],[Actual Impact ($)]]="","",(IncidentTable[[#This Row],[Actual Impact ($)]]-IncidentTable[[#This Row],[Estimated Impact ($)]]) / IncidentTable[[#This Row],[Estimated Impact ($)]])</f>
        <v/>
      </c>
      <c r="R254" s="3">
        <f ca="1">IF(IncidentTable[[#This Row],[Priority]]="Critical",1,
IF(IncidentTable[[#This Row],[Priority]]="High",3,
IF(IncidentTable[[#This Row],[Priority]]="Medium",5,
IF(IncidentTable[[#This Row],[Priority]]="Low",10,""))))</f>
        <v>5</v>
      </c>
      <c r="S254" t="str">
        <f ca="1">IF(IncidentTable[[#This Row],[Resolution Time (Days)]]="","",
IF(IncidentTable[[#This Row],[Resolution Time (Days)]]&lt;=IncidentTable[[#This Row],[SLA Target (Days)]],"Yes","No"))</f>
        <v/>
      </c>
    </row>
    <row r="255" spans="1:19" x14ac:dyDescent="0.25">
      <c r="A255" t="str">
        <f t="shared" ca="1" si="13"/>
        <v>INC692289</v>
      </c>
      <c r="B255" t="str" cm="1">
        <f t="array" aca="1" ref="B255" ca="1">INDEX(SystemList,RANDBETWEEN(1,ROWS(SystemList)))</f>
        <v>Policy Admin System</v>
      </c>
      <c r="C255" t="str" cm="1">
        <f t="array" aca="1" ref="C255" ca="1">INDEX(IssueTypeList,RANDBETWEEN(1,ROWS(IssueTypeList)))</f>
        <v>Integration Failure</v>
      </c>
      <c r="D255" t="str" cm="1">
        <f t="array" aca="1" ref="D255" ca="1">INDEX(PriorityList,RANDBETWEEN(1,ROWS(PriorityList)))</f>
        <v>High</v>
      </c>
      <c r="E255" t="str" cm="1">
        <f t="array" aca="1" ref="E255" ca="1">INDEX(SeverityList,RANDBETWEEN(1,ROWS(SeverityList)))</f>
        <v>Critical</v>
      </c>
      <c r="F255" t="str" cm="1">
        <f t="array" aca="1" ref="F255" ca="1">INDEX(RegionList,RANDBETWEEN(1,ROWS(RegionList)))</f>
        <v>Central</v>
      </c>
      <c r="G255" t="str" cm="1">
        <f t="array" aca="1" ref="G255" ca="1">INDEX(DepartmentList,RANDBETWEEN(1,ROWS(DepartmentList)))</f>
        <v>Customer Service</v>
      </c>
      <c r="H255" s="1">
        <f t="shared" ca="1" si="14"/>
        <v>45468</v>
      </c>
      <c r="I255" s="4" t="str">
        <f ca="1">IF(IncidentTable[[#This Row],[Resolution Time (Days)]]="","",IncidentTable[[#This Row],[Created Date]]+IncidentTable[[#This Row],[Resolution Time (Days)]])</f>
        <v/>
      </c>
      <c r="J255" t="str">
        <f ca="1">IF(OR(IncidentTable[[#This Row],[Status]]="Resolved",IncidentTable[[#This Row],[Status]]="Closed"),RANDBETWEEN(1,120),"")</f>
        <v/>
      </c>
      <c r="K255" t="str">
        <f t="shared" ca="1" si="12"/>
        <v>Open</v>
      </c>
      <c r="L255" t="str" cm="1">
        <f t="array" aca="1" ref="L255" ca="1">INDEX(AnalystList,RANDBETWEEN(1,ROWS(AnalystList)))</f>
        <v>Riley Wilson</v>
      </c>
      <c r="M255" t="str" cm="1">
        <f t="array" aca="1" ref="M255" ca="1">INDEX(RootCauseList,RANDBETWEEN(1,ROWS(RootCauseList)))</f>
        <v>Integration Failure</v>
      </c>
      <c r="N255">
        <f t="shared" ca="1" si="15"/>
        <v>12416.81</v>
      </c>
      <c r="O255" t="str">
        <f ca="1">IF(OR(IncidentTable[[#This Row],[Status]]="Resolved",IncidentTable[[#This Row],[Status]]="Closed"),
ROUND(IncidentTable[[#This Row],[Estimated Impact ($)]]*(1+RANDBETWEEN(-15,25)/100)+RAND(),2),
"")</f>
        <v/>
      </c>
      <c r="P255" t="str">
        <f ca="1">IF(IncidentTable[[#This Row],[Actual Impact ($)]]="","",ROUND(IncidentTable[[#This Row],[Actual Impact ($)]]-IncidentTable[[#This Row],[Estimated Impact ($)]],2))</f>
        <v/>
      </c>
      <c r="Q255" s="2" t="str">
        <f ca="1">IF(IncidentTable[[#This Row],[Actual Impact ($)]]="","",(IncidentTable[[#This Row],[Actual Impact ($)]]-IncidentTable[[#This Row],[Estimated Impact ($)]]) / IncidentTable[[#This Row],[Estimated Impact ($)]])</f>
        <v/>
      </c>
      <c r="R255" s="3">
        <f ca="1">IF(IncidentTable[[#This Row],[Priority]]="Critical",1,
IF(IncidentTable[[#This Row],[Priority]]="High",3,
IF(IncidentTable[[#This Row],[Priority]]="Medium",5,
IF(IncidentTable[[#This Row],[Priority]]="Low",10,""))))</f>
        <v>3</v>
      </c>
      <c r="S255" t="str">
        <f ca="1">IF(IncidentTable[[#This Row],[Resolution Time (Days)]]="","",
IF(IncidentTable[[#This Row],[Resolution Time (Days)]]&lt;=IncidentTable[[#This Row],[SLA Target (Days)]],"Yes","No"))</f>
        <v/>
      </c>
    </row>
    <row r="256" spans="1:19" x14ac:dyDescent="0.25">
      <c r="A256" t="str">
        <f t="shared" ca="1" si="13"/>
        <v>INC731658</v>
      </c>
      <c r="B256" t="str" cm="1">
        <f t="array" aca="1" ref="B256" ca="1">INDEX(SystemList,RANDBETWEEN(1,ROWS(SystemList)))</f>
        <v>Payment Processing</v>
      </c>
      <c r="C256" t="str" cm="1">
        <f t="array" aca="1" ref="C256" ca="1">INDEX(IssueTypeList,RANDBETWEEN(1,ROWS(IssueTypeList)))</f>
        <v>User Access Issue</v>
      </c>
      <c r="D256" t="str" cm="1">
        <f t="array" aca="1" ref="D256" ca="1">INDEX(PriorityList,RANDBETWEEN(1,ROWS(PriorityList)))</f>
        <v>Medium</v>
      </c>
      <c r="E256" t="str" cm="1">
        <f t="array" aca="1" ref="E256" ca="1">INDEX(SeverityList,RANDBETWEEN(1,ROWS(SeverityList)))</f>
        <v>Moderate</v>
      </c>
      <c r="F256" t="str" cm="1">
        <f t="array" aca="1" ref="F256" ca="1">INDEX(RegionList,RANDBETWEEN(1,ROWS(RegionList)))</f>
        <v>West</v>
      </c>
      <c r="G256" t="str" cm="1">
        <f t="array" aca="1" ref="G256" ca="1">INDEX(DepartmentList,RANDBETWEEN(1,ROWS(DepartmentList)))</f>
        <v>IT</v>
      </c>
      <c r="H256" s="1">
        <f t="shared" ca="1" si="14"/>
        <v>45322</v>
      </c>
      <c r="I256" s="4">
        <f ca="1">IF(IncidentTable[[#This Row],[Resolution Time (Days)]]="","",IncidentTable[[#This Row],[Created Date]]+IncidentTable[[#This Row],[Resolution Time (Days)]])</f>
        <v>45372</v>
      </c>
      <c r="J256">
        <f ca="1">IF(OR(IncidentTable[[#This Row],[Status]]="Resolved",IncidentTable[[#This Row],[Status]]="Closed"),RANDBETWEEN(1,120),"")</f>
        <v>50</v>
      </c>
      <c r="K256" t="str">
        <f t="shared" ca="1" si="12"/>
        <v>Closed</v>
      </c>
      <c r="L256" t="str" cm="1">
        <f t="array" aca="1" ref="L256" ca="1">INDEX(AnalystList,RANDBETWEEN(1,ROWS(AnalystList)))</f>
        <v>Jordan Lee</v>
      </c>
      <c r="M256" t="str" cm="1">
        <f t="array" aca="1" ref="M256" ca="1">INDEX(RootCauseList,RANDBETWEEN(1,ROWS(RootCauseList)))</f>
        <v>Configuration Issue</v>
      </c>
      <c r="N256">
        <f t="shared" ca="1" si="15"/>
        <v>6100.55</v>
      </c>
      <c r="O256">
        <f ca="1">IF(OR(IncidentTable[[#This Row],[Status]]="Resolved",IncidentTable[[#This Row],[Status]]="Closed"),
ROUND(IncidentTable[[#This Row],[Estimated Impact ($)]]*(1+RANDBETWEEN(-15,25)/100)+RAND(),2),
"")</f>
        <v>6711.07</v>
      </c>
      <c r="P256">
        <f ca="1">IF(IncidentTable[[#This Row],[Actual Impact ($)]]="","",ROUND(IncidentTable[[#This Row],[Actual Impact ($)]]-IncidentTable[[#This Row],[Estimated Impact ($)]],2))</f>
        <v>610.52</v>
      </c>
      <c r="Q256" s="2">
        <f ca="1">IF(IncidentTable[[#This Row],[Actual Impact ($)]]="","",(IncidentTable[[#This Row],[Actual Impact ($)]]-IncidentTable[[#This Row],[Estimated Impact ($)]]) / IncidentTable[[#This Row],[Estimated Impact ($)]])</f>
        <v>0.10007622263566392</v>
      </c>
      <c r="R256" s="3">
        <f ca="1">IF(IncidentTable[[#This Row],[Priority]]="Critical",1,
IF(IncidentTable[[#This Row],[Priority]]="High",3,
IF(IncidentTable[[#This Row],[Priority]]="Medium",5,
IF(IncidentTable[[#This Row],[Priority]]="Low",10,""))))</f>
        <v>5</v>
      </c>
      <c r="S256" t="str">
        <f ca="1">IF(IncidentTable[[#This Row],[Resolution Time (Days)]]="","",
IF(IncidentTable[[#This Row],[Resolution Time (Days)]]&lt;=IncidentTable[[#This Row],[SLA Target (Days)]],"Yes","No"))</f>
        <v>No</v>
      </c>
    </row>
    <row r="257" spans="1:19" x14ac:dyDescent="0.25">
      <c r="A257" t="str">
        <f t="shared" ca="1" si="13"/>
        <v>INC187826</v>
      </c>
      <c r="B257" t="str" cm="1">
        <f t="array" aca="1" ref="B257" ca="1">INDEX(SystemList,RANDBETWEEN(1,ROWS(SystemList)))</f>
        <v>Billing System</v>
      </c>
      <c r="C257" t="str" cm="1">
        <f t="array" aca="1" ref="C257" ca="1">INDEX(IssueTypeList,RANDBETWEEN(1,ROWS(IssueTypeList)))</f>
        <v>Payment Failure</v>
      </c>
      <c r="D257" t="str" cm="1">
        <f t="array" aca="1" ref="D257" ca="1">INDEX(PriorityList,RANDBETWEEN(1,ROWS(PriorityList)))</f>
        <v>Low</v>
      </c>
      <c r="E257" t="str" cm="1">
        <f t="array" aca="1" ref="E257" ca="1">INDEX(SeverityList,RANDBETWEEN(1,ROWS(SeverityList)))</f>
        <v>Critical</v>
      </c>
      <c r="F257" t="str" cm="1">
        <f t="array" aca="1" ref="F257" ca="1">INDEX(RegionList,RANDBETWEEN(1,ROWS(RegionList)))</f>
        <v>West</v>
      </c>
      <c r="G257" t="str" cm="1">
        <f t="array" aca="1" ref="G257" ca="1">INDEX(DepartmentList,RANDBETWEEN(1,ROWS(DepartmentList)))</f>
        <v>Compliance</v>
      </c>
      <c r="H257" s="1">
        <f t="shared" ca="1" si="14"/>
        <v>45266</v>
      </c>
      <c r="I257" s="4" t="str">
        <f ca="1">IF(IncidentTable[[#This Row],[Resolution Time (Days)]]="","",IncidentTable[[#This Row],[Created Date]]+IncidentTable[[#This Row],[Resolution Time (Days)]])</f>
        <v/>
      </c>
      <c r="J257" t="str">
        <f ca="1">IF(OR(IncidentTable[[#This Row],[Status]]="Resolved",IncidentTable[[#This Row],[Status]]="Closed"),RANDBETWEEN(1,120),"")</f>
        <v/>
      </c>
      <c r="K257" t="str">
        <f t="shared" ca="1" si="12"/>
        <v>In Progress</v>
      </c>
      <c r="L257" t="str" cm="1">
        <f t="array" aca="1" ref="L257" ca="1">INDEX(AnalystList,RANDBETWEEN(1,ROWS(AnalystList)))</f>
        <v>Casey Brown</v>
      </c>
      <c r="M257" t="str" cm="1">
        <f t="array" aca="1" ref="M257" ca="1">INDEX(RootCauseList,RANDBETWEEN(1,ROWS(RootCauseList)))</f>
        <v>Data Error</v>
      </c>
      <c r="N257">
        <f t="shared" ca="1" si="15"/>
        <v>13570.33</v>
      </c>
      <c r="O257" t="str">
        <f ca="1">IF(OR(IncidentTable[[#This Row],[Status]]="Resolved",IncidentTable[[#This Row],[Status]]="Closed"),
ROUND(IncidentTable[[#This Row],[Estimated Impact ($)]]*(1+RANDBETWEEN(-15,25)/100)+RAND(),2),
"")</f>
        <v/>
      </c>
      <c r="P257" t="str">
        <f ca="1">IF(IncidentTable[[#This Row],[Actual Impact ($)]]="","",ROUND(IncidentTable[[#This Row],[Actual Impact ($)]]-IncidentTable[[#This Row],[Estimated Impact ($)]],2))</f>
        <v/>
      </c>
      <c r="Q257" s="2" t="str">
        <f ca="1">IF(IncidentTable[[#This Row],[Actual Impact ($)]]="","",(IncidentTable[[#This Row],[Actual Impact ($)]]-IncidentTable[[#This Row],[Estimated Impact ($)]]) / IncidentTable[[#This Row],[Estimated Impact ($)]])</f>
        <v/>
      </c>
      <c r="R257" s="3">
        <f ca="1">IF(IncidentTable[[#This Row],[Priority]]="Critical",1,
IF(IncidentTable[[#This Row],[Priority]]="High",3,
IF(IncidentTable[[#This Row],[Priority]]="Medium",5,
IF(IncidentTable[[#This Row],[Priority]]="Low",10,""))))</f>
        <v>10</v>
      </c>
      <c r="S257" t="str">
        <f ca="1">IF(IncidentTable[[#This Row],[Resolution Time (Days)]]="","",
IF(IncidentTable[[#This Row],[Resolution Time (Days)]]&lt;=IncidentTable[[#This Row],[SLA Target (Days)]],"Yes","No"))</f>
        <v/>
      </c>
    </row>
    <row r="258" spans="1:19" x14ac:dyDescent="0.25">
      <c r="A258" t="str">
        <f t="shared" ca="1" si="13"/>
        <v>INC684843</v>
      </c>
      <c r="B258" t="str" cm="1">
        <f t="array" aca="1" ref="B258" ca="1">INDEX(SystemList,RANDBETWEEN(1,ROWS(SystemList)))</f>
        <v>Customer Portal</v>
      </c>
      <c r="C258" t="str" cm="1">
        <f t="array" aca="1" ref="C258" ca="1">INDEX(IssueTypeList,RANDBETWEEN(1,ROWS(IssueTypeList)))</f>
        <v>Complaint</v>
      </c>
      <c r="D258" t="str" cm="1">
        <f t="array" aca="1" ref="D258" ca="1">INDEX(PriorityList,RANDBETWEEN(1,ROWS(PriorityList)))</f>
        <v>Low</v>
      </c>
      <c r="E258" t="str" cm="1">
        <f t="array" aca="1" ref="E258" ca="1">INDEX(SeverityList,RANDBETWEEN(1,ROWS(SeverityList)))</f>
        <v>Moderate</v>
      </c>
      <c r="F258" t="str" cm="1">
        <f t="array" aca="1" ref="F258" ca="1">INDEX(RegionList,RANDBETWEEN(1,ROWS(RegionList)))</f>
        <v>Central</v>
      </c>
      <c r="G258" t="str" cm="1">
        <f t="array" aca="1" ref="G258" ca="1">INDEX(DepartmentList,RANDBETWEEN(1,ROWS(DepartmentList)))</f>
        <v>IT</v>
      </c>
      <c r="H258" s="1">
        <f t="shared" ca="1" si="14"/>
        <v>45006</v>
      </c>
      <c r="I258" s="4" t="str">
        <f ca="1">IF(IncidentTable[[#This Row],[Resolution Time (Days)]]="","",IncidentTable[[#This Row],[Created Date]]+IncidentTable[[#This Row],[Resolution Time (Days)]])</f>
        <v/>
      </c>
      <c r="J258" t="str">
        <f ca="1">IF(OR(IncidentTable[[#This Row],[Status]]="Resolved",IncidentTable[[#This Row],[Status]]="Closed"),RANDBETWEEN(1,120),"")</f>
        <v/>
      </c>
      <c r="K258" t="str">
        <f t="shared" ref="K258:K321" ca="1" si="16">CHOOSE(RANDBETWEEN(1,5),"Open","In Progress","Pending","Resolved","Closed")</f>
        <v>In Progress</v>
      </c>
      <c r="L258" t="str" cm="1">
        <f t="array" aca="1" ref="L258" ca="1">INDEX(AnalystList,RANDBETWEEN(1,ROWS(AnalystList)))</f>
        <v>Casey Brown</v>
      </c>
      <c r="M258" t="str" cm="1">
        <f t="array" aca="1" ref="M258" ca="1">INDEX(RootCauseList,RANDBETWEEN(1,ROWS(RootCauseList)))</f>
        <v>System Bug</v>
      </c>
      <c r="N258">
        <f t="shared" ca="1" si="15"/>
        <v>3163.99</v>
      </c>
      <c r="O258" t="str">
        <f ca="1">IF(OR(IncidentTable[[#This Row],[Status]]="Resolved",IncidentTable[[#This Row],[Status]]="Closed"),
ROUND(IncidentTable[[#This Row],[Estimated Impact ($)]]*(1+RANDBETWEEN(-15,25)/100)+RAND(),2),
"")</f>
        <v/>
      </c>
      <c r="P258" t="str">
        <f ca="1">IF(IncidentTable[[#This Row],[Actual Impact ($)]]="","",ROUND(IncidentTable[[#This Row],[Actual Impact ($)]]-IncidentTable[[#This Row],[Estimated Impact ($)]],2))</f>
        <v/>
      </c>
      <c r="Q258" s="2" t="str">
        <f ca="1">IF(IncidentTable[[#This Row],[Actual Impact ($)]]="","",(IncidentTable[[#This Row],[Actual Impact ($)]]-IncidentTable[[#This Row],[Estimated Impact ($)]]) / IncidentTable[[#This Row],[Estimated Impact ($)]])</f>
        <v/>
      </c>
      <c r="R258" s="3">
        <f ca="1">IF(IncidentTable[[#This Row],[Priority]]="Critical",1,
IF(IncidentTable[[#This Row],[Priority]]="High",3,
IF(IncidentTable[[#This Row],[Priority]]="Medium",5,
IF(IncidentTable[[#This Row],[Priority]]="Low",10,""))))</f>
        <v>10</v>
      </c>
      <c r="S258" t="str">
        <f ca="1">IF(IncidentTable[[#This Row],[Resolution Time (Days)]]="","",
IF(IncidentTable[[#This Row],[Resolution Time (Days)]]&lt;=IncidentTable[[#This Row],[SLA Target (Days)]],"Yes","No"))</f>
        <v/>
      </c>
    </row>
    <row r="259" spans="1:19" x14ac:dyDescent="0.25">
      <c r="A259" t="str">
        <f t="shared" ref="A259:A322" ca="1" si="17">"INC"&amp;TEXT(RANDBETWEEN(100000,999999),"000000")</f>
        <v>INC336679</v>
      </c>
      <c r="B259" t="str" cm="1">
        <f t="array" aca="1" ref="B259" ca="1">INDEX(SystemList,RANDBETWEEN(1,ROWS(SystemList)))</f>
        <v>Customer Portal</v>
      </c>
      <c r="C259" t="str" cm="1">
        <f t="array" aca="1" ref="C259" ca="1">INDEX(IssueTypeList,RANDBETWEEN(1,ROWS(IssueTypeList)))</f>
        <v>Integration Failure</v>
      </c>
      <c r="D259" t="str" cm="1">
        <f t="array" aca="1" ref="D259" ca="1">INDEX(PriorityList,RANDBETWEEN(1,ROWS(PriorityList)))</f>
        <v>Medium</v>
      </c>
      <c r="E259" t="str" cm="1">
        <f t="array" aca="1" ref="E259" ca="1">INDEX(SeverityList,RANDBETWEEN(1,ROWS(SeverityList)))</f>
        <v>Major</v>
      </c>
      <c r="F259" t="str" cm="1">
        <f t="array" aca="1" ref="F259" ca="1">INDEX(RegionList,RANDBETWEEN(1,ROWS(RegionList)))</f>
        <v>Southeast</v>
      </c>
      <c r="G259" t="str" cm="1">
        <f t="array" aca="1" ref="G259" ca="1">INDEX(DepartmentList,RANDBETWEEN(1,ROWS(DepartmentList)))</f>
        <v>Compliance</v>
      </c>
      <c r="H259" s="1">
        <f t="shared" ref="H259:H322" ca="1" si="18">DATE(2023,1,1)+RANDBETWEEN(0,545)</f>
        <v>45210</v>
      </c>
      <c r="I259" s="4" t="str">
        <f ca="1">IF(IncidentTable[[#This Row],[Resolution Time (Days)]]="","",IncidentTable[[#This Row],[Created Date]]+IncidentTable[[#This Row],[Resolution Time (Days)]])</f>
        <v/>
      </c>
      <c r="J259" t="str">
        <f ca="1">IF(OR(IncidentTable[[#This Row],[Status]]="Resolved",IncidentTable[[#This Row],[Status]]="Closed"),RANDBETWEEN(1,120),"")</f>
        <v/>
      </c>
      <c r="K259" t="str">
        <f t="shared" ca="1" si="16"/>
        <v>Open</v>
      </c>
      <c r="L259" t="str" cm="1">
        <f t="array" aca="1" ref="L259" ca="1">INDEX(AnalystList,RANDBETWEEN(1,ROWS(AnalystList)))</f>
        <v>Alex Johnson</v>
      </c>
      <c r="M259" t="str" cm="1">
        <f t="array" aca="1" ref="M259" ca="1">INDEX(RootCauseList,RANDBETWEEN(1,ROWS(RootCauseList)))</f>
        <v>System Bug</v>
      </c>
      <c r="N259">
        <f t="shared" ref="N259:N322" ca="1" si="19">ROUND(RANDBETWEEN(500,50000)*(RAND()^3),2)</f>
        <v>12191.21</v>
      </c>
      <c r="O259" t="str">
        <f ca="1">IF(OR(IncidentTable[[#This Row],[Status]]="Resolved",IncidentTable[[#This Row],[Status]]="Closed"),
ROUND(IncidentTable[[#This Row],[Estimated Impact ($)]]*(1+RANDBETWEEN(-15,25)/100)+RAND(),2),
"")</f>
        <v/>
      </c>
      <c r="P259" t="str">
        <f ca="1">IF(IncidentTable[[#This Row],[Actual Impact ($)]]="","",ROUND(IncidentTable[[#This Row],[Actual Impact ($)]]-IncidentTable[[#This Row],[Estimated Impact ($)]],2))</f>
        <v/>
      </c>
      <c r="Q259" s="2" t="str">
        <f ca="1">IF(IncidentTable[[#This Row],[Actual Impact ($)]]="","",(IncidentTable[[#This Row],[Actual Impact ($)]]-IncidentTable[[#This Row],[Estimated Impact ($)]]) / IncidentTable[[#This Row],[Estimated Impact ($)]])</f>
        <v/>
      </c>
      <c r="R259" s="3">
        <f ca="1">IF(IncidentTable[[#This Row],[Priority]]="Critical",1,
IF(IncidentTable[[#This Row],[Priority]]="High",3,
IF(IncidentTable[[#This Row],[Priority]]="Medium",5,
IF(IncidentTable[[#This Row],[Priority]]="Low",10,""))))</f>
        <v>5</v>
      </c>
      <c r="S259" t="str">
        <f ca="1">IF(IncidentTable[[#This Row],[Resolution Time (Days)]]="","",
IF(IncidentTable[[#This Row],[Resolution Time (Days)]]&lt;=IncidentTable[[#This Row],[SLA Target (Days)]],"Yes","No"))</f>
        <v/>
      </c>
    </row>
    <row r="260" spans="1:19" x14ac:dyDescent="0.25">
      <c r="A260" t="str">
        <f t="shared" ca="1" si="17"/>
        <v>INC660269</v>
      </c>
      <c r="B260" t="str" cm="1">
        <f t="array" aca="1" ref="B260" ca="1">INDEX(SystemList,RANDBETWEEN(1,ROWS(SystemList)))</f>
        <v>Payment Processing</v>
      </c>
      <c r="C260" t="str" cm="1">
        <f t="array" aca="1" ref="C260" ca="1">INDEX(IssueTypeList,RANDBETWEEN(1,ROWS(IssueTypeList)))</f>
        <v>Processing Delay</v>
      </c>
      <c r="D260" t="str" cm="1">
        <f t="array" aca="1" ref="D260" ca="1">INDEX(PriorityList,RANDBETWEEN(1,ROWS(PriorityList)))</f>
        <v>Critical</v>
      </c>
      <c r="E260" t="str" cm="1">
        <f t="array" aca="1" ref="E260" ca="1">INDEX(SeverityList,RANDBETWEEN(1,ROWS(SeverityList)))</f>
        <v>Minor</v>
      </c>
      <c r="F260" t="str" cm="1">
        <f t="array" aca="1" ref="F260" ca="1">INDEX(RegionList,RANDBETWEEN(1,ROWS(RegionList)))</f>
        <v>Central</v>
      </c>
      <c r="G260" t="str" cm="1">
        <f t="array" aca="1" ref="G260" ca="1">INDEX(DepartmentList,RANDBETWEEN(1,ROWS(DepartmentList)))</f>
        <v>Claims</v>
      </c>
      <c r="H260" s="1">
        <f t="shared" ca="1" si="18"/>
        <v>44946</v>
      </c>
      <c r="I260" s="4" t="str">
        <f ca="1">IF(IncidentTable[[#This Row],[Resolution Time (Days)]]="","",IncidentTable[[#This Row],[Created Date]]+IncidentTable[[#This Row],[Resolution Time (Days)]])</f>
        <v/>
      </c>
      <c r="J260" t="str">
        <f ca="1">IF(OR(IncidentTable[[#This Row],[Status]]="Resolved",IncidentTable[[#This Row],[Status]]="Closed"),RANDBETWEEN(1,120),"")</f>
        <v/>
      </c>
      <c r="K260" t="str">
        <f t="shared" ca="1" si="16"/>
        <v>Open</v>
      </c>
      <c r="L260" t="str" cm="1">
        <f t="array" aca="1" ref="L260" ca="1">INDEX(AnalystList,RANDBETWEEN(1,ROWS(AnalystList)))</f>
        <v>Riley Wilson</v>
      </c>
      <c r="M260" t="str" cm="1">
        <f t="array" aca="1" ref="M260" ca="1">INDEX(RootCauseList,RANDBETWEEN(1,ROWS(RootCauseList)))</f>
        <v>System Bug</v>
      </c>
      <c r="N260">
        <f t="shared" ca="1" si="19"/>
        <v>5028.09</v>
      </c>
      <c r="O260" t="str">
        <f ca="1">IF(OR(IncidentTable[[#This Row],[Status]]="Resolved",IncidentTable[[#This Row],[Status]]="Closed"),
ROUND(IncidentTable[[#This Row],[Estimated Impact ($)]]*(1+RANDBETWEEN(-15,25)/100)+RAND(),2),
"")</f>
        <v/>
      </c>
      <c r="P260" t="str">
        <f ca="1">IF(IncidentTable[[#This Row],[Actual Impact ($)]]="","",ROUND(IncidentTable[[#This Row],[Actual Impact ($)]]-IncidentTable[[#This Row],[Estimated Impact ($)]],2))</f>
        <v/>
      </c>
      <c r="Q260" s="2" t="str">
        <f ca="1">IF(IncidentTable[[#This Row],[Actual Impact ($)]]="","",(IncidentTable[[#This Row],[Actual Impact ($)]]-IncidentTable[[#This Row],[Estimated Impact ($)]]) / IncidentTable[[#This Row],[Estimated Impact ($)]])</f>
        <v/>
      </c>
      <c r="R260" s="3">
        <f ca="1">IF(IncidentTable[[#This Row],[Priority]]="Critical",1,
IF(IncidentTable[[#This Row],[Priority]]="High",3,
IF(IncidentTable[[#This Row],[Priority]]="Medium",5,
IF(IncidentTable[[#This Row],[Priority]]="Low",10,""))))</f>
        <v>1</v>
      </c>
      <c r="S260" t="str">
        <f ca="1">IF(IncidentTable[[#This Row],[Resolution Time (Days)]]="","",
IF(IncidentTable[[#This Row],[Resolution Time (Days)]]&lt;=IncidentTable[[#This Row],[SLA Target (Days)]],"Yes","No"))</f>
        <v/>
      </c>
    </row>
    <row r="261" spans="1:19" x14ac:dyDescent="0.25">
      <c r="A261" t="str">
        <f t="shared" ca="1" si="17"/>
        <v>INC598082</v>
      </c>
      <c r="B261" t="str" cm="1">
        <f t="array" aca="1" ref="B261" ca="1">INDEX(SystemList,RANDBETWEEN(1,ROWS(SystemList)))</f>
        <v>Regulatory System</v>
      </c>
      <c r="C261" t="str" cm="1">
        <f t="array" aca="1" ref="C261" ca="1">INDEX(IssueTypeList,RANDBETWEEN(1,ROWS(IssueTypeList)))</f>
        <v>Integration Failure</v>
      </c>
      <c r="D261" t="str" cm="1">
        <f t="array" aca="1" ref="D261" ca="1">INDEX(PriorityList,RANDBETWEEN(1,ROWS(PriorityList)))</f>
        <v>Medium</v>
      </c>
      <c r="E261" t="str" cm="1">
        <f t="array" aca="1" ref="E261" ca="1">INDEX(SeverityList,RANDBETWEEN(1,ROWS(SeverityList)))</f>
        <v>Moderate</v>
      </c>
      <c r="F261" t="str" cm="1">
        <f t="array" aca="1" ref="F261" ca="1">INDEX(RegionList,RANDBETWEEN(1,ROWS(RegionList)))</f>
        <v>Central</v>
      </c>
      <c r="G261" t="str" cm="1">
        <f t="array" aca="1" ref="G261" ca="1">INDEX(DepartmentList,RANDBETWEEN(1,ROWS(DepartmentList)))</f>
        <v>IT</v>
      </c>
      <c r="H261" s="1">
        <f t="shared" ca="1" si="18"/>
        <v>45415</v>
      </c>
      <c r="I261" s="4">
        <f ca="1">IF(IncidentTable[[#This Row],[Resolution Time (Days)]]="","",IncidentTable[[#This Row],[Created Date]]+IncidentTable[[#This Row],[Resolution Time (Days)]])</f>
        <v>45529</v>
      </c>
      <c r="J261">
        <f ca="1">IF(OR(IncidentTable[[#This Row],[Status]]="Resolved",IncidentTable[[#This Row],[Status]]="Closed"),RANDBETWEEN(1,120),"")</f>
        <v>114</v>
      </c>
      <c r="K261" t="str">
        <f t="shared" ca="1" si="16"/>
        <v>Resolved</v>
      </c>
      <c r="L261" t="str" cm="1">
        <f t="array" aca="1" ref="L261" ca="1">INDEX(AnalystList,RANDBETWEEN(1,ROWS(AnalystList)))</f>
        <v>Casey Brown</v>
      </c>
      <c r="M261" t="str" cm="1">
        <f t="array" aca="1" ref="M261" ca="1">INDEX(RootCauseList,RANDBETWEEN(1,ROWS(RootCauseList)))</f>
        <v>Process Gap</v>
      </c>
      <c r="N261">
        <f t="shared" ca="1" si="19"/>
        <v>10084.450000000001</v>
      </c>
      <c r="O261">
        <f ca="1">IF(OR(IncidentTable[[#This Row],[Status]]="Resolved",IncidentTable[[#This Row],[Status]]="Closed"),
ROUND(IncidentTable[[#This Row],[Estimated Impact ($)]]*(1+RANDBETWEEN(-15,25)/100)+RAND(),2),
"")</f>
        <v>12000.94</v>
      </c>
      <c r="P261">
        <f ca="1">IF(IncidentTable[[#This Row],[Actual Impact ($)]]="","",ROUND(IncidentTable[[#This Row],[Actual Impact ($)]]-IncidentTable[[#This Row],[Estimated Impact ($)]],2))</f>
        <v>1916.49</v>
      </c>
      <c r="Q261" s="2">
        <f ca="1">IF(IncidentTable[[#This Row],[Actual Impact ($)]]="","",(IncidentTable[[#This Row],[Actual Impact ($)]]-IncidentTable[[#This Row],[Estimated Impact ($)]]) / IncidentTable[[#This Row],[Estimated Impact ($)]])</f>
        <v>0.19004407776328899</v>
      </c>
      <c r="R261" s="3">
        <f ca="1">IF(IncidentTable[[#This Row],[Priority]]="Critical",1,
IF(IncidentTable[[#This Row],[Priority]]="High",3,
IF(IncidentTable[[#This Row],[Priority]]="Medium",5,
IF(IncidentTable[[#This Row],[Priority]]="Low",10,""))))</f>
        <v>5</v>
      </c>
      <c r="S261" t="str">
        <f ca="1">IF(IncidentTable[[#This Row],[Resolution Time (Days)]]="","",
IF(IncidentTable[[#This Row],[Resolution Time (Days)]]&lt;=IncidentTable[[#This Row],[SLA Target (Days)]],"Yes","No"))</f>
        <v>No</v>
      </c>
    </row>
    <row r="262" spans="1:19" x14ac:dyDescent="0.25">
      <c r="A262" t="str">
        <f t="shared" ca="1" si="17"/>
        <v>INC709419</v>
      </c>
      <c r="B262" t="str" cm="1">
        <f t="array" aca="1" ref="B262" ca="1">INDEX(SystemList,RANDBETWEEN(1,ROWS(SystemList)))</f>
        <v>Payment Processing</v>
      </c>
      <c r="C262" t="str" cm="1">
        <f t="array" aca="1" ref="C262" ca="1">INDEX(IssueTypeList,RANDBETWEEN(1,ROWS(IssueTypeList)))</f>
        <v>Complaint</v>
      </c>
      <c r="D262" t="str" cm="1">
        <f t="array" aca="1" ref="D262" ca="1">INDEX(PriorityList,RANDBETWEEN(1,ROWS(PriorityList)))</f>
        <v>Low</v>
      </c>
      <c r="E262" t="str" cm="1">
        <f t="array" aca="1" ref="E262" ca="1">INDEX(SeverityList,RANDBETWEEN(1,ROWS(SeverityList)))</f>
        <v>Critical</v>
      </c>
      <c r="F262" t="str" cm="1">
        <f t="array" aca="1" ref="F262" ca="1">INDEX(RegionList,RANDBETWEEN(1,ROWS(RegionList)))</f>
        <v>Central</v>
      </c>
      <c r="G262" t="str" cm="1">
        <f t="array" aca="1" ref="G262" ca="1">INDEX(DepartmentList,RANDBETWEEN(1,ROWS(DepartmentList)))</f>
        <v>Compliance</v>
      </c>
      <c r="H262" s="1">
        <f t="shared" ca="1" si="18"/>
        <v>45278</v>
      </c>
      <c r="I262" s="4">
        <f ca="1">IF(IncidentTable[[#This Row],[Resolution Time (Days)]]="","",IncidentTable[[#This Row],[Created Date]]+IncidentTable[[#This Row],[Resolution Time (Days)]])</f>
        <v>45376</v>
      </c>
      <c r="J262">
        <f ca="1">IF(OR(IncidentTable[[#This Row],[Status]]="Resolved",IncidentTable[[#This Row],[Status]]="Closed"),RANDBETWEEN(1,120),"")</f>
        <v>98</v>
      </c>
      <c r="K262" t="str">
        <f t="shared" ca="1" si="16"/>
        <v>Closed</v>
      </c>
      <c r="L262" t="str" cm="1">
        <f t="array" aca="1" ref="L262" ca="1">INDEX(AnalystList,RANDBETWEEN(1,ROWS(AnalystList)))</f>
        <v>Casey Brown</v>
      </c>
      <c r="M262" t="str" cm="1">
        <f t="array" aca="1" ref="M262" ca="1">INDEX(RootCauseList,RANDBETWEEN(1,ROWS(RootCauseList)))</f>
        <v>User Error</v>
      </c>
      <c r="N262">
        <f t="shared" ca="1" si="19"/>
        <v>3642.32</v>
      </c>
      <c r="O262">
        <f ca="1">IF(OR(IncidentTable[[#This Row],[Status]]="Resolved",IncidentTable[[#This Row],[Status]]="Closed"),
ROUND(IncidentTable[[#This Row],[Estimated Impact ($)]]*(1+RANDBETWEEN(-15,25)/100)+RAND(),2),
"")</f>
        <v>4079.99</v>
      </c>
      <c r="P262">
        <f ca="1">IF(IncidentTable[[#This Row],[Actual Impact ($)]]="","",ROUND(IncidentTable[[#This Row],[Actual Impact ($)]]-IncidentTable[[#This Row],[Estimated Impact ($)]],2))</f>
        <v>437.67</v>
      </c>
      <c r="Q262" s="2">
        <f ca="1">IF(IncidentTable[[#This Row],[Actual Impact ($)]]="","",(IncidentTable[[#This Row],[Actual Impact ($)]]-IncidentTable[[#This Row],[Estimated Impact ($)]]) / IncidentTable[[#This Row],[Estimated Impact ($)]])</f>
        <v>0.1201624239495705</v>
      </c>
      <c r="R262" s="3">
        <f ca="1">IF(IncidentTable[[#This Row],[Priority]]="Critical",1,
IF(IncidentTable[[#This Row],[Priority]]="High",3,
IF(IncidentTable[[#This Row],[Priority]]="Medium",5,
IF(IncidentTable[[#This Row],[Priority]]="Low",10,""))))</f>
        <v>10</v>
      </c>
      <c r="S262" t="str">
        <f ca="1">IF(IncidentTable[[#This Row],[Resolution Time (Days)]]="","",
IF(IncidentTable[[#This Row],[Resolution Time (Days)]]&lt;=IncidentTable[[#This Row],[SLA Target (Days)]],"Yes","No"))</f>
        <v>No</v>
      </c>
    </row>
    <row r="263" spans="1:19" x14ac:dyDescent="0.25">
      <c r="A263" t="str">
        <f t="shared" ca="1" si="17"/>
        <v>INC704477</v>
      </c>
      <c r="B263" t="str" cm="1">
        <f t="array" aca="1" ref="B263" ca="1">INDEX(SystemList,RANDBETWEEN(1,ROWS(SystemList)))</f>
        <v>Billing System</v>
      </c>
      <c r="C263" t="str" cm="1">
        <f t="array" aca="1" ref="C263" ca="1">INDEX(IssueTypeList,RANDBETWEEN(1,ROWS(IssueTypeList)))</f>
        <v>User Access Issue</v>
      </c>
      <c r="D263" t="str" cm="1">
        <f t="array" aca="1" ref="D263" ca="1">INDEX(PriorityList,RANDBETWEEN(1,ROWS(PriorityList)))</f>
        <v>Critical</v>
      </c>
      <c r="E263" t="str" cm="1">
        <f t="array" aca="1" ref="E263" ca="1">INDEX(SeverityList,RANDBETWEEN(1,ROWS(SeverityList)))</f>
        <v>Major</v>
      </c>
      <c r="F263" t="str" cm="1">
        <f t="array" aca="1" ref="F263" ca="1">INDEX(RegionList,RANDBETWEEN(1,ROWS(RegionList)))</f>
        <v>East</v>
      </c>
      <c r="G263" t="str" cm="1">
        <f t="array" aca="1" ref="G263" ca="1">INDEX(DepartmentList,RANDBETWEEN(1,ROWS(DepartmentList)))</f>
        <v>Customer Service</v>
      </c>
      <c r="H263" s="1">
        <f t="shared" ca="1" si="18"/>
        <v>45394</v>
      </c>
      <c r="I263" s="4">
        <f ca="1">IF(IncidentTable[[#This Row],[Resolution Time (Days)]]="","",IncidentTable[[#This Row],[Created Date]]+IncidentTable[[#This Row],[Resolution Time (Days)]])</f>
        <v>45463</v>
      </c>
      <c r="J263">
        <f ca="1">IF(OR(IncidentTable[[#This Row],[Status]]="Resolved",IncidentTable[[#This Row],[Status]]="Closed"),RANDBETWEEN(1,120),"")</f>
        <v>69</v>
      </c>
      <c r="K263" t="str">
        <f t="shared" ca="1" si="16"/>
        <v>Closed</v>
      </c>
      <c r="L263" t="str" cm="1">
        <f t="array" aca="1" ref="L263" ca="1">INDEX(AnalystList,RANDBETWEEN(1,ROWS(AnalystList)))</f>
        <v>Casey Brown</v>
      </c>
      <c r="M263" t="str" cm="1">
        <f t="array" aca="1" ref="M263" ca="1">INDEX(RootCauseList,RANDBETWEEN(1,ROWS(RootCauseList)))</f>
        <v>User Error</v>
      </c>
      <c r="N263">
        <f t="shared" ca="1" si="19"/>
        <v>2586.7399999999998</v>
      </c>
      <c r="O263">
        <f ca="1">IF(OR(IncidentTable[[#This Row],[Status]]="Resolved",IncidentTable[[#This Row],[Status]]="Closed"),
ROUND(IncidentTable[[#This Row],[Estimated Impact ($)]]*(1+RANDBETWEEN(-15,25)/100)+RAND(),2),
"")</f>
        <v>3182.16</v>
      </c>
      <c r="P263">
        <f ca="1">IF(IncidentTable[[#This Row],[Actual Impact ($)]]="","",ROUND(IncidentTable[[#This Row],[Actual Impact ($)]]-IncidentTable[[#This Row],[Estimated Impact ($)]],2))</f>
        <v>595.41999999999996</v>
      </c>
      <c r="Q263" s="2">
        <f ca="1">IF(IncidentTable[[#This Row],[Actual Impact ($)]]="","",(IncidentTable[[#This Row],[Actual Impact ($)]]-IncidentTable[[#This Row],[Estimated Impact ($)]]) / IncidentTable[[#This Row],[Estimated Impact ($)]])</f>
        <v>0.23018161856236038</v>
      </c>
      <c r="R263" s="3">
        <f ca="1">IF(IncidentTable[[#This Row],[Priority]]="Critical",1,
IF(IncidentTable[[#This Row],[Priority]]="High",3,
IF(IncidentTable[[#This Row],[Priority]]="Medium",5,
IF(IncidentTable[[#This Row],[Priority]]="Low",10,""))))</f>
        <v>1</v>
      </c>
      <c r="S263" t="str">
        <f ca="1">IF(IncidentTable[[#This Row],[Resolution Time (Days)]]="","",
IF(IncidentTable[[#This Row],[Resolution Time (Days)]]&lt;=IncidentTable[[#This Row],[SLA Target (Days)]],"Yes","No"))</f>
        <v>No</v>
      </c>
    </row>
    <row r="264" spans="1:19" x14ac:dyDescent="0.25">
      <c r="A264" t="str">
        <f t="shared" ca="1" si="17"/>
        <v>INC961895</v>
      </c>
      <c r="B264" t="str" cm="1">
        <f t="array" aca="1" ref="B264" ca="1">INDEX(SystemList,RANDBETWEEN(1,ROWS(SystemList)))</f>
        <v>Customer Portal</v>
      </c>
      <c r="C264" t="str" cm="1">
        <f t="array" aca="1" ref="C264" ca="1">INDEX(IssueTypeList,RANDBETWEEN(1,ROWS(IssueTypeList)))</f>
        <v>Performance Issue</v>
      </c>
      <c r="D264" t="str" cm="1">
        <f t="array" aca="1" ref="D264" ca="1">INDEX(PriorityList,RANDBETWEEN(1,ROWS(PriorityList)))</f>
        <v>Critical</v>
      </c>
      <c r="E264" t="str" cm="1">
        <f t="array" aca="1" ref="E264" ca="1">INDEX(SeverityList,RANDBETWEEN(1,ROWS(SeverityList)))</f>
        <v>Critical</v>
      </c>
      <c r="F264" t="str" cm="1">
        <f t="array" aca="1" ref="F264" ca="1">INDEX(RegionList,RANDBETWEEN(1,ROWS(RegionList)))</f>
        <v>East</v>
      </c>
      <c r="G264" t="str" cm="1">
        <f t="array" aca="1" ref="G264" ca="1">INDEX(DepartmentList,RANDBETWEEN(1,ROWS(DepartmentList)))</f>
        <v>Billing</v>
      </c>
      <c r="H264" s="1">
        <f t="shared" ca="1" si="18"/>
        <v>45275</v>
      </c>
      <c r="I264" s="4" t="str">
        <f ca="1">IF(IncidentTable[[#This Row],[Resolution Time (Days)]]="","",IncidentTable[[#This Row],[Created Date]]+IncidentTable[[#This Row],[Resolution Time (Days)]])</f>
        <v/>
      </c>
      <c r="J264" t="str">
        <f ca="1">IF(OR(IncidentTable[[#This Row],[Status]]="Resolved",IncidentTable[[#This Row],[Status]]="Closed"),RANDBETWEEN(1,120),"")</f>
        <v/>
      </c>
      <c r="K264" t="str">
        <f t="shared" ca="1" si="16"/>
        <v>Pending</v>
      </c>
      <c r="L264" t="str" cm="1">
        <f t="array" aca="1" ref="L264" ca="1">INDEX(AnalystList,RANDBETWEEN(1,ROWS(AnalystList)))</f>
        <v>Jordan Lee</v>
      </c>
      <c r="M264" t="str" cm="1">
        <f t="array" aca="1" ref="M264" ca="1">INDEX(RootCauseList,RANDBETWEEN(1,ROWS(RootCauseList)))</f>
        <v>Process Gap</v>
      </c>
      <c r="N264">
        <f t="shared" ca="1" si="19"/>
        <v>353.82</v>
      </c>
      <c r="O264" t="str">
        <f ca="1">IF(OR(IncidentTable[[#This Row],[Status]]="Resolved",IncidentTable[[#This Row],[Status]]="Closed"),
ROUND(IncidentTable[[#This Row],[Estimated Impact ($)]]*(1+RANDBETWEEN(-15,25)/100)+RAND(),2),
"")</f>
        <v/>
      </c>
      <c r="P264" t="str">
        <f ca="1">IF(IncidentTable[[#This Row],[Actual Impact ($)]]="","",ROUND(IncidentTable[[#This Row],[Actual Impact ($)]]-IncidentTable[[#This Row],[Estimated Impact ($)]],2))</f>
        <v/>
      </c>
      <c r="Q264" s="2" t="str">
        <f ca="1">IF(IncidentTable[[#This Row],[Actual Impact ($)]]="","",(IncidentTable[[#This Row],[Actual Impact ($)]]-IncidentTable[[#This Row],[Estimated Impact ($)]]) / IncidentTable[[#This Row],[Estimated Impact ($)]])</f>
        <v/>
      </c>
      <c r="R264" s="3">
        <f ca="1">IF(IncidentTable[[#This Row],[Priority]]="Critical",1,
IF(IncidentTable[[#This Row],[Priority]]="High",3,
IF(IncidentTable[[#This Row],[Priority]]="Medium",5,
IF(IncidentTable[[#This Row],[Priority]]="Low",10,""))))</f>
        <v>1</v>
      </c>
      <c r="S264" t="str">
        <f ca="1">IF(IncidentTable[[#This Row],[Resolution Time (Days)]]="","",
IF(IncidentTable[[#This Row],[Resolution Time (Days)]]&lt;=IncidentTable[[#This Row],[SLA Target (Days)]],"Yes","No"))</f>
        <v/>
      </c>
    </row>
    <row r="265" spans="1:19" x14ac:dyDescent="0.25">
      <c r="A265" t="str">
        <f t="shared" ca="1" si="17"/>
        <v>INC623443</v>
      </c>
      <c r="B265" t="str" cm="1">
        <f t="array" aca="1" ref="B265" ca="1">INDEX(SystemList,RANDBETWEEN(1,ROWS(SystemList)))</f>
        <v>Customer Portal</v>
      </c>
      <c r="C265" t="str" cm="1">
        <f t="array" aca="1" ref="C265" ca="1">INDEX(IssueTypeList,RANDBETWEEN(1,ROWS(IssueTypeList)))</f>
        <v>Payment Failure</v>
      </c>
      <c r="D265" t="str" cm="1">
        <f t="array" aca="1" ref="D265" ca="1">INDEX(PriorityList,RANDBETWEEN(1,ROWS(PriorityList)))</f>
        <v>High</v>
      </c>
      <c r="E265" t="str" cm="1">
        <f t="array" aca="1" ref="E265" ca="1">INDEX(SeverityList,RANDBETWEEN(1,ROWS(SeverityList)))</f>
        <v>Major</v>
      </c>
      <c r="F265" t="str" cm="1">
        <f t="array" aca="1" ref="F265" ca="1">INDEX(RegionList,RANDBETWEEN(1,ROWS(RegionList)))</f>
        <v>West</v>
      </c>
      <c r="G265" t="str" cm="1">
        <f t="array" aca="1" ref="G265" ca="1">INDEX(DepartmentList,RANDBETWEEN(1,ROWS(DepartmentList)))</f>
        <v>Billing</v>
      </c>
      <c r="H265" s="1">
        <f t="shared" ca="1" si="18"/>
        <v>45314</v>
      </c>
      <c r="I265" s="4" t="str">
        <f ca="1">IF(IncidentTable[[#This Row],[Resolution Time (Days)]]="","",IncidentTable[[#This Row],[Created Date]]+IncidentTable[[#This Row],[Resolution Time (Days)]])</f>
        <v/>
      </c>
      <c r="J265" t="str">
        <f ca="1">IF(OR(IncidentTable[[#This Row],[Status]]="Resolved",IncidentTable[[#This Row],[Status]]="Closed"),RANDBETWEEN(1,120),"")</f>
        <v/>
      </c>
      <c r="K265" t="str">
        <f t="shared" ca="1" si="16"/>
        <v>Open</v>
      </c>
      <c r="L265" t="str" cm="1">
        <f t="array" aca="1" ref="L265" ca="1">INDEX(AnalystList,RANDBETWEEN(1,ROWS(AnalystList)))</f>
        <v>Jordan Lee</v>
      </c>
      <c r="M265" t="str" cm="1">
        <f t="array" aca="1" ref="M265" ca="1">INDEX(RootCauseList,RANDBETWEEN(1,ROWS(RootCauseList)))</f>
        <v>User Error</v>
      </c>
      <c r="N265">
        <f t="shared" ca="1" si="19"/>
        <v>13588.86</v>
      </c>
      <c r="O265" t="str">
        <f ca="1">IF(OR(IncidentTable[[#This Row],[Status]]="Resolved",IncidentTable[[#This Row],[Status]]="Closed"),
ROUND(IncidentTable[[#This Row],[Estimated Impact ($)]]*(1+RANDBETWEEN(-15,25)/100)+RAND(),2),
"")</f>
        <v/>
      </c>
      <c r="P265" t="str">
        <f ca="1">IF(IncidentTable[[#This Row],[Actual Impact ($)]]="","",ROUND(IncidentTable[[#This Row],[Actual Impact ($)]]-IncidentTable[[#This Row],[Estimated Impact ($)]],2))</f>
        <v/>
      </c>
      <c r="Q265" s="2" t="str">
        <f ca="1">IF(IncidentTable[[#This Row],[Actual Impact ($)]]="","",(IncidentTable[[#This Row],[Actual Impact ($)]]-IncidentTable[[#This Row],[Estimated Impact ($)]]) / IncidentTable[[#This Row],[Estimated Impact ($)]])</f>
        <v/>
      </c>
      <c r="R265" s="3">
        <f ca="1">IF(IncidentTable[[#This Row],[Priority]]="Critical",1,
IF(IncidentTable[[#This Row],[Priority]]="High",3,
IF(IncidentTable[[#This Row],[Priority]]="Medium",5,
IF(IncidentTable[[#This Row],[Priority]]="Low",10,""))))</f>
        <v>3</v>
      </c>
      <c r="S265" t="str">
        <f ca="1">IF(IncidentTable[[#This Row],[Resolution Time (Days)]]="","",
IF(IncidentTable[[#This Row],[Resolution Time (Days)]]&lt;=IncidentTable[[#This Row],[SLA Target (Days)]],"Yes","No"))</f>
        <v/>
      </c>
    </row>
    <row r="266" spans="1:19" x14ac:dyDescent="0.25">
      <c r="A266" t="str">
        <f t="shared" ca="1" si="17"/>
        <v>INC365640</v>
      </c>
      <c r="B266" t="str" cm="1">
        <f t="array" aca="1" ref="B266" ca="1">INDEX(SystemList,RANDBETWEEN(1,ROWS(SystemList)))</f>
        <v>Policy Admin System</v>
      </c>
      <c r="C266" t="str" cm="1">
        <f t="array" aca="1" ref="C266" ca="1">INDEX(IssueTypeList,RANDBETWEEN(1,ROWS(IssueTypeList)))</f>
        <v>Processing Delay</v>
      </c>
      <c r="D266" t="str" cm="1">
        <f t="array" aca="1" ref="D266" ca="1">INDEX(PriorityList,RANDBETWEEN(1,ROWS(PriorityList)))</f>
        <v>Low</v>
      </c>
      <c r="E266" t="str" cm="1">
        <f t="array" aca="1" ref="E266" ca="1">INDEX(SeverityList,RANDBETWEEN(1,ROWS(SeverityList)))</f>
        <v>Moderate</v>
      </c>
      <c r="F266" t="str" cm="1">
        <f t="array" aca="1" ref="F266" ca="1">INDEX(RegionList,RANDBETWEEN(1,ROWS(RegionList)))</f>
        <v>West</v>
      </c>
      <c r="G266" t="str" cm="1">
        <f t="array" aca="1" ref="G266" ca="1">INDEX(DepartmentList,RANDBETWEEN(1,ROWS(DepartmentList)))</f>
        <v>Compliance</v>
      </c>
      <c r="H266" s="1">
        <f t="shared" ca="1" si="18"/>
        <v>45000</v>
      </c>
      <c r="I266" s="4">
        <f ca="1">IF(IncidentTable[[#This Row],[Resolution Time (Days)]]="","",IncidentTable[[#This Row],[Created Date]]+IncidentTable[[#This Row],[Resolution Time (Days)]])</f>
        <v>45111</v>
      </c>
      <c r="J266">
        <f ca="1">IF(OR(IncidentTable[[#This Row],[Status]]="Resolved",IncidentTable[[#This Row],[Status]]="Closed"),RANDBETWEEN(1,120),"")</f>
        <v>111</v>
      </c>
      <c r="K266" t="str">
        <f t="shared" ca="1" si="16"/>
        <v>Closed</v>
      </c>
      <c r="L266" t="str" cm="1">
        <f t="array" aca="1" ref="L266" ca="1">INDEX(AnalystList,RANDBETWEEN(1,ROWS(AnalystList)))</f>
        <v>Casey Brown</v>
      </c>
      <c r="M266" t="str" cm="1">
        <f t="array" aca="1" ref="M266" ca="1">INDEX(RootCauseList,RANDBETWEEN(1,ROWS(RootCauseList)))</f>
        <v>Unknown</v>
      </c>
      <c r="N266">
        <f t="shared" ca="1" si="19"/>
        <v>4545.2700000000004</v>
      </c>
      <c r="O266">
        <f ca="1">IF(OR(IncidentTable[[#This Row],[Status]]="Resolved",IncidentTable[[#This Row],[Status]]="Closed"),
ROUND(IncidentTable[[#This Row],[Estimated Impact ($)]]*(1+RANDBETWEEN(-15,25)/100)+RAND(),2),
"")</f>
        <v>4136.3900000000003</v>
      </c>
      <c r="P266">
        <f ca="1">IF(IncidentTable[[#This Row],[Actual Impact ($)]]="","",ROUND(IncidentTable[[#This Row],[Actual Impact ($)]]-IncidentTable[[#This Row],[Estimated Impact ($)]],2))</f>
        <v>-408.88</v>
      </c>
      <c r="Q266" s="2">
        <f ca="1">IF(IncidentTable[[#This Row],[Actual Impact ($)]]="","",(IncidentTable[[#This Row],[Actual Impact ($)]]-IncidentTable[[#This Row],[Estimated Impact ($)]]) / IncidentTable[[#This Row],[Estimated Impact ($)]])</f>
        <v>-8.9957252264441956E-2</v>
      </c>
      <c r="R266" s="3">
        <f ca="1">IF(IncidentTable[[#This Row],[Priority]]="Critical",1,
IF(IncidentTable[[#This Row],[Priority]]="High",3,
IF(IncidentTable[[#This Row],[Priority]]="Medium",5,
IF(IncidentTable[[#This Row],[Priority]]="Low",10,""))))</f>
        <v>10</v>
      </c>
      <c r="S266" t="str">
        <f ca="1">IF(IncidentTable[[#This Row],[Resolution Time (Days)]]="","",
IF(IncidentTable[[#This Row],[Resolution Time (Days)]]&lt;=IncidentTable[[#This Row],[SLA Target (Days)]],"Yes","No"))</f>
        <v>No</v>
      </c>
    </row>
    <row r="267" spans="1:19" x14ac:dyDescent="0.25">
      <c r="A267" t="str">
        <f t="shared" ca="1" si="17"/>
        <v>INC153173</v>
      </c>
      <c r="B267" t="str" cm="1">
        <f t="array" aca="1" ref="B267" ca="1">INDEX(SystemList,RANDBETWEEN(1,ROWS(SystemList)))</f>
        <v>Payment Processing</v>
      </c>
      <c r="C267" t="str" cm="1">
        <f t="array" aca="1" ref="C267" ca="1">INDEX(IssueTypeList,RANDBETWEEN(1,ROWS(IssueTypeList)))</f>
        <v>Data Issue</v>
      </c>
      <c r="D267" t="str" cm="1">
        <f t="array" aca="1" ref="D267" ca="1">INDEX(PriorityList,RANDBETWEEN(1,ROWS(PriorityList)))</f>
        <v>Critical</v>
      </c>
      <c r="E267" t="str" cm="1">
        <f t="array" aca="1" ref="E267" ca="1">INDEX(SeverityList,RANDBETWEEN(1,ROWS(SeverityList)))</f>
        <v>Moderate</v>
      </c>
      <c r="F267" t="str" cm="1">
        <f t="array" aca="1" ref="F267" ca="1">INDEX(RegionList,RANDBETWEEN(1,ROWS(RegionList)))</f>
        <v>East</v>
      </c>
      <c r="G267" t="str" cm="1">
        <f t="array" aca="1" ref="G267" ca="1">INDEX(DepartmentList,RANDBETWEEN(1,ROWS(DepartmentList)))</f>
        <v>Billing</v>
      </c>
      <c r="H267" s="1">
        <f t="shared" ca="1" si="18"/>
        <v>44972</v>
      </c>
      <c r="I267" s="4" t="str">
        <f ca="1">IF(IncidentTable[[#This Row],[Resolution Time (Days)]]="","",IncidentTable[[#This Row],[Created Date]]+IncidentTable[[#This Row],[Resolution Time (Days)]])</f>
        <v/>
      </c>
      <c r="J267" t="str">
        <f ca="1">IF(OR(IncidentTable[[#This Row],[Status]]="Resolved",IncidentTable[[#This Row],[Status]]="Closed"),RANDBETWEEN(1,120),"")</f>
        <v/>
      </c>
      <c r="K267" t="str">
        <f t="shared" ca="1" si="16"/>
        <v>Open</v>
      </c>
      <c r="L267" t="str" cm="1">
        <f t="array" aca="1" ref="L267" ca="1">INDEX(AnalystList,RANDBETWEEN(1,ROWS(AnalystList)))</f>
        <v>Alex Johnson</v>
      </c>
      <c r="M267" t="str" cm="1">
        <f t="array" aca="1" ref="M267" ca="1">INDEX(RootCauseList,RANDBETWEEN(1,ROWS(RootCauseList)))</f>
        <v>Process Gap</v>
      </c>
      <c r="N267">
        <f t="shared" ca="1" si="19"/>
        <v>2477.33</v>
      </c>
      <c r="O267" t="str">
        <f ca="1">IF(OR(IncidentTable[[#This Row],[Status]]="Resolved",IncidentTable[[#This Row],[Status]]="Closed"),
ROUND(IncidentTable[[#This Row],[Estimated Impact ($)]]*(1+RANDBETWEEN(-15,25)/100)+RAND(),2),
"")</f>
        <v/>
      </c>
      <c r="P267" t="str">
        <f ca="1">IF(IncidentTable[[#This Row],[Actual Impact ($)]]="","",ROUND(IncidentTable[[#This Row],[Actual Impact ($)]]-IncidentTable[[#This Row],[Estimated Impact ($)]],2))</f>
        <v/>
      </c>
      <c r="Q267" s="2" t="str">
        <f ca="1">IF(IncidentTable[[#This Row],[Actual Impact ($)]]="","",(IncidentTable[[#This Row],[Actual Impact ($)]]-IncidentTable[[#This Row],[Estimated Impact ($)]]) / IncidentTable[[#This Row],[Estimated Impact ($)]])</f>
        <v/>
      </c>
      <c r="R267" s="3">
        <f ca="1">IF(IncidentTable[[#This Row],[Priority]]="Critical",1,
IF(IncidentTable[[#This Row],[Priority]]="High",3,
IF(IncidentTable[[#This Row],[Priority]]="Medium",5,
IF(IncidentTable[[#This Row],[Priority]]="Low",10,""))))</f>
        <v>1</v>
      </c>
      <c r="S267" t="str">
        <f ca="1">IF(IncidentTable[[#This Row],[Resolution Time (Days)]]="","",
IF(IncidentTable[[#This Row],[Resolution Time (Days)]]&lt;=IncidentTable[[#This Row],[SLA Target (Days)]],"Yes","No"))</f>
        <v/>
      </c>
    </row>
    <row r="268" spans="1:19" x14ac:dyDescent="0.25">
      <c r="A268" t="str">
        <f t="shared" ca="1" si="17"/>
        <v>INC100315</v>
      </c>
      <c r="B268" t="str" cm="1">
        <f t="array" aca="1" ref="B268" ca="1">INDEX(SystemList,RANDBETWEEN(1,ROWS(SystemList)))</f>
        <v>Claims System</v>
      </c>
      <c r="C268" t="str" cm="1">
        <f t="array" aca="1" ref="C268" ca="1">INDEX(IssueTypeList,RANDBETWEEN(1,ROWS(IssueTypeList)))</f>
        <v>Integration Failure</v>
      </c>
      <c r="D268" t="str" cm="1">
        <f t="array" aca="1" ref="D268" ca="1">INDEX(PriorityList,RANDBETWEEN(1,ROWS(PriorityList)))</f>
        <v>High</v>
      </c>
      <c r="E268" t="str" cm="1">
        <f t="array" aca="1" ref="E268" ca="1">INDEX(SeverityList,RANDBETWEEN(1,ROWS(SeverityList)))</f>
        <v>Moderate</v>
      </c>
      <c r="F268" t="str" cm="1">
        <f t="array" aca="1" ref="F268" ca="1">INDEX(RegionList,RANDBETWEEN(1,ROWS(RegionList)))</f>
        <v>Central</v>
      </c>
      <c r="G268" t="str" cm="1">
        <f t="array" aca="1" ref="G268" ca="1">INDEX(DepartmentList,RANDBETWEEN(1,ROWS(DepartmentList)))</f>
        <v>Compliance</v>
      </c>
      <c r="H268" s="1">
        <f t="shared" ca="1" si="18"/>
        <v>45434</v>
      </c>
      <c r="I268" s="4" t="str">
        <f ca="1">IF(IncidentTable[[#This Row],[Resolution Time (Days)]]="","",IncidentTable[[#This Row],[Created Date]]+IncidentTable[[#This Row],[Resolution Time (Days)]])</f>
        <v/>
      </c>
      <c r="J268" t="str">
        <f ca="1">IF(OR(IncidentTable[[#This Row],[Status]]="Resolved",IncidentTable[[#This Row],[Status]]="Closed"),RANDBETWEEN(1,120),"")</f>
        <v/>
      </c>
      <c r="K268" t="str">
        <f t="shared" ca="1" si="16"/>
        <v>Pending</v>
      </c>
      <c r="L268" t="str" cm="1">
        <f t="array" aca="1" ref="L268" ca="1">INDEX(AnalystList,RANDBETWEEN(1,ROWS(AnalystList)))</f>
        <v>Morgan Davis</v>
      </c>
      <c r="M268" t="str" cm="1">
        <f t="array" aca="1" ref="M268" ca="1">INDEX(RootCauseList,RANDBETWEEN(1,ROWS(RootCauseList)))</f>
        <v>Unknown</v>
      </c>
      <c r="N268">
        <f t="shared" ca="1" si="19"/>
        <v>14521.13</v>
      </c>
      <c r="O268" t="str">
        <f ca="1">IF(OR(IncidentTable[[#This Row],[Status]]="Resolved",IncidentTable[[#This Row],[Status]]="Closed"),
ROUND(IncidentTable[[#This Row],[Estimated Impact ($)]]*(1+RANDBETWEEN(-15,25)/100)+RAND(),2),
"")</f>
        <v/>
      </c>
      <c r="P268" t="str">
        <f ca="1">IF(IncidentTable[[#This Row],[Actual Impact ($)]]="","",ROUND(IncidentTable[[#This Row],[Actual Impact ($)]]-IncidentTable[[#This Row],[Estimated Impact ($)]],2))</f>
        <v/>
      </c>
      <c r="Q268" s="2" t="str">
        <f ca="1">IF(IncidentTable[[#This Row],[Actual Impact ($)]]="","",(IncidentTable[[#This Row],[Actual Impact ($)]]-IncidentTable[[#This Row],[Estimated Impact ($)]]) / IncidentTable[[#This Row],[Estimated Impact ($)]])</f>
        <v/>
      </c>
      <c r="R268" s="3">
        <f ca="1">IF(IncidentTable[[#This Row],[Priority]]="Critical",1,
IF(IncidentTable[[#This Row],[Priority]]="High",3,
IF(IncidentTable[[#This Row],[Priority]]="Medium",5,
IF(IncidentTable[[#This Row],[Priority]]="Low",10,""))))</f>
        <v>3</v>
      </c>
      <c r="S268" t="str">
        <f ca="1">IF(IncidentTable[[#This Row],[Resolution Time (Days)]]="","",
IF(IncidentTable[[#This Row],[Resolution Time (Days)]]&lt;=IncidentTable[[#This Row],[SLA Target (Days)]],"Yes","No"))</f>
        <v/>
      </c>
    </row>
    <row r="269" spans="1:19" x14ac:dyDescent="0.25">
      <c r="A269" t="str">
        <f t="shared" ca="1" si="17"/>
        <v>INC400335</v>
      </c>
      <c r="B269" t="str" cm="1">
        <f t="array" aca="1" ref="B269" ca="1">INDEX(SystemList,RANDBETWEEN(1,ROWS(SystemList)))</f>
        <v>Payment Processing</v>
      </c>
      <c r="C269" t="str" cm="1">
        <f t="array" aca="1" ref="C269" ca="1">INDEX(IssueTypeList,RANDBETWEEN(1,ROWS(IssueTypeList)))</f>
        <v>System Error</v>
      </c>
      <c r="D269" t="str" cm="1">
        <f t="array" aca="1" ref="D269" ca="1">INDEX(PriorityList,RANDBETWEEN(1,ROWS(PriorityList)))</f>
        <v>Critical</v>
      </c>
      <c r="E269" t="str" cm="1">
        <f t="array" aca="1" ref="E269" ca="1">INDEX(SeverityList,RANDBETWEEN(1,ROWS(SeverityList)))</f>
        <v>Critical</v>
      </c>
      <c r="F269" t="str" cm="1">
        <f t="array" aca="1" ref="F269" ca="1">INDEX(RegionList,RANDBETWEEN(1,ROWS(RegionList)))</f>
        <v>East</v>
      </c>
      <c r="G269" t="str" cm="1">
        <f t="array" aca="1" ref="G269" ca="1">INDEX(DepartmentList,RANDBETWEEN(1,ROWS(DepartmentList)))</f>
        <v>Claims</v>
      </c>
      <c r="H269" s="1">
        <f t="shared" ca="1" si="18"/>
        <v>45234</v>
      </c>
      <c r="I269" s="4">
        <f ca="1">IF(IncidentTable[[#This Row],[Resolution Time (Days)]]="","",IncidentTable[[#This Row],[Created Date]]+IncidentTable[[#This Row],[Resolution Time (Days)]])</f>
        <v>45278</v>
      </c>
      <c r="J269">
        <f ca="1">IF(OR(IncidentTable[[#This Row],[Status]]="Resolved",IncidentTable[[#This Row],[Status]]="Closed"),RANDBETWEEN(1,120),"")</f>
        <v>44</v>
      </c>
      <c r="K269" t="str">
        <f t="shared" ca="1" si="16"/>
        <v>Closed</v>
      </c>
      <c r="L269" t="str" cm="1">
        <f t="array" aca="1" ref="L269" ca="1">INDEX(AnalystList,RANDBETWEEN(1,ROWS(AnalystList)))</f>
        <v>Jordan Lee</v>
      </c>
      <c r="M269" t="str" cm="1">
        <f t="array" aca="1" ref="M269" ca="1">INDEX(RootCauseList,RANDBETWEEN(1,ROWS(RootCauseList)))</f>
        <v>Network Failure</v>
      </c>
      <c r="N269">
        <f t="shared" ca="1" si="19"/>
        <v>333.91</v>
      </c>
      <c r="O269">
        <f ca="1">IF(OR(IncidentTable[[#This Row],[Status]]="Resolved",IncidentTable[[#This Row],[Status]]="Closed"),
ROUND(IncidentTable[[#This Row],[Estimated Impact ($)]]*(1+RANDBETWEEN(-15,25)/100)+RAND(),2),
"")</f>
        <v>358.07</v>
      </c>
      <c r="P269">
        <f ca="1">IF(IncidentTable[[#This Row],[Actual Impact ($)]]="","",ROUND(IncidentTable[[#This Row],[Actual Impact ($)]]-IncidentTable[[#This Row],[Estimated Impact ($)]],2))</f>
        <v>24.16</v>
      </c>
      <c r="Q269" s="2">
        <f ca="1">IF(IncidentTable[[#This Row],[Actual Impact ($)]]="","",(IncidentTable[[#This Row],[Actual Impact ($)]]-IncidentTable[[#This Row],[Estimated Impact ($)]]) / IncidentTable[[#This Row],[Estimated Impact ($)]])</f>
        <v>7.2354826150759083E-2</v>
      </c>
      <c r="R269" s="3">
        <f ca="1">IF(IncidentTable[[#This Row],[Priority]]="Critical",1,
IF(IncidentTable[[#This Row],[Priority]]="High",3,
IF(IncidentTable[[#This Row],[Priority]]="Medium",5,
IF(IncidentTable[[#This Row],[Priority]]="Low",10,""))))</f>
        <v>1</v>
      </c>
      <c r="S269" t="str">
        <f ca="1">IF(IncidentTable[[#This Row],[Resolution Time (Days)]]="","",
IF(IncidentTable[[#This Row],[Resolution Time (Days)]]&lt;=IncidentTable[[#This Row],[SLA Target (Days)]],"Yes","No"))</f>
        <v>No</v>
      </c>
    </row>
    <row r="270" spans="1:19" x14ac:dyDescent="0.25">
      <c r="A270" t="str">
        <f t="shared" ca="1" si="17"/>
        <v>INC328222</v>
      </c>
      <c r="B270" t="str" cm="1">
        <f t="array" aca="1" ref="B270" ca="1">INDEX(SystemList,RANDBETWEEN(1,ROWS(SystemList)))</f>
        <v>Policy Admin System</v>
      </c>
      <c r="C270" t="str" cm="1">
        <f t="array" aca="1" ref="C270" ca="1">INDEX(IssueTypeList,RANDBETWEEN(1,ROWS(IssueTypeList)))</f>
        <v>System Error</v>
      </c>
      <c r="D270" t="str" cm="1">
        <f t="array" aca="1" ref="D270" ca="1">INDEX(PriorityList,RANDBETWEEN(1,ROWS(PriorityList)))</f>
        <v>Critical</v>
      </c>
      <c r="E270" t="str" cm="1">
        <f t="array" aca="1" ref="E270" ca="1">INDEX(SeverityList,RANDBETWEEN(1,ROWS(SeverityList)))</f>
        <v>Critical</v>
      </c>
      <c r="F270" t="str" cm="1">
        <f t="array" aca="1" ref="F270" ca="1">INDEX(RegionList,RANDBETWEEN(1,ROWS(RegionList)))</f>
        <v>Southeast</v>
      </c>
      <c r="G270" t="str" cm="1">
        <f t="array" aca="1" ref="G270" ca="1">INDEX(DepartmentList,RANDBETWEEN(1,ROWS(DepartmentList)))</f>
        <v>Customer Service</v>
      </c>
      <c r="H270" s="1">
        <f t="shared" ca="1" si="18"/>
        <v>45226</v>
      </c>
      <c r="I270" s="4" t="str">
        <f ca="1">IF(IncidentTable[[#This Row],[Resolution Time (Days)]]="","",IncidentTable[[#This Row],[Created Date]]+IncidentTable[[#This Row],[Resolution Time (Days)]])</f>
        <v/>
      </c>
      <c r="J270" t="str">
        <f ca="1">IF(OR(IncidentTable[[#This Row],[Status]]="Resolved",IncidentTable[[#This Row],[Status]]="Closed"),RANDBETWEEN(1,120),"")</f>
        <v/>
      </c>
      <c r="K270" t="str">
        <f t="shared" ca="1" si="16"/>
        <v>Pending</v>
      </c>
      <c r="L270" t="str" cm="1">
        <f t="array" aca="1" ref="L270" ca="1">INDEX(AnalystList,RANDBETWEEN(1,ROWS(AnalystList)))</f>
        <v>Taylor Smith</v>
      </c>
      <c r="M270" t="str" cm="1">
        <f t="array" aca="1" ref="M270" ca="1">INDEX(RootCauseList,RANDBETWEEN(1,ROWS(RootCauseList)))</f>
        <v>Network Failure</v>
      </c>
      <c r="N270">
        <f t="shared" ca="1" si="19"/>
        <v>214.49</v>
      </c>
      <c r="O270" t="str">
        <f ca="1">IF(OR(IncidentTable[[#This Row],[Status]]="Resolved",IncidentTable[[#This Row],[Status]]="Closed"),
ROUND(IncidentTable[[#This Row],[Estimated Impact ($)]]*(1+RANDBETWEEN(-15,25)/100)+RAND(),2),
"")</f>
        <v/>
      </c>
      <c r="P270" t="str">
        <f ca="1">IF(IncidentTable[[#This Row],[Actual Impact ($)]]="","",ROUND(IncidentTable[[#This Row],[Actual Impact ($)]]-IncidentTable[[#This Row],[Estimated Impact ($)]],2))</f>
        <v/>
      </c>
      <c r="Q270" s="2" t="str">
        <f ca="1">IF(IncidentTable[[#This Row],[Actual Impact ($)]]="","",(IncidentTable[[#This Row],[Actual Impact ($)]]-IncidentTable[[#This Row],[Estimated Impact ($)]]) / IncidentTable[[#This Row],[Estimated Impact ($)]])</f>
        <v/>
      </c>
      <c r="R270" s="3">
        <f ca="1">IF(IncidentTable[[#This Row],[Priority]]="Critical",1,
IF(IncidentTable[[#This Row],[Priority]]="High",3,
IF(IncidentTable[[#This Row],[Priority]]="Medium",5,
IF(IncidentTable[[#This Row],[Priority]]="Low",10,""))))</f>
        <v>1</v>
      </c>
      <c r="S270" t="str">
        <f ca="1">IF(IncidentTable[[#This Row],[Resolution Time (Days)]]="","",
IF(IncidentTable[[#This Row],[Resolution Time (Days)]]&lt;=IncidentTable[[#This Row],[SLA Target (Days)]],"Yes","No"))</f>
        <v/>
      </c>
    </row>
    <row r="271" spans="1:19" x14ac:dyDescent="0.25">
      <c r="A271" t="str">
        <f t="shared" ca="1" si="17"/>
        <v>INC845095</v>
      </c>
      <c r="B271" t="str" cm="1">
        <f t="array" aca="1" ref="B271" ca="1">INDEX(SystemList,RANDBETWEEN(1,ROWS(SystemList)))</f>
        <v>Reporting System</v>
      </c>
      <c r="C271" t="str" cm="1">
        <f t="array" aca="1" ref="C271" ca="1">INDEX(IssueTypeList,RANDBETWEEN(1,ROWS(IssueTypeList)))</f>
        <v>Complaint</v>
      </c>
      <c r="D271" t="str" cm="1">
        <f t="array" aca="1" ref="D271" ca="1">INDEX(PriorityList,RANDBETWEEN(1,ROWS(PriorityList)))</f>
        <v>Critical</v>
      </c>
      <c r="E271" t="str" cm="1">
        <f t="array" aca="1" ref="E271" ca="1">INDEX(SeverityList,RANDBETWEEN(1,ROWS(SeverityList)))</f>
        <v>Moderate</v>
      </c>
      <c r="F271" t="str" cm="1">
        <f t="array" aca="1" ref="F271" ca="1">INDEX(RegionList,RANDBETWEEN(1,ROWS(RegionList)))</f>
        <v>Southeast</v>
      </c>
      <c r="G271" t="str" cm="1">
        <f t="array" aca="1" ref="G271" ca="1">INDEX(DepartmentList,RANDBETWEEN(1,ROWS(DepartmentList)))</f>
        <v>Customer Service</v>
      </c>
      <c r="H271" s="1">
        <f t="shared" ca="1" si="18"/>
        <v>45277</v>
      </c>
      <c r="I271" s="4">
        <f ca="1">IF(IncidentTable[[#This Row],[Resolution Time (Days)]]="","",IncidentTable[[#This Row],[Created Date]]+IncidentTable[[#This Row],[Resolution Time (Days)]])</f>
        <v>45297</v>
      </c>
      <c r="J271">
        <f ca="1">IF(OR(IncidentTable[[#This Row],[Status]]="Resolved",IncidentTable[[#This Row],[Status]]="Closed"),RANDBETWEEN(1,120),"")</f>
        <v>20</v>
      </c>
      <c r="K271" t="str">
        <f t="shared" ca="1" si="16"/>
        <v>Resolved</v>
      </c>
      <c r="L271" t="str" cm="1">
        <f t="array" aca="1" ref="L271" ca="1">INDEX(AnalystList,RANDBETWEEN(1,ROWS(AnalystList)))</f>
        <v>Taylor Smith</v>
      </c>
      <c r="M271" t="str" cm="1">
        <f t="array" aca="1" ref="M271" ca="1">INDEX(RootCauseList,RANDBETWEEN(1,ROWS(RootCauseList)))</f>
        <v>Unknown</v>
      </c>
      <c r="N271">
        <f t="shared" ca="1" si="19"/>
        <v>15913.35</v>
      </c>
      <c r="O271">
        <f ca="1">IF(OR(IncidentTable[[#This Row],[Status]]="Resolved",IncidentTable[[#This Row],[Status]]="Closed"),
ROUND(IncidentTable[[#This Row],[Estimated Impact ($)]]*(1+RANDBETWEEN(-15,25)/100)+RAND(),2),
"")</f>
        <v>16709.32</v>
      </c>
      <c r="P271">
        <f ca="1">IF(IncidentTable[[#This Row],[Actual Impact ($)]]="","",ROUND(IncidentTable[[#This Row],[Actual Impact ($)]]-IncidentTable[[#This Row],[Estimated Impact ($)]],2))</f>
        <v>795.97</v>
      </c>
      <c r="Q271" s="2">
        <f ca="1">IF(IncidentTable[[#This Row],[Actual Impact ($)]]="","",(IncidentTable[[#This Row],[Actual Impact ($)]]-IncidentTable[[#This Row],[Estimated Impact ($)]]) / IncidentTable[[#This Row],[Estimated Impact ($)]])</f>
        <v>5.001900919668073E-2</v>
      </c>
      <c r="R271" s="3">
        <f ca="1">IF(IncidentTable[[#This Row],[Priority]]="Critical",1,
IF(IncidentTable[[#This Row],[Priority]]="High",3,
IF(IncidentTable[[#This Row],[Priority]]="Medium",5,
IF(IncidentTable[[#This Row],[Priority]]="Low",10,""))))</f>
        <v>1</v>
      </c>
      <c r="S271" t="str">
        <f ca="1">IF(IncidentTable[[#This Row],[Resolution Time (Days)]]="","",
IF(IncidentTable[[#This Row],[Resolution Time (Days)]]&lt;=IncidentTable[[#This Row],[SLA Target (Days)]],"Yes","No"))</f>
        <v>No</v>
      </c>
    </row>
    <row r="272" spans="1:19" x14ac:dyDescent="0.25">
      <c r="A272" t="str">
        <f t="shared" ca="1" si="17"/>
        <v>INC847145</v>
      </c>
      <c r="B272" t="str" cm="1">
        <f t="array" aca="1" ref="B272" ca="1">INDEX(SystemList,RANDBETWEEN(1,ROWS(SystemList)))</f>
        <v>Customer Portal</v>
      </c>
      <c r="C272" t="str" cm="1">
        <f t="array" aca="1" ref="C272" ca="1">INDEX(IssueTypeList,RANDBETWEEN(1,ROWS(IssueTypeList)))</f>
        <v>Complaint</v>
      </c>
      <c r="D272" t="str" cm="1">
        <f t="array" aca="1" ref="D272" ca="1">INDEX(PriorityList,RANDBETWEEN(1,ROWS(PriorityList)))</f>
        <v>Medium</v>
      </c>
      <c r="E272" t="str" cm="1">
        <f t="array" aca="1" ref="E272" ca="1">INDEX(SeverityList,RANDBETWEEN(1,ROWS(SeverityList)))</f>
        <v>Major</v>
      </c>
      <c r="F272" t="str" cm="1">
        <f t="array" aca="1" ref="F272" ca="1">INDEX(RegionList,RANDBETWEEN(1,ROWS(RegionList)))</f>
        <v>East</v>
      </c>
      <c r="G272" t="str" cm="1">
        <f t="array" aca="1" ref="G272" ca="1">INDEX(DepartmentList,RANDBETWEEN(1,ROWS(DepartmentList)))</f>
        <v>Billing</v>
      </c>
      <c r="H272" s="1">
        <f t="shared" ca="1" si="18"/>
        <v>45141</v>
      </c>
      <c r="I272" s="4">
        <f ca="1">IF(IncidentTable[[#This Row],[Resolution Time (Days)]]="","",IncidentTable[[#This Row],[Created Date]]+IncidentTable[[#This Row],[Resolution Time (Days)]])</f>
        <v>45175</v>
      </c>
      <c r="J272">
        <f ca="1">IF(OR(IncidentTable[[#This Row],[Status]]="Resolved",IncidentTable[[#This Row],[Status]]="Closed"),RANDBETWEEN(1,120),"")</f>
        <v>34</v>
      </c>
      <c r="K272" t="str">
        <f t="shared" ca="1" si="16"/>
        <v>Resolved</v>
      </c>
      <c r="L272" t="str" cm="1">
        <f t="array" aca="1" ref="L272" ca="1">INDEX(AnalystList,RANDBETWEEN(1,ROWS(AnalystList)))</f>
        <v>Alex Johnson</v>
      </c>
      <c r="M272" t="str" cm="1">
        <f t="array" aca="1" ref="M272" ca="1">INDEX(RootCauseList,RANDBETWEEN(1,ROWS(RootCauseList)))</f>
        <v>Network Failure</v>
      </c>
      <c r="N272">
        <f t="shared" ca="1" si="19"/>
        <v>18810.82</v>
      </c>
      <c r="O272">
        <f ca="1">IF(OR(IncidentTable[[#This Row],[Status]]="Resolved",IncidentTable[[#This Row],[Status]]="Closed"),
ROUND(IncidentTable[[#This Row],[Estimated Impact ($)]]*(1+RANDBETWEEN(-15,25)/100)+RAND(),2),
"")</f>
        <v>22197.46</v>
      </c>
      <c r="P272">
        <f ca="1">IF(IncidentTable[[#This Row],[Actual Impact ($)]]="","",ROUND(IncidentTable[[#This Row],[Actual Impact ($)]]-IncidentTable[[#This Row],[Estimated Impact ($)]],2))</f>
        <v>3386.64</v>
      </c>
      <c r="Q272" s="2">
        <f ca="1">IF(IncidentTable[[#This Row],[Actual Impact ($)]]="","",(IncidentTable[[#This Row],[Actual Impact ($)]]-IncidentTable[[#This Row],[Estimated Impact ($)]]) / IncidentTable[[#This Row],[Estimated Impact ($)]])</f>
        <v>0.1800368086027084</v>
      </c>
      <c r="R272" s="3">
        <f ca="1">IF(IncidentTable[[#This Row],[Priority]]="Critical",1,
IF(IncidentTable[[#This Row],[Priority]]="High",3,
IF(IncidentTable[[#This Row],[Priority]]="Medium",5,
IF(IncidentTable[[#This Row],[Priority]]="Low",10,""))))</f>
        <v>5</v>
      </c>
      <c r="S272" t="str">
        <f ca="1">IF(IncidentTable[[#This Row],[Resolution Time (Days)]]="","",
IF(IncidentTable[[#This Row],[Resolution Time (Days)]]&lt;=IncidentTable[[#This Row],[SLA Target (Days)]],"Yes","No"))</f>
        <v>No</v>
      </c>
    </row>
    <row r="273" spans="1:19" x14ac:dyDescent="0.25">
      <c r="A273" t="str">
        <f t="shared" ca="1" si="17"/>
        <v>INC949407</v>
      </c>
      <c r="B273" t="str" cm="1">
        <f t="array" aca="1" ref="B273" ca="1">INDEX(SystemList,RANDBETWEEN(1,ROWS(SystemList)))</f>
        <v>Customer Portal</v>
      </c>
      <c r="C273" t="str" cm="1">
        <f t="array" aca="1" ref="C273" ca="1">INDEX(IssueTypeList,RANDBETWEEN(1,ROWS(IssueTypeList)))</f>
        <v>Complaint</v>
      </c>
      <c r="D273" t="str" cm="1">
        <f t="array" aca="1" ref="D273" ca="1">INDEX(PriorityList,RANDBETWEEN(1,ROWS(PriorityList)))</f>
        <v>High</v>
      </c>
      <c r="E273" t="str" cm="1">
        <f t="array" aca="1" ref="E273" ca="1">INDEX(SeverityList,RANDBETWEEN(1,ROWS(SeverityList)))</f>
        <v>Critical</v>
      </c>
      <c r="F273" t="str" cm="1">
        <f t="array" aca="1" ref="F273" ca="1">INDEX(RegionList,RANDBETWEEN(1,ROWS(RegionList)))</f>
        <v>Midwest</v>
      </c>
      <c r="G273" t="str" cm="1">
        <f t="array" aca="1" ref="G273" ca="1">INDEX(DepartmentList,RANDBETWEEN(1,ROWS(DepartmentList)))</f>
        <v>Billing</v>
      </c>
      <c r="H273" s="1">
        <f t="shared" ca="1" si="18"/>
        <v>45172</v>
      </c>
      <c r="I273" s="4">
        <f ca="1">IF(IncidentTable[[#This Row],[Resolution Time (Days)]]="","",IncidentTable[[#This Row],[Created Date]]+IncidentTable[[#This Row],[Resolution Time (Days)]])</f>
        <v>45248</v>
      </c>
      <c r="J273">
        <f ca="1">IF(OR(IncidentTable[[#This Row],[Status]]="Resolved",IncidentTable[[#This Row],[Status]]="Closed"),RANDBETWEEN(1,120),"")</f>
        <v>76</v>
      </c>
      <c r="K273" t="str">
        <f t="shared" ca="1" si="16"/>
        <v>Resolved</v>
      </c>
      <c r="L273" t="str" cm="1">
        <f t="array" aca="1" ref="L273" ca="1">INDEX(AnalystList,RANDBETWEEN(1,ROWS(AnalystList)))</f>
        <v>Jordan Lee</v>
      </c>
      <c r="M273" t="str" cm="1">
        <f t="array" aca="1" ref="M273" ca="1">INDEX(RootCauseList,RANDBETWEEN(1,ROWS(RootCauseList)))</f>
        <v>Process Gap</v>
      </c>
      <c r="N273">
        <f t="shared" ca="1" si="19"/>
        <v>1834.78</v>
      </c>
      <c r="O273">
        <f ca="1">IF(OR(IncidentTable[[#This Row],[Status]]="Resolved",IncidentTable[[#This Row],[Status]]="Closed"),
ROUND(IncidentTable[[#This Row],[Estimated Impact ($)]]*(1+RANDBETWEEN(-15,25)/100)+RAND(),2),
"")</f>
        <v>2091.81</v>
      </c>
      <c r="P273">
        <f ca="1">IF(IncidentTable[[#This Row],[Actual Impact ($)]]="","",ROUND(IncidentTable[[#This Row],[Actual Impact ($)]]-IncidentTable[[#This Row],[Estimated Impact ($)]],2))</f>
        <v>257.02999999999997</v>
      </c>
      <c r="Q273" s="2">
        <f ca="1">IF(IncidentTable[[#This Row],[Actual Impact ($)]]="","",(IncidentTable[[#This Row],[Actual Impact ($)]]-IncidentTable[[#This Row],[Estimated Impact ($)]]) / IncidentTable[[#This Row],[Estimated Impact ($)]])</f>
        <v>0.14008763993503306</v>
      </c>
      <c r="R273" s="3">
        <f ca="1">IF(IncidentTable[[#This Row],[Priority]]="Critical",1,
IF(IncidentTable[[#This Row],[Priority]]="High",3,
IF(IncidentTable[[#This Row],[Priority]]="Medium",5,
IF(IncidentTable[[#This Row],[Priority]]="Low",10,""))))</f>
        <v>3</v>
      </c>
      <c r="S273" t="str">
        <f ca="1">IF(IncidentTable[[#This Row],[Resolution Time (Days)]]="","",
IF(IncidentTable[[#This Row],[Resolution Time (Days)]]&lt;=IncidentTable[[#This Row],[SLA Target (Days)]],"Yes","No"))</f>
        <v>No</v>
      </c>
    </row>
    <row r="274" spans="1:19" x14ac:dyDescent="0.25">
      <c r="A274" t="str">
        <f t="shared" ca="1" si="17"/>
        <v>INC888084</v>
      </c>
      <c r="B274" t="str" cm="1">
        <f t="array" aca="1" ref="B274" ca="1">INDEX(SystemList,RANDBETWEEN(1,ROWS(SystemList)))</f>
        <v>Policy Admin System</v>
      </c>
      <c r="C274" t="str" cm="1">
        <f t="array" aca="1" ref="C274" ca="1">INDEX(IssueTypeList,RANDBETWEEN(1,ROWS(IssueTypeList)))</f>
        <v>Data Issue</v>
      </c>
      <c r="D274" t="str" cm="1">
        <f t="array" aca="1" ref="D274" ca="1">INDEX(PriorityList,RANDBETWEEN(1,ROWS(PriorityList)))</f>
        <v>Low</v>
      </c>
      <c r="E274" t="str" cm="1">
        <f t="array" aca="1" ref="E274" ca="1">INDEX(SeverityList,RANDBETWEEN(1,ROWS(SeverityList)))</f>
        <v>Moderate</v>
      </c>
      <c r="F274" t="str" cm="1">
        <f t="array" aca="1" ref="F274" ca="1">INDEX(RegionList,RANDBETWEEN(1,ROWS(RegionList)))</f>
        <v>East</v>
      </c>
      <c r="G274" t="str" cm="1">
        <f t="array" aca="1" ref="G274" ca="1">INDEX(DepartmentList,RANDBETWEEN(1,ROWS(DepartmentList)))</f>
        <v>Compliance</v>
      </c>
      <c r="H274" s="1">
        <f t="shared" ca="1" si="18"/>
        <v>44954</v>
      </c>
      <c r="I274" s="4" t="str">
        <f ca="1">IF(IncidentTable[[#This Row],[Resolution Time (Days)]]="","",IncidentTable[[#This Row],[Created Date]]+IncidentTable[[#This Row],[Resolution Time (Days)]])</f>
        <v/>
      </c>
      <c r="J274" t="str">
        <f ca="1">IF(OR(IncidentTable[[#This Row],[Status]]="Resolved",IncidentTable[[#This Row],[Status]]="Closed"),RANDBETWEEN(1,120),"")</f>
        <v/>
      </c>
      <c r="K274" t="str">
        <f t="shared" ca="1" si="16"/>
        <v>Open</v>
      </c>
      <c r="L274" t="str" cm="1">
        <f t="array" aca="1" ref="L274" ca="1">INDEX(AnalystList,RANDBETWEEN(1,ROWS(AnalystList)))</f>
        <v>Casey Brown</v>
      </c>
      <c r="M274" t="str" cm="1">
        <f t="array" aca="1" ref="M274" ca="1">INDEX(RootCauseList,RANDBETWEEN(1,ROWS(RootCauseList)))</f>
        <v>Integration Failure</v>
      </c>
      <c r="N274">
        <f t="shared" ca="1" si="19"/>
        <v>193.82</v>
      </c>
      <c r="O274" t="str">
        <f ca="1">IF(OR(IncidentTable[[#This Row],[Status]]="Resolved",IncidentTable[[#This Row],[Status]]="Closed"),
ROUND(IncidentTable[[#This Row],[Estimated Impact ($)]]*(1+RANDBETWEEN(-15,25)/100)+RAND(),2),
"")</f>
        <v/>
      </c>
      <c r="P274" t="str">
        <f ca="1">IF(IncidentTable[[#This Row],[Actual Impact ($)]]="","",ROUND(IncidentTable[[#This Row],[Actual Impact ($)]]-IncidentTable[[#This Row],[Estimated Impact ($)]],2))</f>
        <v/>
      </c>
      <c r="Q274" s="2" t="str">
        <f ca="1">IF(IncidentTable[[#This Row],[Actual Impact ($)]]="","",(IncidentTable[[#This Row],[Actual Impact ($)]]-IncidentTable[[#This Row],[Estimated Impact ($)]]) / IncidentTable[[#This Row],[Estimated Impact ($)]])</f>
        <v/>
      </c>
      <c r="R274" s="3">
        <f ca="1">IF(IncidentTable[[#This Row],[Priority]]="Critical",1,
IF(IncidentTable[[#This Row],[Priority]]="High",3,
IF(IncidentTable[[#This Row],[Priority]]="Medium",5,
IF(IncidentTable[[#This Row],[Priority]]="Low",10,""))))</f>
        <v>10</v>
      </c>
      <c r="S274" t="str">
        <f ca="1">IF(IncidentTable[[#This Row],[Resolution Time (Days)]]="","",
IF(IncidentTable[[#This Row],[Resolution Time (Days)]]&lt;=IncidentTable[[#This Row],[SLA Target (Days)]],"Yes","No"))</f>
        <v/>
      </c>
    </row>
    <row r="275" spans="1:19" x14ac:dyDescent="0.25">
      <c r="A275" t="str">
        <f t="shared" ca="1" si="17"/>
        <v>INC709107</v>
      </c>
      <c r="B275" t="str" cm="1">
        <f t="array" aca="1" ref="B275" ca="1">INDEX(SystemList,RANDBETWEEN(1,ROWS(SystemList)))</f>
        <v>Regulatory System</v>
      </c>
      <c r="C275" t="str" cm="1">
        <f t="array" aca="1" ref="C275" ca="1">INDEX(IssueTypeList,RANDBETWEEN(1,ROWS(IssueTypeList)))</f>
        <v>Payment Failure</v>
      </c>
      <c r="D275" t="str" cm="1">
        <f t="array" aca="1" ref="D275" ca="1">INDEX(PriorityList,RANDBETWEEN(1,ROWS(PriorityList)))</f>
        <v>Critical</v>
      </c>
      <c r="E275" t="str" cm="1">
        <f t="array" aca="1" ref="E275" ca="1">INDEX(SeverityList,RANDBETWEEN(1,ROWS(SeverityList)))</f>
        <v>Critical</v>
      </c>
      <c r="F275" t="str" cm="1">
        <f t="array" aca="1" ref="F275" ca="1">INDEX(RegionList,RANDBETWEEN(1,ROWS(RegionList)))</f>
        <v>Southeast</v>
      </c>
      <c r="G275" t="str" cm="1">
        <f t="array" aca="1" ref="G275" ca="1">INDEX(DepartmentList,RANDBETWEEN(1,ROWS(DepartmentList)))</f>
        <v>Claims</v>
      </c>
      <c r="H275" s="1">
        <f t="shared" ca="1" si="18"/>
        <v>45279</v>
      </c>
      <c r="I275" s="4" t="str">
        <f ca="1">IF(IncidentTable[[#This Row],[Resolution Time (Days)]]="","",IncidentTable[[#This Row],[Created Date]]+IncidentTable[[#This Row],[Resolution Time (Days)]])</f>
        <v/>
      </c>
      <c r="J275" t="str">
        <f ca="1">IF(OR(IncidentTable[[#This Row],[Status]]="Resolved",IncidentTable[[#This Row],[Status]]="Closed"),RANDBETWEEN(1,120),"")</f>
        <v/>
      </c>
      <c r="K275" t="str">
        <f t="shared" ca="1" si="16"/>
        <v>Pending</v>
      </c>
      <c r="L275" t="str" cm="1">
        <f t="array" aca="1" ref="L275" ca="1">INDEX(AnalystList,RANDBETWEEN(1,ROWS(AnalystList)))</f>
        <v>Alex Johnson</v>
      </c>
      <c r="M275" t="str" cm="1">
        <f t="array" aca="1" ref="M275" ca="1">INDEX(RootCauseList,RANDBETWEEN(1,ROWS(RootCauseList)))</f>
        <v>Network Failure</v>
      </c>
      <c r="N275">
        <f t="shared" ca="1" si="19"/>
        <v>1435.94</v>
      </c>
      <c r="O275" t="str">
        <f ca="1">IF(OR(IncidentTable[[#This Row],[Status]]="Resolved",IncidentTable[[#This Row],[Status]]="Closed"),
ROUND(IncidentTable[[#This Row],[Estimated Impact ($)]]*(1+RANDBETWEEN(-15,25)/100)+RAND(),2),
"")</f>
        <v/>
      </c>
      <c r="P275" t="str">
        <f ca="1">IF(IncidentTable[[#This Row],[Actual Impact ($)]]="","",ROUND(IncidentTable[[#This Row],[Actual Impact ($)]]-IncidentTable[[#This Row],[Estimated Impact ($)]],2))</f>
        <v/>
      </c>
      <c r="Q275" s="2" t="str">
        <f ca="1">IF(IncidentTable[[#This Row],[Actual Impact ($)]]="","",(IncidentTable[[#This Row],[Actual Impact ($)]]-IncidentTable[[#This Row],[Estimated Impact ($)]]) / IncidentTable[[#This Row],[Estimated Impact ($)]])</f>
        <v/>
      </c>
      <c r="R275" s="3">
        <f ca="1">IF(IncidentTable[[#This Row],[Priority]]="Critical",1,
IF(IncidentTable[[#This Row],[Priority]]="High",3,
IF(IncidentTable[[#This Row],[Priority]]="Medium",5,
IF(IncidentTable[[#This Row],[Priority]]="Low",10,""))))</f>
        <v>1</v>
      </c>
      <c r="S275" t="str">
        <f ca="1">IF(IncidentTable[[#This Row],[Resolution Time (Days)]]="","",
IF(IncidentTable[[#This Row],[Resolution Time (Days)]]&lt;=IncidentTable[[#This Row],[SLA Target (Days)]],"Yes","No"))</f>
        <v/>
      </c>
    </row>
    <row r="276" spans="1:19" x14ac:dyDescent="0.25">
      <c r="A276" t="str">
        <f t="shared" ca="1" si="17"/>
        <v>INC779476</v>
      </c>
      <c r="B276" t="str" cm="1">
        <f t="array" aca="1" ref="B276" ca="1">INDEX(SystemList,RANDBETWEEN(1,ROWS(SystemList)))</f>
        <v>Claims System</v>
      </c>
      <c r="C276" t="str" cm="1">
        <f t="array" aca="1" ref="C276" ca="1">INDEX(IssueTypeList,RANDBETWEEN(1,ROWS(IssueTypeList)))</f>
        <v>System Error</v>
      </c>
      <c r="D276" t="str" cm="1">
        <f t="array" aca="1" ref="D276" ca="1">INDEX(PriorityList,RANDBETWEEN(1,ROWS(PriorityList)))</f>
        <v>High</v>
      </c>
      <c r="E276" t="str" cm="1">
        <f t="array" aca="1" ref="E276" ca="1">INDEX(SeverityList,RANDBETWEEN(1,ROWS(SeverityList)))</f>
        <v>Moderate</v>
      </c>
      <c r="F276" t="str" cm="1">
        <f t="array" aca="1" ref="F276" ca="1">INDEX(RegionList,RANDBETWEEN(1,ROWS(RegionList)))</f>
        <v>East</v>
      </c>
      <c r="G276" t="str" cm="1">
        <f t="array" aca="1" ref="G276" ca="1">INDEX(DepartmentList,RANDBETWEEN(1,ROWS(DepartmentList)))</f>
        <v>IT</v>
      </c>
      <c r="H276" s="1">
        <f t="shared" ca="1" si="18"/>
        <v>45188</v>
      </c>
      <c r="I276" s="4" t="str">
        <f ca="1">IF(IncidentTable[[#This Row],[Resolution Time (Days)]]="","",IncidentTable[[#This Row],[Created Date]]+IncidentTable[[#This Row],[Resolution Time (Days)]])</f>
        <v/>
      </c>
      <c r="J276" t="str">
        <f ca="1">IF(OR(IncidentTable[[#This Row],[Status]]="Resolved",IncidentTable[[#This Row],[Status]]="Closed"),RANDBETWEEN(1,120),"")</f>
        <v/>
      </c>
      <c r="K276" t="str">
        <f t="shared" ca="1" si="16"/>
        <v>In Progress</v>
      </c>
      <c r="L276" t="str" cm="1">
        <f t="array" aca="1" ref="L276" ca="1">INDEX(AnalystList,RANDBETWEEN(1,ROWS(AnalystList)))</f>
        <v>Jordan Lee</v>
      </c>
      <c r="M276" t="str" cm="1">
        <f t="array" aca="1" ref="M276" ca="1">INDEX(RootCauseList,RANDBETWEEN(1,ROWS(RootCauseList)))</f>
        <v>User Error</v>
      </c>
      <c r="N276">
        <f t="shared" ca="1" si="19"/>
        <v>3590.69</v>
      </c>
      <c r="O276" t="str">
        <f ca="1">IF(OR(IncidentTable[[#This Row],[Status]]="Resolved",IncidentTable[[#This Row],[Status]]="Closed"),
ROUND(IncidentTable[[#This Row],[Estimated Impact ($)]]*(1+RANDBETWEEN(-15,25)/100)+RAND(),2),
"")</f>
        <v/>
      </c>
      <c r="P276" t="str">
        <f ca="1">IF(IncidentTable[[#This Row],[Actual Impact ($)]]="","",ROUND(IncidentTable[[#This Row],[Actual Impact ($)]]-IncidentTable[[#This Row],[Estimated Impact ($)]],2))</f>
        <v/>
      </c>
      <c r="Q276" s="2" t="str">
        <f ca="1">IF(IncidentTable[[#This Row],[Actual Impact ($)]]="","",(IncidentTable[[#This Row],[Actual Impact ($)]]-IncidentTable[[#This Row],[Estimated Impact ($)]]) / IncidentTable[[#This Row],[Estimated Impact ($)]])</f>
        <v/>
      </c>
      <c r="R276" s="3">
        <f ca="1">IF(IncidentTable[[#This Row],[Priority]]="Critical",1,
IF(IncidentTable[[#This Row],[Priority]]="High",3,
IF(IncidentTable[[#This Row],[Priority]]="Medium",5,
IF(IncidentTable[[#This Row],[Priority]]="Low",10,""))))</f>
        <v>3</v>
      </c>
      <c r="S276" t="str">
        <f ca="1">IF(IncidentTable[[#This Row],[Resolution Time (Days)]]="","",
IF(IncidentTable[[#This Row],[Resolution Time (Days)]]&lt;=IncidentTable[[#This Row],[SLA Target (Days)]],"Yes","No"))</f>
        <v/>
      </c>
    </row>
    <row r="277" spans="1:19" x14ac:dyDescent="0.25">
      <c r="A277" t="str">
        <f t="shared" ca="1" si="17"/>
        <v>INC848597</v>
      </c>
      <c r="B277" t="str" cm="1">
        <f t="array" aca="1" ref="B277" ca="1">INDEX(SystemList,RANDBETWEEN(1,ROWS(SystemList)))</f>
        <v>Customer Portal</v>
      </c>
      <c r="C277" t="str" cm="1">
        <f t="array" aca="1" ref="C277" ca="1">INDEX(IssueTypeList,RANDBETWEEN(1,ROWS(IssueTypeList)))</f>
        <v>Payment Failure</v>
      </c>
      <c r="D277" t="str" cm="1">
        <f t="array" aca="1" ref="D277" ca="1">INDEX(PriorityList,RANDBETWEEN(1,ROWS(PriorityList)))</f>
        <v>Critical</v>
      </c>
      <c r="E277" t="str" cm="1">
        <f t="array" aca="1" ref="E277" ca="1">INDEX(SeverityList,RANDBETWEEN(1,ROWS(SeverityList)))</f>
        <v>Minor</v>
      </c>
      <c r="F277" t="str" cm="1">
        <f t="array" aca="1" ref="F277" ca="1">INDEX(RegionList,RANDBETWEEN(1,ROWS(RegionList)))</f>
        <v>East</v>
      </c>
      <c r="G277" t="str" cm="1">
        <f t="array" aca="1" ref="G277" ca="1">INDEX(DepartmentList,RANDBETWEEN(1,ROWS(DepartmentList)))</f>
        <v>Customer Service</v>
      </c>
      <c r="H277" s="1">
        <f t="shared" ca="1" si="18"/>
        <v>45291</v>
      </c>
      <c r="I277" s="4">
        <f ca="1">IF(IncidentTable[[#This Row],[Resolution Time (Days)]]="","",IncidentTable[[#This Row],[Created Date]]+IncidentTable[[#This Row],[Resolution Time (Days)]])</f>
        <v>45308</v>
      </c>
      <c r="J277">
        <f ca="1">IF(OR(IncidentTable[[#This Row],[Status]]="Resolved",IncidentTable[[#This Row],[Status]]="Closed"),RANDBETWEEN(1,120),"")</f>
        <v>17</v>
      </c>
      <c r="K277" t="str">
        <f t="shared" ca="1" si="16"/>
        <v>Resolved</v>
      </c>
      <c r="L277" t="str" cm="1">
        <f t="array" aca="1" ref="L277" ca="1">INDEX(AnalystList,RANDBETWEEN(1,ROWS(AnalystList)))</f>
        <v>Alex Johnson</v>
      </c>
      <c r="M277" t="str" cm="1">
        <f t="array" aca="1" ref="M277" ca="1">INDEX(RootCauseList,RANDBETWEEN(1,ROWS(RootCauseList)))</f>
        <v>Integration Failure</v>
      </c>
      <c r="N277">
        <f t="shared" ca="1" si="19"/>
        <v>15541.5</v>
      </c>
      <c r="O277">
        <f ca="1">IF(OR(IncidentTable[[#This Row],[Status]]="Resolved",IncidentTable[[#This Row],[Status]]="Closed"),
ROUND(IncidentTable[[#This Row],[Estimated Impact ($)]]*(1+RANDBETWEEN(-15,25)/100)+RAND(),2),
"")</f>
        <v>15230.9</v>
      </c>
      <c r="P277">
        <f ca="1">IF(IncidentTable[[#This Row],[Actual Impact ($)]]="","",ROUND(IncidentTable[[#This Row],[Actual Impact ($)]]-IncidentTable[[#This Row],[Estimated Impact ($)]],2))</f>
        <v>-310.60000000000002</v>
      </c>
      <c r="Q277" s="2">
        <f ca="1">IF(IncidentTable[[#This Row],[Actual Impact ($)]]="","",(IncidentTable[[#This Row],[Actual Impact ($)]]-IncidentTable[[#This Row],[Estimated Impact ($)]]) / IncidentTable[[#This Row],[Estimated Impact ($)]])</f>
        <v>-1.9985200913682742E-2</v>
      </c>
      <c r="R277" s="3">
        <f ca="1">IF(IncidentTable[[#This Row],[Priority]]="Critical",1,
IF(IncidentTable[[#This Row],[Priority]]="High",3,
IF(IncidentTable[[#This Row],[Priority]]="Medium",5,
IF(IncidentTable[[#This Row],[Priority]]="Low",10,""))))</f>
        <v>1</v>
      </c>
      <c r="S277" t="str">
        <f ca="1">IF(IncidentTable[[#This Row],[Resolution Time (Days)]]="","",
IF(IncidentTable[[#This Row],[Resolution Time (Days)]]&lt;=IncidentTable[[#This Row],[SLA Target (Days)]],"Yes","No"))</f>
        <v>No</v>
      </c>
    </row>
    <row r="278" spans="1:19" x14ac:dyDescent="0.25">
      <c r="A278" t="str">
        <f t="shared" ca="1" si="17"/>
        <v>INC393888</v>
      </c>
      <c r="B278" t="str" cm="1">
        <f t="array" aca="1" ref="B278" ca="1">INDEX(SystemList,RANDBETWEEN(1,ROWS(SystemList)))</f>
        <v>Customer Portal</v>
      </c>
      <c r="C278" t="str" cm="1">
        <f t="array" aca="1" ref="C278" ca="1">INDEX(IssueTypeList,RANDBETWEEN(1,ROWS(IssueTypeList)))</f>
        <v>Integration Failure</v>
      </c>
      <c r="D278" t="str" cm="1">
        <f t="array" aca="1" ref="D278" ca="1">INDEX(PriorityList,RANDBETWEEN(1,ROWS(PriorityList)))</f>
        <v>High</v>
      </c>
      <c r="E278" t="str" cm="1">
        <f t="array" aca="1" ref="E278" ca="1">INDEX(SeverityList,RANDBETWEEN(1,ROWS(SeverityList)))</f>
        <v>Critical</v>
      </c>
      <c r="F278" t="str" cm="1">
        <f t="array" aca="1" ref="F278" ca="1">INDEX(RegionList,RANDBETWEEN(1,ROWS(RegionList)))</f>
        <v>Southeast</v>
      </c>
      <c r="G278" t="str" cm="1">
        <f t="array" aca="1" ref="G278" ca="1">INDEX(DepartmentList,RANDBETWEEN(1,ROWS(DepartmentList)))</f>
        <v>IT</v>
      </c>
      <c r="H278" s="1">
        <f t="shared" ca="1" si="18"/>
        <v>45188</v>
      </c>
      <c r="I278" s="4">
        <f ca="1">IF(IncidentTable[[#This Row],[Resolution Time (Days)]]="","",IncidentTable[[#This Row],[Created Date]]+IncidentTable[[#This Row],[Resolution Time (Days)]])</f>
        <v>45200</v>
      </c>
      <c r="J278">
        <f ca="1">IF(OR(IncidentTable[[#This Row],[Status]]="Resolved",IncidentTable[[#This Row],[Status]]="Closed"),RANDBETWEEN(1,120),"")</f>
        <v>12</v>
      </c>
      <c r="K278" t="str">
        <f t="shared" ca="1" si="16"/>
        <v>Resolved</v>
      </c>
      <c r="L278" t="str" cm="1">
        <f t="array" aca="1" ref="L278" ca="1">INDEX(AnalystList,RANDBETWEEN(1,ROWS(AnalystList)))</f>
        <v>Casey Brown</v>
      </c>
      <c r="M278" t="str" cm="1">
        <f t="array" aca="1" ref="M278" ca="1">INDEX(RootCauseList,RANDBETWEEN(1,ROWS(RootCauseList)))</f>
        <v>Configuration Issue</v>
      </c>
      <c r="N278">
        <f t="shared" ca="1" si="19"/>
        <v>5239.58</v>
      </c>
      <c r="O278">
        <f ca="1">IF(OR(IncidentTable[[#This Row],[Status]]="Resolved",IncidentTable[[#This Row],[Status]]="Closed"),
ROUND(IncidentTable[[#This Row],[Estimated Impact ($)]]*(1+RANDBETWEEN(-15,25)/100)+RAND(),2),
"")</f>
        <v>5502.33</v>
      </c>
      <c r="P278">
        <f ca="1">IF(IncidentTable[[#This Row],[Actual Impact ($)]]="","",ROUND(IncidentTable[[#This Row],[Actual Impact ($)]]-IncidentTable[[#This Row],[Estimated Impact ($)]],2))</f>
        <v>262.75</v>
      </c>
      <c r="Q278" s="2">
        <f ca="1">IF(IncidentTable[[#This Row],[Actual Impact ($)]]="","",(IncidentTable[[#This Row],[Actual Impact ($)]]-IncidentTable[[#This Row],[Estimated Impact ($)]]) / IncidentTable[[#This Row],[Estimated Impact ($)]])</f>
        <v>5.0147149198981597E-2</v>
      </c>
      <c r="R278" s="3">
        <f ca="1">IF(IncidentTable[[#This Row],[Priority]]="Critical",1,
IF(IncidentTable[[#This Row],[Priority]]="High",3,
IF(IncidentTable[[#This Row],[Priority]]="Medium",5,
IF(IncidentTable[[#This Row],[Priority]]="Low",10,""))))</f>
        <v>3</v>
      </c>
      <c r="S278" t="str">
        <f ca="1">IF(IncidentTable[[#This Row],[Resolution Time (Days)]]="","",
IF(IncidentTable[[#This Row],[Resolution Time (Days)]]&lt;=IncidentTable[[#This Row],[SLA Target (Days)]],"Yes","No"))</f>
        <v>No</v>
      </c>
    </row>
    <row r="279" spans="1:19" x14ac:dyDescent="0.25">
      <c r="A279" t="str">
        <f t="shared" ca="1" si="17"/>
        <v>INC774601</v>
      </c>
      <c r="B279" t="str" cm="1">
        <f t="array" aca="1" ref="B279" ca="1">INDEX(SystemList,RANDBETWEEN(1,ROWS(SystemList)))</f>
        <v>Customer Portal</v>
      </c>
      <c r="C279" t="str" cm="1">
        <f t="array" aca="1" ref="C279" ca="1">INDEX(IssueTypeList,RANDBETWEEN(1,ROWS(IssueTypeList)))</f>
        <v>Integration Failure</v>
      </c>
      <c r="D279" t="str" cm="1">
        <f t="array" aca="1" ref="D279" ca="1">INDEX(PriorityList,RANDBETWEEN(1,ROWS(PriorityList)))</f>
        <v>Medium</v>
      </c>
      <c r="E279" t="str" cm="1">
        <f t="array" aca="1" ref="E279" ca="1">INDEX(SeverityList,RANDBETWEEN(1,ROWS(SeverityList)))</f>
        <v>Major</v>
      </c>
      <c r="F279" t="str" cm="1">
        <f t="array" aca="1" ref="F279" ca="1">INDEX(RegionList,RANDBETWEEN(1,ROWS(RegionList)))</f>
        <v>East</v>
      </c>
      <c r="G279" t="str" cm="1">
        <f t="array" aca="1" ref="G279" ca="1">INDEX(DepartmentList,RANDBETWEEN(1,ROWS(DepartmentList)))</f>
        <v>IT</v>
      </c>
      <c r="H279" s="1">
        <f t="shared" ca="1" si="18"/>
        <v>45306</v>
      </c>
      <c r="I279" s="4">
        <f ca="1">IF(IncidentTable[[#This Row],[Resolution Time (Days)]]="","",IncidentTable[[#This Row],[Created Date]]+IncidentTable[[#This Row],[Resolution Time (Days)]])</f>
        <v>45342</v>
      </c>
      <c r="J279">
        <f ca="1">IF(OR(IncidentTable[[#This Row],[Status]]="Resolved",IncidentTable[[#This Row],[Status]]="Closed"),RANDBETWEEN(1,120),"")</f>
        <v>36</v>
      </c>
      <c r="K279" t="str">
        <f t="shared" ca="1" si="16"/>
        <v>Resolved</v>
      </c>
      <c r="L279" t="str" cm="1">
        <f t="array" aca="1" ref="L279" ca="1">INDEX(AnalystList,RANDBETWEEN(1,ROWS(AnalystList)))</f>
        <v>Taylor Smith</v>
      </c>
      <c r="M279" t="str" cm="1">
        <f t="array" aca="1" ref="M279" ca="1">INDEX(RootCauseList,RANDBETWEEN(1,ROWS(RootCauseList)))</f>
        <v>System Bug</v>
      </c>
      <c r="N279">
        <f t="shared" ca="1" si="19"/>
        <v>2428.65</v>
      </c>
      <c r="O279">
        <f ca="1">IF(OR(IncidentTable[[#This Row],[Status]]="Resolved",IncidentTable[[#This Row],[Status]]="Closed"),
ROUND(IncidentTable[[#This Row],[Estimated Impact ($)]]*(1+RANDBETWEEN(-15,25)/100)+RAND(),2),
"")</f>
        <v>2210.8200000000002</v>
      </c>
      <c r="P279">
        <f ca="1">IF(IncidentTable[[#This Row],[Actual Impact ($)]]="","",ROUND(IncidentTable[[#This Row],[Actual Impact ($)]]-IncidentTable[[#This Row],[Estimated Impact ($)]],2))</f>
        <v>-217.83</v>
      </c>
      <c r="Q279" s="2">
        <f ca="1">IF(IncidentTable[[#This Row],[Actual Impact ($)]]="","",(IncidentTable[[#This Row],[Actual Impact ($)]]-IncidentTable[[#This Row],[Estimated Impact ($)]]) / IncidentTable[[#This Row],[Estimated Impact ($)]])</f>
        <v>-8.9691804088691221E-2</v>
      </c>
      <c r="R279" s="3">
        <f ca="1">IF(IncidentTable[[#This Row],[Priority]]="Critical",1,
IF(IncidentTable[[#This Row],[Priority]]="High",3,
IF(IncidentTable[[#This Row],[Priority]]="Medium",5,
IF(IncidentTable[[#This Row],[Priority]]="Low",10,""))))</f>
        <v>5</v>
      </c>
      <c r="S279" t="str">
        <f ca="1">IF(IncidentTable[[#This Row],[Resolution Time (Days)]]="","",
IF(IncidentTable[[#This Row],[Resolution Time (Days)]]&lt;=IncidentTable[[#This Row],[SLA Target (Days)]],"Yes","No"))</f>
        <v>No</v>
      </c>
    </row>
    <row r="280" spans="1:19" x14ac:dyDescent="0.25">
      <c r="A280" t="str">
        <f t="shared" ca="1" si="17"/>
        <v>INC813129</v>
      </c>
      <c r="B280" t="str" cm="1">
        <f t="array" aca="1" ref="B280" ca="1">INDEX(SystemList,RANDBETWEEN(1,ROWS(SystemList)))</f>
        <v>Reporting System</v>
      </c>
      <c r="C280" t="str" cm="1">
        <f t="array" aca="1" ref="C280" ca="1">INDEX(IssueTypeList,RANDBETWEEN(1,ROWS(IssueTypeList)))</f>
        <v>Integration Failure</v>
      </c>
      <c r="D280" t="str" cm="1">
        <f t="array" aca="1" ref="D280" ca="1">INDEX(PriorityList,RANDBETWEEN(1,ROWS(PriorityList)))</f>
        <v>Medium</v>
      </c>
      <c r="E280" t="str" cm="1">
        <f t="array" aca="1" ref="E280" ca="1">INDEX(SeverityList,RANDBETWEEN(1,ROWS(SeverityList)))</f>
        <v>Moderate</v>
      </c>
      <c r="F280" t="str" cm="1">
        <f t="array" aca="1" ref="F280" ca="1">INDEX(RegionList,RANDBETWEEN(1,ROWS(RegionList)))</f>
        <v>Midwest</v>
      </c>
      <c r="G280" t="str" cm="1">
        <f t="array" aca="1" ref="G280" ca="1">INDEX(DepartmentList,RANDBETWEEN(1,ROWS(DepartmentList)))</f>
        <v>Claims</v>
      </c>
      <c r="H280" s="1">
        <f t="shared" ca="1" si="18"/>
        <v>45076</v>
      </c>
      <c r="I280" s="4">
        <f ca="1">IF(IncidentTable[[#This Row],[Resolution Time (Days)]]="","",IncidentTable[[#This Row],[Created Date]]+IncidentTable[[#This Row],[Resolution Time (Days)]])</f>
        <v>45081</v>
      </c>
      <c r="J280">
        <f ca="1">IF(OR(IncidentTable[[#This Row],[Status]]="Resolved",IncidentTable[[#This Row],[Status]]="Closed"),RANDBETWEEN(1,120),"")</f>
        <v>5</v>
      </c>
      <c r="K280" t="str">
        <f t="shared" ca="1" si="16"/>
        <v>Resolved</v>
      </c>
      <c r="L280" t="str" cm="1">
        <f t="array" aca="1" ref="L280" ca="1">INDEX(AnalystList,RANDBETWEEN(1,ROWS(AnalystList)))</f>
        <v>Morgan Davis</v>
      </c>
      <c r="M280" t="str" cm="1">
        <f t="array" aca="1" ref="M280" ca="1">INDEX(RootCauseList,RANDBETWEEN(1,ROWS(RootCauseList)))</f>
        <v>User Error</v>
      </c>
      <c r="N280">
        <f t="shared" ca="1" si="19"/>
        <v>0.24</v>
      </c>
      <c r="O280">
        <f ca="1">IF(OR(IncidentTable[[#This Row],[Status]]="Resolved",IncidentTable[[#This Row],[Status]]="Closed"),
ROUND(IncidentTable[[#This Row],[Estimated Impact ($)]]*(1+RANDBETWEEN(-15,25)/100)+RAND(),2),
"")</f>
        <v>0.82</v>
      </c>
      <c r="P280">
        <f ca="1">IF(IncidentTable[[#This Row],[Actual Impact ($)]]="","",ROUND(IncidentTable[[#This Row],[Actual Impact ($)]]-IncidentTable[[#This Row],[Estimated Impact ($)]],2))</f>
        <v>0.57999999999999996</v>
      </c>
      <c r="Q280" s="2">
        <f ca="1">IF(IncidentTable[[#This Row],[Actual Impact ($)]]="","",(IncidentTable[[#This Row],[Actual Impact ($)]]-IncidentTable[[#This Row],[Estimated Impact ($)]]) / IncidentTable[[#This Row],[Estimated Impact ($)]])</f>
        <v>2.4166666666666665</v>
      </c>
      <c r="R280" s="3">
        <f ca="1">IF(IncidentTable[[#This Row],[Priority]]="Critical",1,
IF(IncidentTable[[#This Row],[Priority]]="High",3,
IF(IncidentTable[[#This Row],[Priority]]="Medium",5,
IF(IncidentTable[[#This Row],[Priority]]="Low",10,""))))</f>
        <v>5</v>
      </c>
      <c r="S280" t="str">
        <f ca="1">IF(IncidentTable[[#This Row],[Resolution Time (Days)]]="","",
IF(IncidentTable[[#This Row],[Resolution Time (Days)]]&lt;=IncidentTable[[#This Row],[SLA Target (Days)]],"Yes","No"))</f>
        <v>Yes</v>
      </c>
    </row>
    <row r="281" spans="1:19" x14ac:dyDescent="0.25">
      <c r="A281" t="str">
        <f t="shared" ca="1" si="17"/>
        <v>INC861316</v>
      </c>
      <c r="B281" t="str" cm="1">
        <f t="array" aca="1" ref="B281" ca="1">INDEX(SystemList,RANDBETWEEN(1,ROWS(SystemList)))</f>
        <v>Reporting System</v>
      </c>
      <c r="C281" t="str" cm="1">
        <f t="array" aca="1" ref="C281" ca="1">INDEX(IssueTypeList,RANDBETWEEN(1,ROWS(IssueTypeList)))</f>
        <v>Complaint</v>
      </c>
      <c r="D281" t="str" cm="1">
        <f t="array" aca="1" ref="D281" ca="1">INDEX(PriorityList,RANDBETWEEN(1,ROWS(PriorityList)))</f>
        <v>Medium</v>
      </c>
      <c r="E281" t="str" cm="1">
        <f t="array" aca="1" ref="E281" ca="1">INDEX(SeverityList,RANDBETWEEN(1,ROWS(SeverityList)))</f>
        <v>Critical</v>
      </c>
      <c r="F281" t="str" cm="1">
        <f t="array" aca="1" ref="F281" ca="1">INDEX(RegionList,RANDBETWEEN(1,ROWS(RegionList)))</f>
        <v>Central</v>
      </c>
      <c r="G281" t="str" cm="1">
        <f t="array" aca="1" ref="G281" ca="1">INDEX(DepartmentList,RANDBETWEEN(1,ROWS(DepartmentList)))</f>
        <v>Finance</v>
      </c>
      <c r="H281" s="1">
        <f t="shared" ca="1" si="18"/>
        <v>45466</v>
      </c>
      <c r="I281" s="4" t="str">
        <f ca="1">IF(IncidentTable[[#This Row],[Resolution Time (Days)]]="","",IncidentTable[[#This Row],[Created Date]]+IncidentTable[[#This Row],[Resolution Time (Days)]])</f>
        <v/>
      </c>
      <c r="J281" t="str">
        <f ca="1">IF(OR(IncidentTable[[#This Row],[Status]]="Resolved",IncidentTable[[#This Row],[Status]]="Closed"),RANDBETWEEN(1,120),"")</f>
        <v/>
      </c>
      <c r="K281" t="str">
        <f t="shared" ca="1" si="16"/>
        <v>Pending</v>
      </c>
      <c r="L281" t="str" cm="1">
        <f t="array" aca="1" ref="L281" ca="1">INDEX(AnalystList,RANDBETWEEN(1,ROWS(AnalystList)))</f>
        <v>Jordan Lee</v>
      </c>
      <c r="M281" t="str" cm="1">
        <f t="array" aca="1" ref="M281" ca="1">INDEX(RootCauseList,RANDBETWEEN(1,ROWS(RootCauseList)))</f>
        <v>Data Error</v>
      </c>
      <c r="N281">
        <f t="shared" ca="1" si="19"/>
        <v>0.1</v>
      </c>
      <c r="O281" t="str">
        <f ca="1">IF(OR(IncidentTable[[#This Row],[Status]]="Resolved",IncidentTable[[#This Row],[Status]]="Closed"),
ROUND(IncidentTable[[#This Row],[Estimated Impact ($)]]*(1+RANDBETWEEN(-15,25)/100)+RAND(),2),
"")</f>
        <v/>
      </c>
      <c r="P281" t="str">
        <f ca="1">IF(IncidentTable[[#This Row],[Actual Impact ($)]]="","",ROUND(IncidentTable[[#This Row],[Actual Impact ($)]]-IncidentTable[[#This Row],[Estimated Impact ($)]],2))</f>
        <v/>
      </c>
      <c r="Q281" s="2" t="str">
        <f ca="1">IF(IncidentTable[[#This Row],[Actual Impact ($)]]="","",(IncidentTable[[#This Row],[Actual Impact ($)]]-IncidentTable[[#This Row],[Estimated Impact ($)]]) / IncidentTable[[#This Row],[Estimated Impact ($)]])</f>
        <v/>
      </c>
      <c r="R281" s="3">
        <f ca="1">IF(IncidentTable[[#This Row],[Priority]]="Critical",1,
IF(IncidentTable[[#This Row],[Priority]]="High",3,
IF(IncidentTable[[#This Row],[Priority]]="Medium",5,
IF(IncidentTable[[#This Row],[Priority]]="Low",10,""))))</f>
        <v>5</v>
      </c>
      <c r="S281" t="str">
        <f ca="1">IF(IncidentTable[[#This Row],[Resolution Time (Days)]]="","",
IF(IncidentTable[[#This Row],[Resolution Time (Days)]]&lt;=IncidentTable[[#This Row],[SLA Target (Days)]],"Yes","No"))</f>
        <v/>
      </c>
    </row>
    <row r="282" spans="1:19" x14ac:dyDescent="0.25">
      <c r="A282" t="str">
        <f t="shared" ca="1" si="17"/>
        <v>INC406810</v>
      </c>
      <c r="B282" t="str" cm="1">
        <f t="array" aca="1" ref="B282" ca="1">INDEX(SystemList,RANDBETWEEN(1,ROWS(SystemList)))</f>
        <v>Customer Portal</v>
      </c>
      <c r="C282" t="str" cm="1">
        <f t="array" aca="1" ref="C282" ca="1">INDEX(IssueTypeList,RANDBETWEEN(1,ROWS(IssueTypeList)))</f>
        <v>Data Issue</v>
      </c>
      <c r="D282" t="str" cm="1">
        <f t="array" aca="1" ref="D282" ca="1">INDEX(PriorityList,RANDBETWEEN(1,ROWS(PriorityList)))</f>
        <v>Low</v>
      </c>
      <c r="E282" t="str" cm="1">
        <f t="array" aca="1" ref="E282" ca="1">INDEX(SeverityList,RANDBETWEEN(1,ROWS(SeverityList)))</f>
        <v>Critical</v>
      </c>
      <c r="F282" t="str" cm="1">
        <f t="array" aca="1" ref="F282" ca="1">INDEX(RegionList,RANDBETWEEN(1,ROWS(RegionList)))</f>
        <v>Southeast</v>
      </c>
      <c r="G282" t="str" cm="1">
        <f t="array" aca="1" ref="G282" ca="1">INDEX(DepartmentList,RANDBETWEEN(1,ROWS(DepartmentList)))</f>
        <v>Claims</v>
      </c>
      <c r="H282" s="1">
        <f t="shared" ca="1" si="18"/>
        <v>45028</v>
      </c>
      <c r="I282" s="4" t="str">
        <f ca="1">IF(IncidentTable[[#This Row],[Resolution Time (Days)]]="","",IncidentTable[[#This Row],[Created Date]]+IncidentTable[[#This Row],[Resolution Time (Days)]])</f>
        <v/>
      </c>
      <c r="J282" t="str">
        <f ca="1">IF(OR(IncidentTable[[#This Row],[Status]]="Resolved",IncidentTable[[#This Row],[Status]]="Closed"),RANDBETWEEN(1,120),"")</f>
        <v/>
      </c>
      <c r="K282" t="str">
        <f t="shared" ca="1" si="16"/>
        <v>In Progress</v>
      </c>
      <c r="L282" t="str" cm="1">
        <f t="array" aca="1" ref="L282" ca="1">INDEX(AnalystList,RANDBETWEEN(1,ROWS(AnalystList)))</f>
        <v>Taylor Smith</v>
      </c>
      <c r="M282" t="str" cm="1">
        <f t="array" aca="1" ref="M282" ca="1">INDEX(RootCauseList,RANDBETWEEN(1,ROWS(RootCauseList)))</f>
        <v>Network Failure</v>
      </c>
      <c r="N282">
        <f t="shared" ca="1" si="19"/>
        <v>20254.52</v>
      </c>
      <c r="O282" t="str">
        <f ca="1">IF(OR(IncidentTable[[#This Row],[Status]]="Resolved",IncidentTable[[#This Row],[Status]]="Closed"),
ROUND(IncidentTable[[#This Row],[Estimated Impact ($)]]*(1+RANDBETWEEN(-15,25)/100)+RAND(),2),
"")</f>
        <v/>
      </c>
      <c r="P282" t="str">
        <f ca="1">IF(IncidentTable[[#This Row],[Actual Impact ($)]]="","",ROUND(IncidentTable[[#This Row],[Actual Impact ($)]]-IncidentTable[[#This Row],[Estimated Impact ($)]],2))</f>
        <v/>
      </c>
      <c r="Q282" s="2" t="str">
        <f ca="1">IF(IncidentTable[[#This Row],[Actual Impact ($)]]="","",(IncidentTable[[#This Row],[Actual Impact ($)]]-IncidentTable[[#This Row],[Estimated Impact ($)]]) / IncidentTable[[#This Row],[Estimated Impact ($)]])</f>
        <v/>
      </c>
      <c r="R282" s="3">
        <f ca="1">IF(IncidentTable[[#This Row],[Priority]]="Critical",1,
IF(IncidentTable[[#This Row],[Priority]]="High",3,
IF(IncidentTable[[#This Row],[Priority]]="Medium",5,
IF(IncidentTable[[#This Row],[Priority]]="Low",10,""))))</f>
        <v>10</v>
      </c>
      <c r="S282" t="str">
        <f ca="1">IF(IncidentTable[[#This Row],[Resolution Time (Days)]]="","",
IF(IncidentTable[[#This Row],[Resolution Time (Days)]]&lt;=IncidentTable[[#This Row],[SLA Target (Days)]],"Yes","No"))</f>
        <v/>
      </c>
    </row>
    <row r="283" spans="1:19" x14ac:dyDescent="0.25">
      <c r="A283" t="str">
        <f t="shared" ca="1" si="17"/>
        <v>INC201576</v>
      </c>
      <c r="B283" t="str" cm="1">
        <f t="array" aca="1" ref="B283" ca="1">INDEX(SystemList,RANDBETWEEN(1,ROWS(SystemList)))</f>
        <v>Payment Processing</v>
      </c>
      <c r="C283" t="str" cm="1">
        <f t="array" aca="1" ref="C283" ca="1">INDEX(IssueTypeList,RANDBETWEEN(1,ROWS(IssueTypeList)))</f>
        <v>Complaint</v>
      </c>
      <c r="D283" t="str" cm="1">
        <f t="array" aca="1" ref="D283" ca="1">INDEX(PriorityList,RANDBETWEEN(1,ROWS(PriorityList)))</f>
        <v>Medium</v>
      </c>
      <c r="E283" t="str" cm="1">
        <f t="array" aca="1" ref="E283" ca="1">INDEX(SeverityList,RANDBETWEEN(1,ROWS(SeverityList)))</f>
        <v>Major</v>
      </c>
      <c r="F283" t="str" cm="1">
        <f t="array" aca="1" ref="F283" ca="1">INDEX(RegionList,RANDBETWEEN(1,ROWS(RegionList)))</f>
        <v>Southeast</v>
      </c>
      <c r="G283" t="str" cm="1">
        <f t="array" aca="1" ref="G283" ca="1">INDEX(DepartmentList,RANDBETWEEN(1,ROWS(DepartmentList)))</f>
        <v>Billing</v>
      </c>
      <c r="H283" s="1">
        <f t="shared" ca="1" si="18"/>
        <v>45413</v>
      </c>
      <c r="I283" s="4" t="str">
        <f ca="1">IF(IncidentTable[[#This Row],[Resolution Time (Days)]]="","",IncidentTable[[#This Row],[Created Date]]+IncidentTable[[#This Row],[Resolution Time (Days)]])</f>
        <v/>
      </c>
      <c r="J283" t="str">
        <f ca="1">IF(OR(IncidentTable[[#This Row],[Status]]="Resolved",IncidentTable[[#This Row],[Status]]="Closed"),RANDBETWEEN(1,120),"")</f>
        <v/>
      </c>
      <c r="K283" t="str">
        <f t="shared" ca="1" si="16"/>
        <v>Open</v>
      </c>
      <c r="L283" t="str" cm="1">
        <f t="array" aca="1" ref="L283" ca="1">INDEX(AnalystList,RANDBETWEEN(1,ROWS(AnalystList)))</f>
        <v>Taylor Smith</v>
      </c>
      <c r="M283" t="str" cm="1">
        <f t="array" aca="1" ref="M283" ca="1">INDEX(RootCauseList,RANDBETWEEN(1,ROWS(RootCauseList)))</f>
        <v>Integration Failure</v>
      </c>
      <c r="N283">
        <f t="shared" ca="1" si="19"/>
        <v>1695.05</v>
      </c>
      <c r="O283" t="str">
        <f ca="1">IF(OR(IncidentTable[[#This Row],[Status]]="Resolved",IncidentTable[[#This Row],[Status]]="Closed"),
ROUND(IncidentTable[[#This Row],[Estimated Impact ($)]]*(1+RANDBETWEEN(-15,25)/100)+RAND(),2),
"")</f>
        <v/>
      </c>
      <c r="P283" t="str">
        <f ca="1">IF(IncidentTable[[#This Row],[Actual Impact ($)]]="","",ROUND(IncidentTable[[#This Row],[Actual Impact ($)]]-IncidentTable[[#This Row],[Estimated Impact ($)]],2))</f>
        <v/>
      </c>
      <c r="Q283" s="2" t="str">
        <f ca="1">IF(IncidentTable[[#This Row],[Actual Impact ($)]]="","",(IncidentTable[[#This Row],[Actual Impact ($)]]-IncidentTable[[#This Row],[Estimated Impact ($)]]) / IncidentTable[[#This Row],[Estimated Impact ($)]])</f>
        <v/>
      </c>
      <c r="R283" s="3">
        <f ca="1">IF(IncidentTable[[#This Row],[Priority]]="Critical",1,
IF(IncidentTable[[#This Row],[Priority]]="High",3,
IF(IncidentTable[[#This Row],[Priority]]="Medium",5,
IF(IncidentTable[[#This Row],[Priority]]="Low",10,""))))</f>
        <v>5</v>
      </c>
      <c r="S283" t="str">
        <f ca="1">IF(IncidentTable[[#This Row],[Resolution Time (Days)]]="","",
IF(IncidentTable[[#This Row],[Resolution Time (Days)]]&lt;=IncidentTable[[#This Row],[SLA Target (Days)]],"Yes","No"))</f>
        <v/>
      </c>
    </row>
    <row r="284" spans="1:19" x14ac:dyDescent="0.25">
      <c r="A284" t="str">
        <f t="shared" ca="1" si="17"/>
        <v>INC883984</v>
      </c>
      <c r="B284" t="str" cm="1">
        <f t="array" aca="1" ref="B284" ca="1">INDEX(SystemList,RANDBETWEEN(1,ROWS(SystemList)))</f>
        <v>Regulatory System</v>
      </c>
      <c r="C284" t="str" cm="1">
        <f t="array" aca="1" ref="C284" ca="1">INDEX(IssueTypeList,RANDBETWEEN(1,ROWS(IssueTypeList)))</f>
        <v>Processing Delay</v>
      </c>
      <c r="D284" t="str" cm="1">
        <f t="array" aca="1" ref="D284" ca="1">INDEX(PriorityList,RANDBETWEEN(1,ROWS(PriorityList)))</f>
        <v>Low</v>
      </c>
      <c r="E284" t="str" cm="1">
        <f t="array" aca="1" ref="E284" ca="1">INDEX(SeverityList,RANDBETWEEN(1,ROWS(SeverityList)))</f>
        <v>Critical</v>
      </c>
      <c r="F284" t="str" cm="1">
        <f t="array" aca="1" ref="F284" ca="1">INDEX(RegionList,RANDBETWEEN(1,ROWS(RegionList)))</f>
        <v>Midwest</v>
      </c>
      <c r="G284" t="str" cm="1">
        <f t="array" aca="1" ref="G284" ca="1">INDEX(DepartmentList,RANDBETWEEN(1,ROWS(DepartmentList)))</f>
        <v>Billing</v>
      </c>
      <c r="H284" s="1">
        <f t="shared" ca="1" si="18"/>
        <v>45240</v>
      </c>
      <c r="I284" s="4">
        <f ca="1">IF(IncidentTable[[#This Row],[Resolution Time (Days)]]="","",IncidentTable[[#This Row],[Created Date]]+IncidentTable[[#This Row],[Resolution Time (Days)]])</f>
        <v>45260</v>
      </c>
      <c r="J284">
        <f ca="1">IF(OR(IncidentTable[[#This Row],[Status]]="Resolved",IncidentTable[[#This Row],[Status]]="Closed"),RANDBETWEEN(1,120),"")</f>
        <v>20</v>
      </c>
      <c r="K284" t="str">
        <f t="shared" ca="1" si="16"/>
        <v>Closed</v>
      </c>
      <c r="L284" t="str" cm="1">
        <f t="array" aca="1" ref="L284" ca="1">INDEX(AnalystList,RANDBETWEEN(1,ROWS(AnalystList)))</f>
        <v>Jordan Lee</v>
      </c>
      <c r="M284" t="str" cm="1">
        <f t="array" aca="1" ref="M284" ca="1">INDEX(RootCauseList,RANDBETWEEN(1,ROWS(RootCauseList)))</f>
        <v>Configuration Issue</v>
      </c>
      <c r="N284">
        <f t="shared" ca="1" si="19"/>
        <v>1165.1199999999999</v>
      </c>
      <c r="O284">
        <f ca="1">IF(OR(IncidentTable[[#This Row],[Status]]="Resolved",IncidentTable[[#This Row],[Status]]="Closed"),
ROUND(IncidentTable[[#This Row],[Estimated Impact ($)]]*(1+RANDBETWEEN(-15,25)/100)+RAND(),2),
"")</f>
        <v>1433.3</v>
      </c>
      <c r="P284">
        <f ca="1">IF(IncidentTable[[#This Row],[Actual Impact ($)]]="","",ROUND(IncidentTable[[#This Row],[Actual Impact ($)]]-IncidentTable[[#This Row],[Estimated Impact ($)]],2))</f>
        <v>268.18</v>
      </c>
      <c r="Q284" s="2">
        <f ca="1">IF(IncidentTable[[#This Row],[Actual Impact ($)]]="","",(IncidentTable[[#This Row],[Actual Impact ($)]]-IncidentTable[[#This Row],[Estimated Impact ($)]]) / IncidentTable[[#This Row],[Estimated Impact ($)]])</f>
        <v>0.23017371601208467</v>
      </c>
      <c r="R284" s="3">
        <f ca="1">IF(IncidentTable[[#This Row],[Priority]]="Critical",1,
IF(IncidentTable[[#This Row],[Priority]]="High",3,
IF(IncidentTable[[#This Row],[Priority]]="Medium",5,
IF(IncidentTable[[#This Row],[Priority]]="Low",10,""))))</f>
        <v>10</v>
      </c>
      <c r="S284" t="str">
        <f ca="1">IF(IncidentTable[[#This Row],[Resolution Time (Days)]]="","",
IF(IncidentTable[[#This Row],[Resolution Time (Days)]]&lt;=IncidentTable[[#This Row],[SLA Target (Days)]],"Yes","No"))</f>
        <v>No</v>
      </c>
    </row>
    <row r="285" spans="1:19" x14ac:dyDescent="0.25">
      <c r="A285" t="str">
        <f t="shared" ca="1" si="17"/>
        <v>INC355789</v>
      </c>
      <c r="B285" t="str" cm="1">
        <f t="array" aca="1" ref="B285" ca="1">INDEX(SystemList,RANDBETWEEN(1,ROWS(SystemList)))</f>
        <v>Customer Portal</v>
      </c>
      <c r="C285" t="str" cm="1">
        <f t="array" aca="1" ref="C285" ca="1">INDEX(IssueTypeList,RANDBETWEEN(1,ROWS(IssueTypeList)))</f>
        <v>Complaint</v>
      </c>
      <c r="D285" t="str" cm="1">
        <f t="array" aca="1" ref="D285" ca="1">INDEX(PriorityList,RANDBETWEEN(1,ROWS(PriorityList)))</f>
        <v>Medium</v>
      </c>
      <c r="E285" t="str" cm="1">
        <f t="array" aca="1" ref="E285" ca="1">INDEX(SeverityList,RANDBETWEEN(1,ROWS(SeverityList)))</f>
        <v>Minor</v>
      </c>
      <c r="F285" t="str" cm="1">
        <f t="array" aca="1" ref="F285" ca="1">INDEX(RegionList,RANDBETWEEN(1,ROWS(RegionList)))</f>
        <v>East</v>
      </c>
      <c r="G285" t="str" cm="1">
        <f t="array" aca="1" ref="G285" ca="1">INDEX(DepartmentList,RANDBETWEEN(1,ROWS(DepartmentList)))</f>
        <v>Finance</v>
      </c>
      <c r="H285" s="1">
        <f t="shared" ca="1" si="18"/>
        <v>45382</v>
      </c>
      <c r="I285" s="4">
        <f ca="1">IF(IncidentTable[[#This Row],[Resolution Time (Days)]]="","",IncidentTable[[#This Row],[Created Date]]+IncidentTable[[#This Row],[Resolution Time (Days)]])</f>
        <v>45497</v>
      </c>
      <c r="J285">
        <f ca="1">IF(OR(IncidentTable[[#This Row],[Status]]="Resolved",IncidentTable[[#This Row],[Status]]="Closed"),RANDBETWEEN(1,120),"")</f>
        <v>115</v>
      </c>
      <c r="K285" t="str">
        <f t="shared" ca="1" si="16"/>
        <v>Closed</v>
      </c>
      <c r="L285" t="str" cm="1">
        <f t="array" aca="1" ref="L285" ca="1">INDEX(AnalystList,RANDBETWEEN(1,ROWS(AnalystList)))</f>
        <v>Taylor Smith</v>
      </c>
      <c r="M285" t="str" cm="1">
        <f t="array" aca="1" ref="M285" ca="1">INDEX(RootCauseList,RANDBETWEEN(1,ROWS(RootCauseList)))</f>
        <v>Process Gap</v>
      </c>
      <c r="N285">
        <f t="shared" ca="1" si="19"/>
        <v>2.87</v>
      </c>
      <c r="O285">
        <f ca="1">IF(OR(IncidentTable[[#This Row],[Status]]="Resolved",IncidentTable[[#This Row],[Status]]="Closed"),
ROUND(IncidentTable[[#This Row],[Estimated Impact ($)]]*(1+RANDBETWEEN(-15,25)/100)+RAND(),2),
"")</f>
        <v>3.89</v>
      </c>
      <c r="P285">
        <f ca="1">IF(IncidentTable[[#This Row],[Actual Impact ($)]]="","",ROUND(IncidentTable[[#This Row],[Actual Impact ($)]]-IncidentTable[[#This Row],[Estimated Impact ($)]],2))</f>
        <v>1.02</v>
      </c>
      <c r="Q285" s="2">
        <f ca="1">IF(IncidentTable[[#This Row],[Actual Impact ($)]]="","",(IncidentTable[[#This Row],[Actual Impact ($)]]-IncidentTable[[#This Row],[Estimated Impact ($)]]) / IncidentTable[[#This Row],[Estimated Impact ($)]])</f>
        <v>0.35540069686411146</v>
      </c>
      <c r="R285" s="3">
        <f ca="1">IF(IncidentTable[[#This Row],[Priority]]="Critical",1,
IF(IncidentTable[[#This Row],[Priority]]="High",3,
IF(IncidentTable[[#This Row],[Priority]]="Medium",5,
IF(IncidentTable[[#This Row],[Priority]]="Low",10,""))))</f>
        <v>5</v>
      </c>
      <c r="S285" t="str">
        <f ca="1">IF(IncidentTable[[#This Row],[Resolution Time (Days)]]="","",
IF(IncidentTable[[#This Row],[Resolution Time (Days)]]&lt;=IncidentTable[[#This Row],[SLA Target (Days)]],"Yes","No"))</f>
        <v>No</v>
      </c>
    </row>
    <row r="286" spans="1:19" x14ac:dyDescent="0.25">
      <c r="A286" t="str">
        <f t="shared" ca="1" si="17"/>
        <v>INC779764</v>
      </c>
      <c r="B286" t="str" cm="1">
        <f t="array" aca="1" ref="B286" ca="1">INDEX(SystemList,RANDBETWEEN(1,ROWS(SystemList)))</f>
        <v>Billing System</v>
      </c>
      <c r="C286" t="str" cm="1">
        <f t="array" aca="1" ref="C286" ca="1">INDEX(IssueTypeList,RANDBETWEEN(1,ROWS(IssueTypeList)))</f>
        <v>Processing Delay</v>
      </c>
      <c r="D286" t="str" cm="1">
        <f t="array" aca="1" ref="D286" ca="1">INDEX(PriorityList,RANDBETWEEN(1,ROWS(PriorityList)))</f>
        <v>Medium</v>
      </c>
      <c r="E286" t="str" cm="1">
        <f t="array" aca="1" ref="E286" ca="1">INDEX(SeverityList,RANDBETWEEN(1,ROWS(SeverityList)))</f>
        <v>Moderate</v>
      </c>
      <c r="F286" t="str" cm="1">
        <f t="array" aca="1" ref="F286" ca="1">INDEX(RegionList,RANDBETWEEN(1,ROWS(RegionList)))</f>
        <v>West</v>
      </c>
      <c r="G286" t="str" cm="1">
        <f t="array" aca="1" ref="G286" ca="1">INDEX(DepartmentList,RANDBETWEEN(1,ROWS(DepartmentList)))</f>
        <v>Finance</v>
      </c>
      <c r="H286" s="1">
        <f t="shared" ca="1" si="18"/>
        <v>45459</v>
      </c>
      <c r="I286" s="4" t="str">
        <f ca="1">IF(IncidentTable[[#This Row],[Resolution Time (Days)]]="","",IncidentTable[[#This Row],[Created Date]]+IncidentTable[[#This Row],[Resolution Time (Days)]])</f>
        <v/>
      </c>
      <c r="J286" t="str">
        <f ca="1">IF(OR(IncidentTable[[#This Row],[Status]]="Resolved",IncidentTable[[#This Row],[Status]]="Closed"),RANDBETWEEN(1,120),"")</f>
        <v/>
      </c>
      <c r="K286" t="str">
        <f t="shared" ca="1" si="16"/>
        <v>Open</v>
      </c>
      <c r="L286" t="str" cm="1">
        <f t="array" aca="1" ref="L286" ca="1">INDEX(AnalystList,RANDBETWEEN(1,ROWS(AnalystList)))</f>
        <v>Taylor Smith</v>
      </c>
      <c r="M286" t="str" cm="1">
        <f t="array" aca="1" ref="M286" ca="1">INDEX(RootCauseList,RANDBETWEEN(1,ROWS(RootCauseList)))</f>
        <v>Configuration Issue</v>
      </c>
      <c r="N286">
        <f t="shared" ca="1" si="19"/>
        <v>7.74</v>
      </c>
      <c r="O286" t="str">
        <f ca="1">IF(OR(IncidentTable[[#This Row],[Status]]="Resolved",IncidentTable[[#This Row],[Status]]="Closed"),
ROUND(IncidentTable[[#This Row],[Estimated Impact ($)]]*(1+RANDBETWEEN(-15,25)/100)+RAND(),2),
"")</f>
        <v/>
      </c>
      <c r="P286" t="str">
        <f ca="1">IF(IncidentTable[[#This Row],[Actual Impact ($)]]="","",ROUND(IncidentTable[[#This Row],[Actual Impact ($)]]-IncidentTable[[#This Row],[Estimated Impact ($)]],2))</f>
        <v/>
      </c>
      <c r="Q286" s="2" t="str">
        <f ca="1">IF(IncidentTable[[#This Row],[Actual Impact ($)]]="","",(IncidentTable[[#This Row],[Actual Impact ($)]]-IncidentTable[[#This Row],[Estimated Impact ($)]]) / IncidentTable[[#This Row],[Estimated Impact ($)]])</f>
        <v/>
      </c>
      <c r="R286" s="3">
        <f ca="1">IF(IncidentTable[[#This Row],[Priority]]="Critical",1,
IF(IncidentTable[[#This Row],[Priority]]="High",3,
IF(IncidentTable[[#This Row],[Priority]]="Medium",5,
IF(IncidentTable[[#This Row],[Priority]]="Low",10,""))))</f>
        <v>5</v>
      </c>
      <c r="S286" t="str">
        <f ca="1">IF(IncidentTable[[#This Row],[Resolution Time (Days)]]="","",
IF(IncidentTable[[#This Row],[Resolution Time (Days)]]&lt;=IncidentTable[[#This Row],[SLA Target (Days)]],"Yes","No"))</f>
        <v/>
      </c>
    </row>
    <row r="287" spans="1:19" x14ac:dyDescent="0.25">
      <c r="A287" t="str">
        <f t="shared" ca="1" si="17"/>
        <v>INC535827</v>
      </c>
      <c r="B287" t="str" cm="1">
        <f t="array" aca="1" ref="B287" ca="1">INDEX(SystemList,RANDBETWEEN(1,ROWS(SystemList)))</f>
        <v>Payment Processing</v>
      </c>
      <c r="C287" t="str" cm="1">
        <f t="array" aca="1" ref="C287" ca="1">INDEX(IssueTypeList,RANDBETWEEN(1,ROWS(IssueTypeList)))</f>
        <v>Complaint</v>
      </c>
      <c r="D287" t="str" cm="1">
        <f t="array" aca="1" ref="D287" ca="1">INDEX(PriorityList,RANDBETWEEN(1,ROWS(PriorityList)))</f>
        <v>Medium</v>
      </c>
      <c r="E287" t="str" cm="1">
        <f t="array" aca="1" ref="E287" ca="1">INDEX(SeverityList,RANDBETWEEN(1,ROWS(SeverityList)))</f>
        <v>Moderate</v>
      </c>
      <c r="F287" t="str" cm="1">
        <f t="array" aca="1" ref="F287" ca="1">INDEX(RegionList,RANDBETWEEN(1,ROWS(RegionList)))</f>
        <v>Southeast</v>
      </c>
      <c r="G287" t="str" cm="1">
        <f t="array" aca="1" ref="G287" ca="1">INDEX(DepartmentList,RANDBETWEEN(1,ROWS(DepartmentList)))</f>
        <v>Finance</v>
      </c>
      <c r="H287" s="1">
        <f t="shared" ca="1" si="18"/>
        <v>45458</v>
      </c>
      <c r="I287" s="4">
        <f ca="1">IF(IncidentTable[[#This Row],[Resolution Time (Days)]]="","",IncidentTable[[#This Row],[Created Date]]+IncidentTable[[#This Row],[Resolution Time (Days)]])</f>
        <v>45468</v>
      </c>
      <c r="J287">
        <f ca="1">IF(OR(IncidentTable[[#This Row],[Status]]="Resolved",IncidentTable[[#This Row],[Status]]="Closed"),RANDBETWEEN(1,120),"")</f>
        <v>10</v>
      </c>
      <c r="K287" t="str">
        <f t="shared" ca="1" si="16"/>
        <v>Closed</v>
      </c>
      <c r="L287" t="str" cm="1">
        <f t="array" aca="1" ref="L287" ca="1">INDEX(AnalystList,RANDBETWEEN(1,ROWS(AnalystList)))</f>
        <v>Morgan Davis</v>
      </c>
      <c r="M287" t="str" cm="1">
        <f t="array" aca="1" ref="M287" ca="1">INDEX(RootCauseList,RANDBETWEEN(1,ROWS(RootCauseList)))</f>
        <v>Process Gap</v>
      </c>
      <c r="N287">
        <f t="shared" ca="1" si="19"/>
        <v>667.53</v>
      </c>
      <c r="O287">
        <f ca="1">IF(OR(IncidentTable[[#This Row],[Status]]="Resolved",IncidentTable[[#This Row],[Status]]="Closed"),
ROUND(IncidentTable[[#This Row],[Estimated Impact ($)]]*(1+RANDBETWEEN(-15,25)/100)+RAND(),2),
"")</f>
        <v>755.19</v>
      </c>
      <c r="P287">
        <f ca="1">IF(IncidentTable[[#This Row],[Actual Impact ($)]]="","",ROUND(IncidentTable[[#This Row],[Actual Impact ($)]]-IncidentTable[[#This Row],[Estimated Impact ($)]],2))</f>
        <v>87.66</v>
      </c>
      <c r="Q287" s="2">
        <f ca="1">IF(IncidentTable[[#This Row],[Actual Impact ($)]]="","",(IncidentTable[[#This Row],[Actual Impact ($)]]-IncidentTable[[#This Row],[Estimated Impact ($)]]) / IncidentTable[[#This Row],[Estimated Impact ($)]])</f>
        <v>0.13131994067682365</v>
      </c>
      <c r="R287" s="3">
        <f ca="1">IF(IncidentTable[[#This Row],[Priority]]="Critical",1,
IF(IncidentTable[[#This Row],[Priority]]="High",3,
IF(IncidentTable[[#This Row],[Priority]]="Medium",5,
IF(IncidentTable[[#This Row],[Priority]]="Low",10,""))))</f>
        <v>5</v>
      </c>
      <c r="S287" t="str">
        <f ca="1">IF(IncidentTable[[#This Row],[Resolution Time (Days)]]="","",
IF(IncidentTable[[#This Row],[Resolution Time (Days)]]&lt;=IncidentTable[[#This Row],[SLA Target (Days)]],"Yes","No"))</f>
        <v>No</v>
      </c>
    </row>
    <row r="288" spans="1:19" x14ac:dyDescent="0.25">
      <c r="A288" t="str">
        <f t="shared" ca="1" si="17"/>
        <v>INC300950</v>
      </c>
      <c r="B288" t="str" cm="1">
        <f t="array" aca="1" ref="B288" ca="1">INDEX(SystemList,RANDBETWEEN(1,ROWS(SystemList)))</f>
        <v>Reporting System</v>
      </c>
      <c r="C288" t="str" cm="1">
        <f t="array" aca="1" ref="C288" ca="1">INDEX(IssueTypeList,RANDBETWEEN(1,ROWS(IssueTypeList)))</f>
        <v>Data Issue</v>
      </c>
      <c r="D288" t="str" cm="1">
        <f t="array" aca="1" ref="D288" ca="1">INDEX(PriorityList,RANDBETWEEN(1,ROWS(PriorityList)))</f>
        <v>Critical</v>
      </c>
      <c r="E288" t="str" cm="1">
        <f t="array" aca="1" ref="E288" ca="1">INDEX(SeverityList,RANDBETWEEN(1,ROWS(SeverityList)))</f>
        <v>Major</v>
      </c>
      <c r="F288" t="str" cm="1">
        <f t="array" aca="1" ref="F288" ca="1">INDEX(RegionList,RANDBETWEEN(1,ROWS(RegionList)))</f>
        <v>West</v>
      </c>
      <c r="G288" t="str" cm="1">
        <f t="array" aca="1" ref="G288" ca="1">INDEX(DepartmentList,RANDBETWEEN(1,ROWS(DepartmentList)))</f>
        <v>IT</v>
      </c>
      <c r="H288" s="1">
        <f t="shared" ca="1" si="18"/>
        <v>44957</v>
      </c>
      <c r="I288" s="4" t="str">
        <f ca="1">IF(IncidentTable[[#This Row],[Resolution Time (Days)]]="","",IncidentTable[[#This Row],[Created Date]]+IncidentTable[[#This Row],[Resolution Time (Days)]])</f>
        <v/>
      </c>
      <c r="J288" t="str">
        <f ca="1">IF(OR(IncidentTable[[#This Row],[Status]]="Resolved",IncidentTable[[#This Row],[Status]]="Closed"),RANDBETWEEN(1,120),"")</f>
        <v/>
      </c>
      <c r="K288" t="str">
        <f t="shared" ca="1" si="16"/>
        <v>Pending</v>
      </c>
      <c r="L288" t="str" cm="1">
        <f t="array" aca="1" ref="L288" ca="1">INDEX(AnalystList,RANDBETWEEN(1,ROWS(AnalystList)))</f>
        <v>Taylor Smith</v>
      </c>
      <c r="M288" t="str" cm="1">
        <f t="array" aca="1" ref="M288" ca="1">INDEX(RootCauseList,RANDBETWEEN(1,ROWS(RootCauseList)))</f>
        <v>User Error</v>
      </c>
      <c r="N288">
        <f t="shared" ca="1" si="19"/>
        <v>3698.81</v>
      </c>
      <c r="O288" t="str">
        <f ca="1">IF(OR(IncidentTable[[#This Row],[Status]]="Resolved",IncidentTable[[#This Row],[Status]]="Closed"),
ROUND(IncidentTable[[#This Row],[Estimated Impact ($)]]*(1+RANDBETWEEN(-15,25)/100)+RAND(),2),
"")</f>
        <v/>
      </c>
      <c r="P288" t="str">
        <f ca="1">IF(IncidentTable[[#This Row],[Actual Impact ($)]]="","",ROUND(IncidentTable[[#This Row],[Actual Impact ($)]]-IncidentTable[[#This Row],[Estimated Impact ($)]],2))</f>
        <v/>
      </c>
      <c r="Q288" s="2" t="str">
        <f ca="1">IF(IncidentTable[[#This Row],[Actual Impact ($)]]="","",(IncidentTable[[#This Row],[Actual Impact ($)]]-IncidentTable[[#This Row],[Estimated Impact ($)]]) / IncidentTable[[#This Row],[Estimated Impact ($)]])</f>
        <v/>
      </c>
      <c r="R288" s="3">
        <f ca="1">IF(IncidentTable[[#This Row],[Priority]]="Critical",1,
IF(IncidentTable[[#This Row],[Priority]]="High",3,
IF(IncidentTable[[#This Row],[Priority]]="Medium",5,
IF(IncidentTable[[#This Row],[Priority]]="Low",10,""))))</f>
        <v>1</v>
      </c>
      <c r="S288" t="str">
        <f ca="1">IF(IncidentTable[[#This Row],[Resolution Time (Days)]]="","",
IF(IncidentTable[[#This Row],[Resolution Time (Days)]]&lt;=IncidentTable[[#This Row],[SLA Target (Days)]],"Yes","No"))</f>
        <v/>
      </c>
    </row>
    <row r="289" spans="1:19" x14ac:dyDescent="0.25">
      <c r="A289" t="str">
        <f t="shared" ca="1" si="17"/>
        <v>INC805011</v>
      </c>
      <c r="B289" t="str" cm="1">
        <f t="array" aca="1" ref="B289" ca="1">INDEX(SystemList,RANDBETWEEN(1,ROWS(SystemList)))</f>
        <v>Regulatory System</v>
      </c>
      <c r="C289" t="str" cm="1">
        <f t="array" aca="1" ref="C289" ca="1">INDEX(IssueTypeList,RANDBETWEEN(1,ROWS(IssueTypeList)))</f>
        <v>Data Issue</v>
      </c>
      <c r="D289" t="str" cm="1">
        <f t="array" aca="1" ref="D289" ca="1">INDEX(PriorityList,RANDBETWEEN(1,ROWS(PriorityList)))</f>
        <v>Medium</v>
      </c>
      <c r="E289" t="str" cm="1">
        <f t="array" aca="1" ref="E289" ca="1">INDEX(SeverityList,RANDBETWEEN(1,ROWS(SeverityList)))</f>
        <v>Major</v>
      </c>
      <c r="F289" t="str" cm="1">
        <f t="array" aca="1" ref="F289" ca="1">INDEX(RegionList,RANDBETWEEN(1,ROWS(RegionList)))</f>
        <v>Southeast</v>
      </c>
      <c r="G289" t="str" cm="1">
        <f t="array" aca="1" ref="G289" ca="1">INDEX(DepartmentList,RANDBETWEEN(1,ROWS(DepartmentList)))</f>
        <v>IT</v>
      </c>
      <c r="H289" s="1">
        <f t="shared" ca="1" si="18"/>
        <v>45192</v>
      </c>
      <c r="I289" s="4" t="str">
        <f ca="1">IF(IncidentTable[[#This Row],[Resolution Time (Days)]]="","",IncidentTable[[#This Row],[Created Date]]+IncidentTable[[#This Row],[Resolution Time (Days)]])</f>
        <v/>
      </c>
      <c r="J289" t="str">
        <f ca="1">IF(OR(IncidentTable[[#This Row],[Status]]="Resolved",IncidentTable[[#This Row],[Status]]="Closed"),RANDBETWEEN(1,120),"")</f>
        <v/>
      </c>
      <c r="K289" t="str">
        <f t="shared" ca="1" si="16"/>
        <v>In Progress</v>
      </c>
      <c r="L289" t="str" cm="1">
        <f t="array" aca="1" ref="L289" ca="1">INDEX(AnalystList,RANDBETWEEN(1,ROWS(AnalystList)))</f>
        <v>Morgan Davis</v>
      </c>
      <c r="M289" t="str" cm="1">
        <f t="array" aca="1" ref="M289" ca="1">INDEX(RootCauseList,RANDBETWEEN(1,ROWS(RootCauseList)))</f>
        <v>Unknown</v>
      </c>
      <c r="N289">
        <f t="shared" ca="1" si="19"/>
        <v>0.51</v>
      </c>
      <c r="O289" t="str">
        <f ca="1">IF(OR(IncidentTable[[#This Row],[Status]]="Resolved",IncidentTable[[#This Row],[Status]]="Closed"),
ROUND(IncidentTable[[#This Row],[Estimated Impact ($)]]*(1+RANDBETWEEN(-15,25)/100)+RAND(),2),
"")</f>
        <v/>
      </c>
      <c r="P289" t="str">
        <f ca="1">IF(IncidentTable[[#This Row],[Actual Impact ($)]]="","",ROUND(IncidentTable[[#This Row],[Actual Impact ($)]]-IncidentTable[[#This Row],[Estimated Impact ($)]],2))</f>
        <v/>
      </c>
      <c r="Q289" s="2" t="str">
        <f ca="1">IF(IncidentTable[[#This Row],[Actual Impact ($)]]="","",(IncidentTable[[#This Row],[Actual Impact ($)]]-IncidentTable[[#This Row],[Estimated Impact ($)]]) / IncidentTable[[#This Row],[Estimated Impact ($)]])</f>
        <v/>
      </c>
      <c r="R289" s="3">
        <f ca="1">IF(IncidentTable[[#This Row],[Priority]]="Critical",1,
IF(IncidentTable[[#This Row],[Priority]]="High",3,
IF(IncidentTable[[#This Row],[Priority]]="Medium",5,
IF(IncidentTable[[#This Row],[Priority]]="Low",10,""))))</f>
        <v>5</v>
      </c>
      <c r="S289" t="str">
        <f ca="1">IF(IncidentTable[[#This Row],[Resolution Time (Days)]]="","",
IF(IncidentTable[[#This Row],[Resolution Time (Days)]]&lt;=IncidentTable[[#This Row],[SLA Target (Days)]],"Yes","No"))</f>
        <v/>
      </c>
    </row>
    <row r="290" spans="1:19" x14ac:dyDescent="0.25">
      <c r="A290" t="str">
        <f t="shared" ca="1" si="17"/>
        <v>INC487633</v>
      </c>
      <c r="B290" t="str" cm="1">
        <f t="array" aca="1" ref="B290" ca="1">INDEX(SystemList,RANDBETWEEN(1,ROWS(SystemList)))</f>
        <v>Reporting System</v>
      </c>
      <c r="C290" t="str" cm="1">
        <f t="array" aca="1" ref="C290" ca="1">INDEX(IssueTypeList,RANDBETWEEN(1,ROWS(IssueTypeList)))</f>
        <v>Data Issue</v>
      </c>
      <c r="D290" t="str" cm="1">
        <f t="array" aca="1" ref="D290" ca="1">INDEX(PriorityList,RANDBETWEEN(1,ROWS(PriorityList)))</f>
        <v>Medium</v>
      </c>
      <c r="E290" t="str" cm="1">
        <f t="array" aca="1" ref="E290" ca="1">INDEX(SeverityList,RANDBETWEEN(1,ROWS(SeverityList)))</f>
        <v>Moderate</v>
      </c>
      <c r="F290" t="str" cm="1">
        <f t="array" aca="1" ref="F290" ca="1">INDEX(RegionList,RANDBETWEEN(1,ROWS(RegionList)))</f>
        <v>West</v>
      </c>
      <c r="G290" t="str" cm="1">
        <f t="array" aca="1" ref="G290" ca="1">INDEX(DepartmentList,RANDBETWEEN(1,ROWS(DepartmentList)))</f>
        <v>IT</v>
      </c>
      <c r="H290" s="1">
        <f t="shared" ca="1" si="18"/>
        <v>45149</v>
      </c>
      <c r="I290" s="4" t="str">
        <f ca="1">IF(IncidentTable[[#This Row],[Resolution Time (Days)]]="","",IncidentTable[[#This Row],[Created Date]]+IncidentTable[[#This Row],[Resolution Time (Days)]])</f>
        <v/>
      </c>
      <c r="J290" t="str">
        <f ca="1">IF(OR(IncidentTable[[#This Row],[Status]]="Resolved",IncidentTable[[#This Row],[Status]]="Closed"),RANDBETWEEN(1,120),"")</f>
        <v/>
      </c>
      <c r="K290" t="str">
        <f t="shared" ca="1" si="16"/>
        <v>Pending</v>
      </c>
      <c r="L290" t="str" cm="1">
        <f t="array" aca="1" ref="L290" ca="1">INDEX(AnalystList,RANDBETWEEN(1,ROWS(AnalystList)))</f>
        <v>Jordan Lee</v>
      </c>
      <c r="M290" t="str" cm="1">
        <f t="array" aca="1" ref="M290" ca="1">INDEX(RootCauseList,RANDBETWEEN(1,ROWS(RootCauseList)))</f>
        <v>Process Gap</v>
      </c>
      <c r="N290">
        <f t="shared" ca="1" si="19"/>
        <v>4352.6899999999996</v>
      </c>
      <c r="O290" t="str">
        <f ca="1">IF(OR(IncidentTable[[#This Row],[Status]]="Resolved",IncidentTable[[#This Row],[Status]]="Closed"),
ROUND(IncidentTable[[#This Row],[Estimated Impact ($)]]*(1+RANDBETWEEN(-15,25)/100)+RAND(),2),
"")</f>
        <v/>
      </c>
      <c r="P290" t="str">
        <f ca="1">IF(IncidentTable[[#This Row],[Actual Impact ($)]]="","",ROUND(IncidentTable[[#This Row],[Actual Impact ($)]]-IncidentTable[[#This Row],[Estimated Impact ($)]],2))</f>
        <v/>
      </c>
      <c r="Q290" s="2" t="str">
        <f ca="1">IF(IncidentTable[[#This Row],[Actual Impact ($)]]="","",(IncidentTable[[#This Row],[Actual Impact ($)]]-IncidentTable[[#This Row],[Estimated Impact ($)]]) / IncidentTable[[#This Row],[Estimated Impact ($)]])</f>
        <v/>
      </c>
      <c r="R290" s="3">
        <f ca="1">IF(IncidentTable[[#This Row],[Priority]]="Critical",1,
IF(IncidentTable[[#This Row],[Priority]]="High",3,
IF(IncidentTable[[#This Row],[Priority]]="Medium",5,
IF(IncidentTable[[#This Row],[Priority]]="Low",10,""))))</f>
        <v>5</v>
      </c>
      <c r="S290" t="str">
        <f ca="1">IF(IncidentTable[[#This Row],[Resolution Time (Days)]]="","",
IF(IncidentTable[[#This Row],[Resolution Time (Days)]]&lt;=IncidentTable[[#This Row],[SLA Target (Days)]],"Yes","No"))</f>
        <v/>
      </c>
    </row>
    <row r="291" spans="1:19" x14ac:dyDescent="0.25">
      <c r="A291" t="str">
        <f t="shared" ca="1" si="17"/>
        <v>INC475064</v>
      </c>
      <c r="B291" t="str" cm="1">
        <f t="array" aca="1" ref="B291" ca="1">INDEX(SystemList,RANDBETWEEN(1,ROWS(SystemList)))</f>
        <v>Policy Admin System</v>
      </c>
      <c r="C291" t="str" cm="1">
        <f t="array" aca="1" ref="C291" ca="1">INDEX(IssueTypeList,RANDBETWEEN(1,ROWS(IssueTypeList)))</f>
        <v>Integration Failure</v>
      </c>
      <c r="D291" t="str" cm="1">
        <f t="array" aca="1" ref="D291" ca="1">INDEX(PriorityList,RANDBETWEEN(1,ROWS(PriorityList)))</f>
        <v>Critical</v>
      </c>
      <c r="E291" t="str" cm="1">
        <f t="array" aca="1" ref="E291" ca="1">INDEX(SeverityList,RANDBETWEEN(1,ROWS(SeverityList)))</f>
        <v>Major</v>
      </c>
      <c r="F291" t="str" cm="1">
        <f t="array" aca="1" ref="F291" ca="1">INDEX(RegionList,RANDBETWEEN(1,ROWS(RegionList)))</f>
        <v>Central</v>
      </c>
      <c r="G291" t="str" cm="1">
        <f t="array" aca="1" ref="G291" ca="1">INDEX(DepartmentList,RANDBETWEEN(1,ROWS(DepartmentList)))</f>
        <v>Billing</v>
      </c>
      <c r="H291" s="1">
        <f t="shared" ca="1" si="18"/>
        <v>45101</v>
      </c>
      <c r="I291" s="4" t="str">
        <f ca="1">IF(IncidentTable[[#This Row],[Resolution Time (Days)]]="","",IncidentTable[[#This Row],[Created Date]]+IncidentTable[[#This Row],[Resolution Time (Days)]])</f>
        <v/>
      </c>
      <c r="J291" t="str">
        <f ca="1">IF(OR(IncidentTable[[#This Row],[Status]]="Resolved",IncidentTable[[#This Row],[Status]]="Closed"),RANDBETWEEN(1,120),"")</f>
        <v/>
      </c>
      <c r="K291" t="str">
        <f t="shared" ca="1" si="16"/>
        <v>Open</v>
      </c>
      <c r="L291" t="str" cm="1">
        <f t="array" aca="1" ref="L291" ca="1">INDEX(AnalystList,RANDBETWEEN(1,ROWS(AnalystList)))</f>
        <v>Casey Brown</v>
      </c>
      <c r="M291" t="str" cm="1">
        <f t="array" aca="1" ref="M291" ca="1">INDEX(RootCauseList,RANDBETWEEN(1,ROWS(RootCauseList)))</f>
        <v>Integration Failure</v>
      </c>
      <c r="N291">
        <f t="shared" ca="1" si="19"/>
        <v>1446.55</v>
      </c>
      <c r="O291" t="str">
        <f ca="1">IF(OR(IncidentTable[[#This Row],[Status]]="Resolved",IncidentTable[[#This Row],[Status]]="Closed"),
ROUND(IncidentTable[[#This Row],[Estimated Impact ($)]]*(1+RANDBETWEEN(-15,25)/100)+RAND(),2),
"")</f>
        <v/>
      </c>
      <c r="P291" t="str">
        <f ca="1">IF(IncidentTable[[#This Row],[Actual Impact ($)]]="","",ROUND(IncidentTable[[#This Row],[Actual Impact ($)]]-IncidentTable[[#This Row],[Estimated Impact ($)]],2))</f>
        <v/>
      </c>
      <c r="Q291" s="2" t="str">
        <f ca="1">IF(IncidentTable[[#This Row],[Actual Impact ($)]]="","",(IncidentTable[[#This Row],[Actual Impact ($)]]-IncidentTable[[#This Row],[Estimated Impact ($)]]) / IncidentTable[[#This Row],[Estimated Impact ($)]])</f>
        <v/>
      </c>
      <c r="R291" s="3">
        <f ca="1">IF(IncidentTable[[#This Row],[Priority]]="Critical",1,
IF(IncidentTable[[#This Row],[Priority]]="High",3,
IF(IncidentTable[[#This Row],[Priority]]="Medium",5,
IF(IncidentTable[[#This Row],[Priority]]="Low",10,""))))</f>
        <v>1</v>
      </c>
      <c r="S291" t="str">
        <f ca="1">IF(IncidentTable[[#This Row],[Resolution Time (Days)]]="","",
IF(IncidentTable[[#This Row],[Resolution Time (Days)]]&lt;=IncidentTable[[#This Row],[SLA Target (Days)]],"Yes","No"))</f>
        <v/>
      </c>
    </row>
    <row r="292" spans="1:19" x14ac:dyDescent="0.25">
      <c r="A292" t="str">
        <f t="shared" ca="1" si="17"/>
        <v>INC349765</v>
      </c>
      <c r="B292" t="str" cm="1">
        <f t="array" aca="1" ref="B292" ca="1">INDEX(SystemList,RANDBETWEEN(1,ROWS(SystemList)))</f>
        <v>Claims System</v>
      </c>
      <c r="C292" t="str" cm="1">
        <f t="array" aca="1" ref="C292" ca="1">INDEX(IssueTypeList,RANDBETWEEN(1,ROWS(IssueTypeList)))</f>
        <v>Payment Failure</v>
      </c>
      <c r="D292" t="str" cm="1">
        <f t="array" aca="1" ref="D292" ca="1">INDEX(PriorityList,RANDBETWEEN(1,ROWS(PriorityList)))</f>
        <v>Low</v>
      </c>
      <c r="E292" t="str" cm="1">
        <f t="array" aca="1" ref="E292" ca="1">INDEX(SeverityList,RANDBETWEEN(1,ROWS(SeverityList)))</f>
        <v>Critical</v>
      </c>
      <c r="F292" t="str" cm="1">
        <f t="array" aca="1" ref="F292" ca="1">INDEX(RegionList,RANDBETWEEN(1,ROWS(RegionList)))</f>
        <v>Midwest</v>
      </c>
      <c r="G292" t="str" cm="1">
        <f t="array" aca="1" ref="G292" ca="1">INDEX(DepartmentList,RANDBETWEEN(1,ROWS(DepartmentList)))</f>
        <v>Compliance</v>
      </c>
      <c r="H292" s="1">
        <f t="shared" ca="1" si="18"/>
        <v>45466</v>
      </c>
      <c r="I292" s="4" t="str">
        <f ca="1">IF(IncidentTable[[#This Row],[Resolution Time (Days)]]="","",IncidentTable[[#This Row],[Created Date]]+IncidentTable[[#This Row],[Resolution Time (Days)]])</f>
        <v/>
      </c>
      <c r="J292" t="str">
        <f ca="1">IF(OR(IncidentTable[[#This Row],[Status]]="Resolved",IncidentTable[[#This Row],[Status]]="Closed"),RANDBETWEEN(1,120),"")</f>
        <v/>
      </c>
      <c r="K292" t="str">
        <f t="shared" ca="1" si="16"/>
        <v>Open</v>
      </c>
      <c r="L292" t="str" cm="1">
        <f t="array" aca="1" ref="L292" ca="1">INDEX(AnalystList,RANDBETWEEN(1,ROWS(AnalystList)))</f>
        <v>Riley Wilson</v>
      </c>
      <c r="M292" t="str" cm="1">
        <f t="array" aca="1" ref="M292" ca="1">INDEX(RootCauseList,RANDBETWEEN(1,ROWS(RootCauseList)))</f>
        <v>Data Error</v>
      </c>
      <c r="N292">
        <f t="shared" ca="1" si="19"/>
        <v>6.49</v>
      </c>
      <c r="O292" t="str">
        <f ca="1">IF(OR(IncidentTable[[#This Row],[Status]]="Resolved",IncidentTable[[#This Row],[Status]]="Closed"),
ROUND(IncidentTable[[#This Row],[Estimated Impact ($)]]*(1+RANDBETWEEN(-15,25)/100)+RAND(),2),
"")</f>
        <v/>
      </c>
      <c r="P292" t="str">
        <f ca="1">IF(IncidentTable[[#This Row],[Actual Impact ($)]]="","",ROUND(IncidentTable[[#This Row],[Actual Impact ($)]]-IncidentTable[[#This Row],[Estimated Impact ($)]],2))</f>
        <v/>
      </c>
      <c r="Q292" s="2" t="str">
        <f ca="1">IF(IncidentTable[[#This Row],[Actual Impact ($)]]="","",(IncidentTable[[#This Row],[Actual Impact ($)]]-IncidentTable[[#This Row],[Estimated Impact ($)]]) / IncidentTable[[#This Row],[Estimated Impact ($)]])</f>
        <v/>
      </c>
      <c r="R292" s="3">
        <f ca="1">IF(IncidentTable[[#This Row],[Priority]]="Critical",1,
IF(IncidentTable[[#This Row],[Priority]]="High",3,
IF(IncidentTable[[#This Row],[Priority]]="Medium",5,
IF(IncidentTable[[#This Row],[Priority]]="Low",10,""))))</f>
        <v>10</v>
      </c>
      <c r="S292" t="str">
        <f ca="1">IF(IncidentTable[[#This Row],[Resolution Time (Days)]]="","",
IF(IncidentTable[[#This Row],[Resolution Time (Days)]]&lt;=IncidentTable[[#This Row],[SLA Target (Days)]],"Yes","No"))</f>
        <v/>
      </c>
    </row>
    <row r="293" spans="1:19" x14ac:dyDescent="0.25">
      <c r="A293" t="str">
        <f t="shared" ca="1" si="17"/>
        <v>INC546398</v>
      </c>
      <c r="B293" t="str" cm="1">
        <f t="array" aca="1" ref="B293" ca="1">INDEX(SystemList,RANDBETWEEN(1,ROWS(SystemList)))</f>
        <v>Policy Admin System</v>
      </c>
      <c r="C293" t="str" cm="1">
        <f t="array" aca="1" ref="C293" ca="1">INDEX(IssueTypeList,RANDBETWEEN(1,ROWS(IssueTypeList)))</f>
        <v>Complaint</v>
      </c>
      <c r="D293" t="str" cm="1">
        <f t="array" aca="1" ref="D293" ca="1">INDEX(PriorityList,RANDBETWEEN(1,ROWS(PriorityList)))</f>
        <v>Low</v>
      </c>
      <c r="E293" t="str" cm="1">
        <f t="array" aca="1" ref="E293" ca="1">INDEX(SeverityList,RANDBETWEEN(1,ROWS(SeverityList)))</f>
        <v>Minor</v>
      </c>
      <c r="F293" t="str" cm="1">
        <f t="array" aca="1" ref="F293" ca="1">INDEX(RegionList,RANDBETWEEN(1,ROWS(RegionList)))</f>
        <v>Central</v>
      </c>
      <c r="G293" t="str" cm="1">
        <f t="array" aca="1" ref="G293" ca="1">INDEX(DepartmentList,RANDBETWEEN(1,ROWS(DepartmentList)))</f>
        <v>Compliance</v>
      </c>
      <c r="H293" s="1">
        <f t="shared" ca="1" si="18"/>
        <v>45075</v>
      </c>
      <c r="I293" s="4">
        <f ca="1">IF(IncidentTable[[#This Row],[Resolution Time (Days)]]="","",IncidentTable[[#This Row],[Created Date]]+IncidentTable[[#This Row],[Resolution Time (Days)]])</f>
        <v>45135</v>
      </c>
      <c r="J293">
        <f ca="1">IF(OR(IncidentTable[[#This Row],[Status]]="Resolved",IncidentTable[[#This Row],[Status]]="Closed"),RANDBETWEEN(1,120),"")</f>
        <v>60</v>
      </c>
      <c r="K293" t="str">
        <f t="shared" ca="1" si="16"/>
        <v>Closed</v>
      </c>
      <c r="L293" t="str" cm="1">
        <f t="array" aca="1" ref="L293" ca="1">INDEX(AnalystList,RANDBETWEEN(1,ROWS(AnalystList)))</f>
        <v>Morgan Davis</v>
      </c>
      <c r="M293" t="str" cm="1">
        <f t="array" aca="1" ref="M293" ca="1">INDEX(RootCauseList,RANDBETWEEN(1,ROWS(RootCauseList)))</f>
        <v>Network Failure</v>
      </c>
      <c r="N293">
        <f t="shared" ca="1" si="19"/>
        <v>2245.04</v>
      </c>
      <c r="O293">
        <f ca="1">IF(OR(IncidentTable[[#This Row],[Status]]="Resolved",IncidentTable[[#This Row],[Status]]="Closed"),
ROUND(IncidentTable[[#This Row],[Estimated Impact ($)]]*(1+RANDBETWEEN(-15,25)/100)+RAND(),2),
"")</f>
        <v>2133.65</v>
      </c>
      <c r="P293">
        <f ca="1">IF(IncidentTable[[#This Row],[Actual Impact ($)]]="","",ROUND(IncidentTable[[#This Row],[Actual Impact ($)]]-IncidentTable[[#This Row],[Estimated Impact ($)]],2))</f>
        <v>-111.39</v>
      </c>
      <c r="Q293" s="2">
        <f ca="1">IF(IncidentTable[[#This Row],[Actual Impact ($)]]="","",(IncidentTable[[#This Row],[Actual Impact ($)]]-IncidentTable[[#This Row],[Estimated Impact ($)]]) / IncidentTable[[#This Row],[Estimated Impact ($)]])</f>
        <v>-4.9616042475857838E-2</v>
      </c>
      <c r="R293" s="3">
        <f ca="1">IF(IncidentTable[[#This Row],[Priority]]="Critical",1,
IF(IncidentTable[[#This Row],[Priority]]="High",3,
IF(IncidentTable[[#This Row],[Priority]]="Medium",5,
IF(IncidentTable[[#This Row],[Priority]]="Low",10,""))))</f>
        <v>10</v>
      </c>
      <c r="S293" t="str">
        <f ca="1">IF(IncidentTable[[#This Row],[Resolution Time (Days)]]="","",
IF(IncidentTable[[#This Row],[Resolution Time (Days)]]&lt;=IncidentTable[[#This Row],[SLA Target (Days)]],"Yes","No"))</f>
        <v>No</v>
      </c>
    </row>
    <row r="294" spans="1:19" x14ac:dyDescent="0.25">
      <c r="A294" t="str">
        <f t="shared" ca="1" si="17"/>
        <v>INC816022</v>
      </c>
      <c r="B294" t="str" cm="1">
        <f t="array" aca="1" ref="B294" ca="1">INDEX(SystemList,RANDBETWEEN(1,ROWS(SystemList)))</f>
        <v>Reporting System</v>
      </c>
      <c r="C294" t="str" cm="1">
        <f t="array" aca="1" ref="C294" ca="1">INDEX(IssueTypeList,RANDBETWEEN(1,ROWS(IssueTypeList)))</f>
        <v>Performance Issue</v>
      </c>
      <c r="D294" t="str" cm="1">
        <f t="array" aca="1" ref="D294" ca="1">INDEX(PriorityList,RANDBETWEEN(1,ROWS(PriorityList)))</f>
        <v>Low</v>
      </c>
      <c r="E294" t="str" cm="1">
        <f t="array" aca="1" ref="E294" ca="1">INDEX(SeverityList,RANDBETWEEN(1,ROWS(SeverityList)))</f>
        <v>Minor</v>
      </c>
      <c r="F294" t="str" cm="1">
        <f t="array" aca="1" ref="F294" ca="1">INDEX(RegionList,RANDBETWEEN(1,ROWS(RegionList)))</f>
        <v>Southeast</v>
      </c>
      <c r="G294" t="str" cm="1">
        <f t="array" aca="1" ref="G294" ca="1">INDEX(DepartmentList,RANDBETWEEN(1,ROWS(DepartmentList)))</f>
        <v>Compliance</v>
      </c>
      <c r="H294" s="1">
        <f t="shared" ca="1" si="18"/>
        <v>45212</v>
      </c>
      <c r="I294" s="4" t="str">
        <f ca="1">IF(IncidentTable[[#This Row],[Resolution Time (Days)]]="","",IncidentTable[[#This Row],[Created Date]]+IncidentTable[[#This Row],[Resolution Time (Days)]])</f>
        <v/>
      </c>
      <c r="J294" t="str">
        <f ca="1">IF(OR(IncidentTable[[#This Row],[Status]]="Resolved",IncidentTable[[#This Row],[Status]]="Closed"),RANDBETWEEN(1,120),"")</f>
        <v/>
      </c>
      <c r="K294" t="str">
        <f t="shared" ca="1" si="16"/>
        <v>In Progress</v>
      </c>
      <c r="L294" t="str" cm="1">
        <f t="array" aca="1" ref="L294" ca="1">INDEX(AnalystList,RANDBETWEEN(1,ROWS(AnalystList)))</f>
        <v>Casey Brown</v>
      </c>
      <c r="M294" t="str" cm="1">
        <f t="array" aca="1" ref="M294" ca="1">INDEX(RootCauseList,RANDBETWEEN(1,ROWS(RootCauseList)))</f>
        <v>Process Gap</v>
      </c>
      <c r="N294">
        <f t="shared" ca="1" si="19"/>
        <v>3485.24</v>
      </c>
      <c r="O294" t="str">
        <f ca="1">IF(OR(IncidentTable[[#This Row],[Status]]="Resolved",IncidentTable[[#This Row],[Status]]="Closed"),
ROUND(IncidentTable[[#This Row],[Estimated Impact ($)]]*(1+RANDBETWEEN(-15,25)/100)+RAND(),2),
"")</f>
        <v/>
      </c>
      <c r="P294" t="str">
        <f ca="1">IF(IncidentTable[[#This Row],[Actual Impact ($)]]="","",ROUND(IncidentTable[[#This Row],[Actual Impact ($)]]-IncidentTable[[#This Row],[Estimated Impact ($)]],2))</f>
        <v/>
      </c>
      <c r="Q294" s="2" t="str">
        <f ca="1">IF(IncidentTable[[#This Row],[Actual Impact ($)]]="","",(IncidentTable[[#This Row],[Actual Impact ($)]]-IncidentTable[[#This Row],[Estimated Impact ($)]]) / IncidentTable[[#This Row],[Estimated Impact ($)]])</f>
        <v/>
      </c>
      <c r="R294" s="3">
        <f ca="1">IF(IncidentTable[[#This Row],[Priority]]="Critical",1,
IF(IncidentTable[[#This Row],[Priority]]="High",3,
IF(IncidentTable[[#This Row],[Priority]]="Medium",5,
IF(IncidentTable[[#This Row],[Priority]]="Low",10,""))))</f>
        <v>10</v>
      </c>
      <c r="S294" t="str">
        <f ca="1">IF(IncidentTable[[#This Row],[Resolution Time (Days)]]="","",
IF(IncidentTable[[#This Row],[Resolution Time (Days)]]&lt;=IncidentTable[[#This Row],[SLA Target (Days)]],"Yes","No"))</f>
        <v/>
      </c>
    </row>
    <row r="295" spans="1:19" x14ac:dyDescent="0.25">
      <c r="A295" t="str">
        <f t="shared" ca="1" si="17"/>
        <v>INC107398</v>
      </c>
      <c r="B295" t="str" cm="1">
        <f t="array" aca="1" ref="B295" ca="1">INDEX(SystemList,RANDBETWEEN(1,ROWS(SystemList)))</f>
        <v>Regulatory System</v>
      </c>
      <c r="C295" t="str" cm="1">
        <f t="array" aca="1" ref="C295" ca="1">INDEX(IssueTypeList,RANDBETWEEN(1,ROWS(IssueTypeList)))</f>
        <v>Complaint</v>
      </c>
      <c r="D295" t="str" cm="1">
        <f t="array" aca="1" ref="D295" ca="1">INDEX(PriorityList,RANDBETWEEN(1,ROWS(PriorityList)))</f>
        <v>High</v>
      </c>
      <c r="E295" t="str" cm="1">
        <f t="array" aca="1" ref="E295" ca="1">INDEX(SeverityList,RANDBETWEEN(1,ROWS(SeverityList)))</f>
        <v>Minor</v>
      </c>
      <c r="F295" t="str" cm="1">
        <f t="array" aca="1" ref="F295" ca="1">INDEX(RegionList,RANDBETWEEN(1,ROWS(RegionList)))</f>
        <v>Central</v>
      </c>
      <c r="G295" t="str" cm="1">
        <f t="array" aca="1" ref="G295" ca="1">INDEX(DepartmentList,RANDBETWEEN(1,ROWS(DepartmentList)))</f>
        <v>IT</v>
      </c>
      <c r="H295" s="1">
        <f t="shared" ca="1" si="18"/>
        <v>44936</v>
      </c>
      <c r="I295" s="4" t="str">
        <f ca="1">IF(IncidentTable[[#This Row],[Resolution Time (Days)]]="","",IncidentTable[[#This Row],[Created Date]]+IncidentTable[[#This Row],[Resolution Time (Days)]])</f>
        <v/>
      </c>
      <c r="J295" t="str">
        <f ca="1">IF(OR(IncidentTable[[#This Row],[Status]]="Resolved",IncidentTable[[#This Row],[Status]]="Closed"),RANDBETWEEN(1,120),"")</f>
        <v/>
      </c>
      <c r="K295" t="str">
        <f t="shared" ca="1" si="16"/>
        <v>Open</v>
      </c>
      <c r="L295" t="str" cm="1">
        <f t="array" aca="1" ref="L295" ca="1">INDEX(AnalystList,RANDBETWEEN(1,ROWS(AnalystList)))</f>
        <v>Morgan Davis</v>
      </c>
      <c r="M295" t="str" cm="1">
        <f t="array" aca="1" ref="M295" ca="1">INDEX(RootCauseList,RANDBETWEEN(1,ROWS(RootCauseList)))</f>
        <v>User Error</v>
      </c>
      <c r="N295">
        <f t="shared" ca="1" si="19"/>
        <v>23.52</v>
      </c>
      <c r="O295" t="str">
        <f ca="1">IF(OR(IncidentTable[[#This Row],[Status]]="Resolved",IncidentTable[[#This Row],[Status]]="Closed"),
ROUND(IncidentTable[[#This Row],[Estimated Impact ($)]]*(1+RANDBETWEEN(-15,25)/100)+RAND(),2),
"")</f>
        <v/>
      </c>
      <c r="P295" t="str">
        <f ca="1">IF(IncidentTable[[#This Row],[Actual Impact ($)]]="","",ROUND(IncidentTable[[#This Row],[Actual Impact ($)]]-IncidentTable[[#This Row],[Estimated Impact ($)]],2))</f>
        <v/>
      </c>
      <c r="Q295" s="2" t="str">
        <f ca="1">IF(IncidentTable[[#This Row],[Actual Impact ($)]]="","",(IncidentTable[[#This Row],[Actual Impact ($)]]-IncidentTable[[#This Row],[Estimated Impact ($)]]) / IncidentTable[[#This Row],[Estimated Impact ($)]])</f>
        <v/>
      </c>
      <c r="R295" s="3">
        <f ca="1">IF(IncidentTable[[#This Row],[Priority]]="Critical",1,
IF(IncidentTable[[#This Row],[Priority]]="High",3,
IF(IncidentTable[[#This Row],[Priority]]="Medium",5,
IF(IncidentTable[[#This Row],[Priority]]="Low",10,""))))</f>
        <v>3</v>
      </c>
      <c r="S295" t="str">
        <f ca="1">IF(IncidentTable[[#This Row],[Resolution Time (Days)]]="","",
IF(IncidentTable[[#This Row],[Resolution Time (Days)]]&lt;=IncidentTable[[#This Row],[SLA Target (Days)]],"Yes","No"))</f>
        <v/>
      </c>
    </row>
    <row r="296" spans="1:19" x14ac:dyDescent="0.25">
      <c r="A296" t="str">
        <f t="shared" ca="1" si="17"/>
        <v>INC162649</v>
      </c>
      <c r="B296" t="str" cm="1">
        <f t="array" aca="1" ref="B296" ca="1">INDEX(SystemList,RANDBETWEEN(1,ROWS(SystemList)))</f>
        <v>Regulatory System</v>
      </c>
      <c r="C296" t="str" cm="1">
        <f t="array" aca="1" ref="C296" ca="1">INDEX(IssueTypeList,RANDBETWEEN(1,ROWS(IssueTypeList)))</f>
        <v>System Error</v>
      </c>
      <c r="D296" t="str" cm="1">
        <f t="array" aca="1" ref="D296" ca="1">INDEX(PriorityList,RANDBETWEEN(1,ROWS(PriorityList)))</f>
        <v>Medium</v>
      </c>
      <c r="E296" t="str" cm="1">
        <f t="array" aca="1" ref="E296" ca="1">INDEX(SeverityList,RANDBETWEEN(1,ROWS(SeverityList)))</f>
        <v>Minor</v>
      </c>
      <c r="F296" t="str" cm="1">
        <f t="array" aca="1" ref="F296" ca="1">INDEX(RegionList,RANDBETWEEN(1,ROWS(RegionList)))</f>
        <v>East</v>
      </c>
      <c r="G296" t="str" cm="1">
        <f t="array" aca="1" ref="G296" ca="1">INDEX(DepartmentList,RANDBETWEEN(1,ROWS(DepartmentList)))</f>
        <v>Customer Service</v>
      </c>
      <c r="H296" s="1">
        <f t="shared" ca="1" si="18"/>
        <v>44967</v>
      </c>
      <c r="I296" s="4" t="str">
        <f ca="1">IF(IncidentTable[[#This Row],[Resolution Time (Days)]]="","",IncidentTable[[#This Row],[Created Date]]+IncidentTable[[#This Row],[Resolution Time (Days)]])</f>
        <v/>
      </c>
      <c r="J296" t="str">
        <f ca="1">IF(OR(IncidentTable[[#This Row],[Status]]="Resolved",IncidentTable[[#This Row],[Status]]="Closed"),RANDBETWEEN(1,120),"")</f>
        <v/>
      </c>
      <c r="K296" t="str">
        <f t="shared" ca="1" si="16"/>
        <v>In Progress</v>
      </c>
      <c r="L296" t="str" cm="1">
        <f t="array" aca="1" ref="L296" ca="1">INDEX(AnalystList,RANDBETWEEN(1,ROWS(AnalystList)))</f>
        <v>Alex Johnson</v>
      </c>
      <c r="M296" t="str" cm="1">
        <f t="array" aca="1" ref="M296" ca="1">INDEX(RootCauseList,RANDBETWEEN(1,ROWS(RootCauseList)))</f>
        <v>Configuration Issue</v>
      </c>
      <c r="N296">
        <f t="shared" ca="1" si="19"/>
        <v>295.95999999999998</v>
      </c>
      <c r="O296" t="str">
        <f ca="1">IF(OR(IncidentTable[[#This Row],[Status]]="Resolved",IncidentTable[[#This Row],[Status]]="Closed"),
ROUND(IncidentTable[[#This Row],[Estimated Impact ($)]]*(1+RANDBETWEEN(-15,25)/100)+RAND(),2),
"")</f>
        <v/>
      </c>
      <c r="P296" t="str">
        <f ca="1">IF(IncidentTable[[#This Row],[Actual Impact ($)]]="","",ROUND(IncidentTable[[#This Row],[Actual Impact ($)]]-IncidentTable[[#This Row],[Estimated Impact ($)]],2))</f>
        <v/>
      </c>
      <c r="Q296" s="2" t="str">
        <f ca="1">IF(IncidentTable[[#This Row],[Actual Impact ($)]]="","",(IncidentTable[[#This Row],[Actual Impact ($)]]-IncidentTable[[#This Row],[Estimated Impact ($)]]) / IncidentTable[[#This Row],[Estimated Impact ($)]])</f>
        <v/>
      </c>
      <c r="R296" s="3">
        <f ca="1">IF(IncidentTable[[#This Row],[Priority]]="Critical",1,
IF(IncidentTable[[#This Row],[Priority]]="High",3,
IF(IncidentTable[[#This Row],[Priority]]="Medium",5,
IF(IncidentTable[[#This Row],[Priority]]="Low",10,""))))</f>
        <v>5</v>
      </c>
      <c r="S296" t="str">
        <f ca="1">IF(IncidentTable[[#This Row],[Resolution Time (Days)]]="","",
IF(IncidentTable[[#This Row],[Resolution Time (Days)]]&lt;=IncidentTable[[#This Row],[SLA Target (Days)]],"Yes","No"))</f>
        <v/>
      </c>
    </row>
    <row r="297" spans="1:19" x14ac:dyDescent="0.25">
      <c r="A297" t="str">
        <f t="shared" ca="1" si="17"/>
        <v>INC425512</v>
      </c>
      <c r="B297" t="str" cm="1">
        <f t="array" aca="1" ref="B297" ca="1">INDEX(SystemList,RANDBETWEEN(1,ROWS(SystemList)))</f>
        <v>Policy Admin System</v>
      </c>
      <c r="C297" t="str" cm="1">
        <f t="array" aca="1" ref="C297" ca="1">INDEX(IssueTypeList,RANDBETWEEN(1,ROWS(IssueTypeList)))</f>
        <v>Performance Issue</v>
      </c>
      <c r="D297" t="str" cm="1">
        <f t="array" aca="1" ref="D297" ca="1">INDEX(PriorityList,RANDBETWEEN(1,ROWS(PriorityList)))</f>
        <v>Medium</v>
      </c>
      <c r="E297" t="str" cm="1">
        <f t="array" aca="1" ref="E297" ca="1">INDEX(SeverityList,RANDBETWEEN(1,ROWS(SeverityList)))</f>
        <v>Major</v>
      </c>
      <c r="F297" t="str" cm="1">
        <f t="array" aca="1" ref="F297" ca="1">INDEX(RegionList,RANDBETWEEN(1,ROWS(RegionList)))</f>
        <v>Central</v>
      </c>
      <c r="G297" t="str" cm="1">
        <f t="array" aca="1" ref="G297" ca="1">INDEX(DepartmentList,RANDBETWEEN(1,ROWS(DepartmentList)))</f>
        <v>Compliance</v>
      </c>
      <c r="H297" s="1">
        <f t="shared" ca="1" si="18"/>
        <v>45114</v>
      </c>
      <c r="I297" s="4" t="str">
        <f ca="1">IF(IncidentTable[[#This Row],[Resolution Time (Days)]]="","",IncidentTable[[#This Row],[Created Date]]+IncidentTable[[#This Row],[Resolution Time (Days)]])</f>
        <v/>
      </c>
      <c r="J297" t="str">
        <f ca="1">IF(OR(IncidentTable[[#This Row],[Status]]="Resolved",IncidentTable[[#This Row],[Status]]="Closed"),RANDBETWEEN(1,120),"")</f>
        <v/>
      </c>
      <c r="K297" t="str">
        <f t="shared" ca="1" si="16"/>
        <v>In Progress</v>
      </c>
      <c r="L297" t="str" cm="1">
        <f t="array" aca="1" ref="L297" ca="1">INDEX(AnalystList,RANDBETWEEN(1,ROWS(AnalystList)))</f>
        <v>Jordan Lee</v>
      </c>
      <c r="M297" t="str" cm="1">
        <f t="array" aca="1" ref="M297" ca="1">INDEX(RootCauseList,RANDBETWEEN(1,ROWS(RootCauseList)))</f>
        <v>System Bug</v>
      </c>
      <c r="N297">
        <f t="shared" ca="1" si="19"/>
        <v>8131.48</v>
      </c>
      <c r="O297" t="str">
        <f ca="1">IF(OR(IncidentTable[[#This Row],[Status]]="Resolved",IncidentTable[[#This Row],[Status]]="Closed"),
ROUND(IncidentTable[[#This Row],[Estimated Impact ($)]]*(1+RANDBETWEEN(-15,25)/100)+RAND(),2),
"")</f>
        <v/>
      </c>
      <c r="P297" t="str">
        <f ca="1">IF(IncidentTable[[#This Row],[Actual Impact ($)]]="","",ROUND(IncidentTable[[#This Row],[Actual Impact ($)]]-IncidentTable[[#This Row],[Estimated Impact ($)]],2))</f>
        <v/>
      </c>
      <c r="Q297" s="2" t="str">
        <f ca="1">IF(IncidentTable[[#This Row],[Actual Impact ($)]]="","",(IncidentTable[[#This Row],[Actual Impact ($)]]-IncidentTable[[#This Row],[Estimated Impact ($)]]) / IncidentTable[[#This Row],[Estimated Impact ($)]])</f>
        <v/>
      </c>
      <c r="R297" s="3">
        <f ca="1">IF(IncidentTable[[#This Row],[Priority]]="Critical",1,
IF(IncidentTable[[#This Row],[Priority]]="High",3,
IF(IncidentTable[[#This Row],[Priority]]="Medium",5,
IF(IncidentTable[[#This Row],[Priority]]="Low",10,""))))</f>
        <v>5</v>
      </c>
      <c r="S297" t="str">
        <f ca="1">IF(IncidentTable[[#This Row],[Resolution Time (Days)]]="","",
IF(IncidentTable[[#This Row],[Resolution Time (Days)]]&lt;=IncidentTable[[#This Row],[SLA Target (Days)]],"Yes","No"))</f>
        <v/>
      </c>
    </row>
    <row r="298" spans="1:19" x14ac:dyDescent="0.25">
      <c r="A298" t="str">
        <f t="shared" ca="1" si="17"/>
        <v>INC310107</v>
      </c>
      <c r="B298" t="str" cm="1">
        <f t="array" aca="1" ref="B298" ca="1">INDEX(SystemList,RANDBETWEEN(1,ROWS(SystemList)))</f>
        <v>Customer Portal</v>
      </c>
      <c r="C298" t="str" cm="1">
        <f t="array" aca="1" ref="C298" ca="1">INDEX(IssueTypeList,RANDBETWEEN(1,ROWS(IssueTypeList)))</f>
        <v>Integration Failure</v>
      </c>
      <c r="D298" t="str" cm="1">
        <f t="array" aca="1" ref="D298" ca="1">INDEX(PriorityList,RANDBETWEEN(1,ROWS(PriorityList)))</f>
        <v>Medium</v>
      </c>
      <c r="E298" t="str" cm="1">
        <f t="array" aca="1" ref="E298" ca="1">INDEX(SeverityList,RANDBETWEEN(1,ROWS(SeverityList)))</f>
        <v>Minor</v>
      </c>
      <c r="F298" t="str" cm="1">
        <f t="array" aca="1" ref="F298" ca="1">INDEX(RegionList,RANDBETWEEN(1,ROWS(RegionList)))</f>
        <v>East</v>
      </c>
      <c r="G298" t="str" cm="1">
        <f t="array" aca="1" ref="G298" ca="1">INDEX(DepartmentList,RANDBETWEEN(1,ROWS(DepartmentList)))</f>
        <v>Finance</v>
      </c>
      <c r="H298" s="1">
        <f t="shared" ca="1" si="18"/>
        <v>45267</v>
      </c>
      <c r="I298" s="4">
        <f ca="1">IF(IncidentTable[[#This Row],[Resolution Time (Days)]]="","",IncidentTable[[#This Row],[Created Date]]+IncidentTable[[#This Row],[Resolution Time (Days)]])</f>
        <v>45373</v>
      </c>
      <c r="J298">
        <f ca="1">IF(OR(IncidentTable[[#This Row],[Status]]="Resolved",IncidentTable[[#This Row],[Status]]="Closed"),RANDBETWEEN(1,120),"")</f>
        <v>106</v>
      </c>
      <c r="K298" t="str">
        <f t="shared" ca="1" si="16"/>
        <v>Closed</v>
      </c>
      <c r="L298" t="str" cm="1">
        <f t="array" aca="1" ref="L298" ca="1">INDEX(AnalystList,RANDBETWEEN(1,ROWS(AnalystList)))</f>
        <v>Taylor Smith</v>
      </c>
      <c r="M298" t="str" cm="1">
        <f t="array" aca="1" ref="M298" ca="1">INDEX(RootCauseList,RANDBETWEEN(1,ROWS(RootCauseList)))</f>
        <v>System Bug</v>
      </c>
      <c r="N298">
        <f t="shared" ca="1" si="19"/>
        <v>3461.36</v>
      </c>
      <c r="O298">
        <f ca="1">IF(OR(IncidentTable[[#This Row],[Status]]="Resolved",IncidentTable[[#This Row],[Status]]="Closed"),
ROUND(IncidentTable[[#This Row],[Estimated Impact ($)]]*(1+RANDBETWEEN(-15,25)/100)+RAND(),2),
"")</f>
        <v>3530.68</v>
      </c>
      <c r="P298">
        <f ca="1">IF(IncidentTable[[#This Row],[Actual Impact ($)]]="","",ROUND(IncidentTable[[#This Row],[Actual Impact ($)]]-IncidentTable[[#This Row],[Estimated Impact ($)]],2))</f>
        <v>69.319999999999993</v>
      </c>
      <c r="Q298" s="2">
        <f ca="1">IF(IncidentTable[[#This Row],[Actual Impact ($)]]="","",(IncidentTable[[#This Row],[Actual Impact ($)]]-IncidentTable[[#This Row],[Estimated Impact ($)]]) / IncidentTable[[#This Row],[Estimated Impact ($)]])</f>
        <v>2.0026810271107226E-2</v>
      </c>
      <c r="R298" s="3">
        <f ca="1">IF(IncidentTable[[#This Row],[Priority]]="Critical",1,
IF(IncidentTable[[#This Row],[Priority]]="High",3,
IF(IncidentTable[[#This Row],[Priority]]="Medium",5,
IF(IncidentTable[[#This Row],[Priority]]="Low",10,""))))</f>
        <v>5</v>
      </c>
      <c r="S298" t="str">
        <f ca="1">IF(IncidentTable[[#This Row],[Resolution Time (Days)]]="","",
IF(IncidentTable[[#This Row],[Resolution Time (Days)]]&lt;=IncidentTable[[#This Row],[SLA Target (Days)]],"Yes","No"))</f>
        <v>No</v>
      </c>
    </row>
    <row r="299" spans="1:19" x14ac:dyDescent="0.25">
      <c r="A299" t="str">
        <f t="shared" ca="1" si="17"/>
        <v>INC246794</v>
      </c>
      <c r="B299" t="str" cm="1">
        <f t="array" aca="1" ref="B299" ca="1">INDEX(SystemList,RANDBETWEEN(1,ROWS(SystemList)))</f>
        <v>Regulatory System</v>
      </c>
      <c r="C299" t="str" cm="1">
        <f t="array" aca="1" ref="C299" ca="1">INDEX(IssueTypeList,RANDBETWEEN(1,ROWS(IssueTypeList)))</f>
        <v>Integration Failure</v>
      </c>
      <c r="D299" t="str" cm="1">
        <f t="array" aca="1" ref="D299" ca="1">INDEX(PriorityList,RANDBETWEEN(1,ROWS(PriorityList)))</f>
        <v>Medium</v>
      </c>
      <c r="E299" t="str" cm="1">
        <f t="array" aca="1" ref="E299" ca="1">INDEX(SeverityList,RANDBETWEEN(1,ROWS(SeverityList)))</f>
        <v>Major</v>
      </c>
      <c r="F299" t="str" cm="1">
        <f t="array" aca="1" ref="F299" ca="1">INDEX(RegionList,RANDBETWEEN(1,ROWS(RegionList)))</f>
        <v>West</v>
      </c>
      <c r="G299" t="str" cm="1">
        <f t="array" aca="1" ref="G299" ca="1">INDEX(DepartmentList,RANDBETWEEN(1,ROWS(DepartmentList)))</f>
        <v>Finance</v>
      </c>
      <c r="H299" s="1">
        <f t="shared" ca="1" si="18"/>
        <v>45121</v>
      </c>
      <c r="I299" s="4" t="str">
        <f ca="1">IF(IncidentTable[[#This Row],[Resolution Time (Days)]]="","",IncidentTable[[#This Row],[Created Date]]+IncidentTable[[#This Row],[Resolution Time (Days)]])</f>
        <v/>
      </c>
      <c r="J299" t="str">
        <f ca="1">IF(OR(IncidentTable[[#This Row],[Status]]="Resolved",IncidentTable[[#This Row],[Status]]="Closed"),RANDBETWEEN(1,120),"")</f>
        <v/>
      </c>
      <c r="K299" t="str">
        <f t="shared" ca="1" si="16"/>
        <v>Pending</v>
      </c>
      <c r="L299" t="str" cm="1">
        <f t="array" aca="1" ref="L299" ca="1">INDEX(AnalystList,RANDBETWEEN(1,ROWS(AnalystList)))</f>
        <v>Riley Wilson</v>
      </c>
      <c r="M299" t="str" cm="1">
        <f t="array" aca="1" ref="M299" ca="1">INDEX(RootCauseList,RANDBETWEEN(1,ROWS(RootCauseList)))</f>
        <v>Process Gap</v>
      </c>
      <c r="N299">
        <f t="shared" ca="1" si="19"/>
        <v>6287.71</v>
      </c>
      <c r="O299" t="str">
        <f ca="1">IF(OR(IncidentTable[[#This Row],[Status]]="Resolved",IncidentTable[[#This Row],[Status]]="Closed"),
ROUND(IncidentTable[[#This Row],[Estimated Impact ($)]]*(1+RANDBETWEEN(-15,25)/100)+RAND(),2),
"")</f>
        <v/>
      </c>
      <c r="P299" t="str">
        <f ca="1">IF(IncidentTable[[#This Row],[Actual Impact ($)]]="","",ROUND(IncidentTable[[#This Row],[Actual Impact ($)]]-IncidentTable[[#This Row],[Estimated Impact ($)]],2))</f>
        <v/>
      </c>
      <c r="Q299" s="2" t="str">
        <f ca="1">IF(IncidentTable[[#This Row],[Actual Impact ($)]]="","",(IncidentTable[[#This Row],[Actual Impact ($)]]-IncidentTable[[#This Row],[Estimated Impact ($)]]) / IncidentTable[[#This Row],[Estimated Impact ($)]])</f>
        <v/>
      </c>
      <c r="R299" s="3">
        <f ca="1">IF(IncidentTable[[#This Row],[Priority]]="Critical",1,
IF(IncidentTable[[#This Row],[Priority]]="High",3,
IF(IncidentTable[[#This Row],[Priority]]="Medium",5,
IF(IncidentTable[[#This Row],[Priority]]="Low",10,""))))</f>
        <v>5</v>
      </c>
      <c r="S299" t="str">
        <f ca="1">IF(IncidentTable[[#This Row],[Resolution Time (Days)]]="","",
IF(IncidentTable[[#This Row],[Resolution Time (Days)]]&lt;=IncidentTable[[#This Row],[SLA Target (Days)]],"Yes","No"))</f>
        <v/>
      </c>
    </row>
    <row r="300" spans="1:19" x14ac:dyDescent="0.25">
      <c r="A300" t="str">
        <f t="shared" ca="1" si="17"/>
        <v>INC736204</v>
      </c>
      <c r="B300" t="str" cm="1">
        <f t="array" aca="1" ref="B300" ca="1">INDEX(SystemList,RANDBETWEEN(1,ROWS(SystemList)))</f>
        <v>Payment Processing</v>
      </c>
      <c r="C300" t="str" cm="1">
        <f t="array" aca="1" ref="C300" ca="1">INDEX(IssueTypeList,RANDBETWEEN(1,ROWS(IssueTypeList)))</f>
        <v>System Error</v>
      </c>
      <c r="D300" t="str" cm="1">
        <f t="array" aca="1" ref="D300" ca="1">INDEX(PriorityList,RANDBETWEEN(1,ROWS(PriorityList)))</f>
        <v>Medium</v>
      </c>
      <c r="E300" t="str" cm="1">
        <f t="array" aca="1" ref="E300" ca="1">INDEX(SeverityList,RANDBETWEEN(1,ROWS(SeverityList)))</f>
        <v>Moderate</v>
      </c>
      <c r="F300" t="str" cm="1">
        <f t="array" aca="1" ref="F300" ca="1">INDEX(RegionList,RANDBETWEEN(1,ROWS(RegionList)))</f>
        <v>Southeast</v>
      </c>
      <c r="G300" t="str" cm="1">
        <f t="array" aca="1" ref="G300" ca="1">INDEX(DepartmentList,RANDBETWEEN(1,ROWS(DepartmentList)))</f>
        <v>Customer Service</v>
      </c>
      <c r="H300" s="1">
        <f t="shared" ca="1" si="18"/>
        <v>45396</v>
      </c>
      <c r="I300" s="4">
        <f ca="1">IF(IncidentTable[[#This Row],[Resolution Time (Days)]]="","",IncidentTable[[#This Row],[Created Date]]+IncidentTable[[#This Row],[Resolution Time (Days)]])</f>
        <v>45428</v>
      </c>
      <c r="J300">
        <f ca="1">IF(OR(IncidentTable[[#This Row],[Status]]="Resolved",IncidentTable[[#This Row],[Status]]="Closed"),RANDBETWEEN(1,120),"")</f>
        <v>32</v>
      </c>
      <c r="K300" t="str">
        <f t="shared" ca="1" si="16"/>
        <v>Resolved</v>
      </c>
      <c r="L300" t="str" cm="1">
        <f t="array" aca="1" ref="L300" ca="1">INDEX(AnalystList,RANDBETWEEN(1,ROWS(AnalystList)))</f>
        <v>Casey Brown</v>
      </c>
      <c r="M300" t="str" cm="1">
        <f t="array" aca="1" ref="M300" ca="1">INDEX(RootCauseList,RANDBETWEEN(1,ROWS(RootCauseList)))</f>
        <v>Unknown</v>
      </c>
      <c r="N300">
        <f t="shared" ca="1" si="19"/>
        <v>553.59</v>
      </c>
      <c r="O300">
        <f ca="1">IF(OR(IncidentTable[[#This Row],[Status]]="Resolved",IncidentTable[[#This Row],[Status]]="Closed"),
ROUND(IncidentTable[[#This Row],[Estimated Impact ($)]]*(1+RANDBETWEEN(-15,25)/100)+RAND(),2),
"")</f>
        <v>537.24</v>
      </c>
      <c r="P300">
        <f ca="1">IF(IncidentTable[[#This Row],[Actual Impact ($)]]="","",ROUND(IncidentTable[[#This Row],[Actual Impact ($)]]-IncidentTable[[#This Row],[Estimated Impact ($)]],2))</f>
        <v>-16.350000000000001</v>
      </c>
      <c r="Q300" s="2">
        <f ca="1">IF(IncidentTable[[#This Row],[Actual Impact ($)]]="","",(IncidentTable[[#This Row],[Actual Impact ($)]]-IncidentTable[[#This Row],[Estimated Impact ($)]]) / IncidentTable[[#This Row],[Estimated Impact ($)]])</f>
        <v>-2.9534493036362689E-2</v>
      </c>
      <c r="R300" s="3">
        <f ca="1">IF(IncidentTable[[#This Row],[Priority]]="Critical",1,
IF(IncidentTable[[#This Row],[Priority]]="High",3,
IF(IncidentTable[[#This Row],[Priority]]="Medium",5,
IF(IncidentTable[[#This Row],[Priority]]="Low",10,""))))</f>
        <v>5</v>
      </c>
      <c r="S300" t="str">
        <f ca="1">IF(IncidentTable[[#This Row],[Resolution Time (Days)]]="","",
IF(IncidentTable[[#This Row],[Resolution Time (Days)]]&lt;=IncidentTable[[#This Row],[SLA Target (Days)]],"Yes","No"))</f>
        <v>No</v>
      </c>
    </row>
    <row r="301" spans="1:19" x14ac:dyDescent="0.25">
      <c r="A301" t="str">
        <f t="shared" ca="1" si="17"/>
        <v>INC330648</v>
      </c>
      <c r="B301" t="str" cm="1">
        <f t="array" aca="1" ref="B301" ca="1">INDEX(SystemList,RANDBETWEEN(1,ROWS(SystemList)))</f>
        <v>Claims System</v>
      </c>
      <c r="C301" t="str" cm="1">
        <f t="array" aca="1" ref="C301" ca="1">INDEX(IssueTypeList,RANDBETWEEN(1,ROWS(IssueTypeList)))</f>
        <v>Processing Delay</v>
      </c>
      <c r="D301" t="str" cm="1">
        <f t="array" aca="1" ref="D301" ca="1">INDEX(PriorityList,RANDBETWEEN(1,ROWS(PriorityList)))</f>
        <v>Medium</v>
      </c>
      <c r="E301" t="str" cm="1">
        <f t="array" aca="1" ref="E301" ca="1">INDEX(SeverityList,RANDBETWEEN(1,ROWS(SeverityList)))</f>
        <v>Critical</v>
      </c>
      <c r="F301" t="str" cm="1">
        <f t="array" aca="1" ref="F301" ca="1">INDEX(RegionList,RANDBETWEEN(1,ROWS(RegionList)))</f>
        <v>East</v>
      </c>
      <c r="G301" t="str" cm="1">
        <f t="array" aca="1" ref="G301" ca="1">INDEX(DepartmentList,RANDBETWEEN(1,ROWS(DepartmentList)))</f>
        <v>Claims</v>
      </c>
      <c r="H301" s="1">
        <f t="shared" ca="1" si="18"/>
        <v>45409</v>
      </c>
      <c r="I301" s="4">
        <f ca="1">IF(IncidentTable[[#This Row],[Resolution Time (Days)]]="","",IncidentTable[[#This Row],[Created Date]]+IncidentTable[[#This Row],[Resolution Time (Days)]])</f>
        <v>45412</v>
      </c>
      <c r="J301">
        <f ca="1">IF(OR(IncidentTable[[#This Row],[Status]]="Resolved",IncidentTable[[#This Row],[Status]]="Closed"),RANDBETWEEN(1,120),"")</f>
        <v>3</v>
      </c>
      <c r="K301" t="str">
        <f t="shared" ca="1" si="16"/>
        <v>Closed</v>
      </c>
      <c r="L301" t="str" cm="1">
        <f t="array" aca="1" ref="L301" ca="1">INDEX(AnalystList,RANDBETWEEN(1,ROWS(AnalystList)))</f>
        <v>Morgan Davis</v>
      </c>
      <c r="M301" t="str" cm="1">
        <f t="array" aca="1" ref="M301" ca="1">INDEX(RootCauseList,RANDBETWEEN(1,ROWS(RootCauseList)))</f>
        <v>User Error</v>
      </c>
      <c r="N301">
        <f t="shared" ca="1" si="19"/>
        <v>17430.689999999999</v>
      </c>
      <c r="O301">
        <f ca="1">IF(OR(IncidentTable[[#This Row],[Status]]="Resolved",IncidentTable[[#This Row],[Status]]="Closed"),
ROUND(IncidentTable[[#This Row],[Estimated Impact ($)]]*(1+RANDBETWEEN(-15,25)/100)+RAND(),2),
"")</f>
        <v>20394.849999999999</v>
      </c>
      <c r="P301">
        <f ca="1">IF(IncidentTable[[#This Row],[Actual Impact ($)]]="","",ROUND(IncidentTable[[#This Row],[Actual Impact ($)]]-IncidentTable[[#This Row],[Estimated Impact ($)]],2))</f>
        <v>2964.16</v>
      </c>
      <c r="Q301" s="2">
        <f ca="1">IF(IncidentTable[[#This Row],[Actual Impact ($)]]="","",(IncidentTable[[#This Row],[Actual Impact ($)]]-IncidentTable[[#This Row],[Estimated Impact ($)]]) / IncidentTable[[#This Row],[Estimated Impact ($)]])</f>
        <v>0.17005408277010262</v>
      </c>
      <c r="R301" s="3">
        <f ca="1">IF(IncidentTable[[#This Row],[Priority]]="Critical",1,
IF(IncidentTable[[#This Row],[Priority]]="High",3,
IF(IncidentTable[[#This Row],[Priority]]="Medium",5,
IF(IncidentTable[[#This Row],[Priority]]="Low",10,""))))</f>
        <v>5</v>
      </c>
      <c r="S301" t="str">
        <f ca="1">IF(IncidentTable[[#This Row],[Resolution Time (Days)]]="","",
IF(IncidentTable[[#This Row],[Resolution Time (Days)]]&lt;=IncidentTable[[#This Row],[SLA Target (Days)]],"Yes","No"))</f>
        <v>Yes</v>
      </c>
    </row>
    <row r="302" spans="1:19" x14ac:dyDescent="0.25">
      <c r="A302" t="str">
        <f t="shared" ca="1" si="17"/>
        <v>INC257197</v>
      </c>
      <c r="B302" t="str" cm="1">
        <f t="array" aca="1" ref="B302" ca="1">INDEX(SystemList,RANDBETWEEN(1,ROWS(SystemList)))</f>
        <v>Customer Portal</v>
      </c>
      <c r="C302" t="str" cm="1">
        <f t="array" aca="1" ref="C302" ca="1">INDEX(IssueTypeList,RANDBETWEEN(1,ROWS(IssueTypeList)))</f>
        <v>Data Issue</v>
      </c>
      <c r="D302" t="str" cm="1">
        <f t="array" aca="1" ref="D302" ca="1">INDEX(PriorityList,RANDBETWEEN(1,ROWS(PriorityList)))</f>
        <v>Critical</v>
      </c>
      <c r="E302" t="str" cm="1">
        <f t="array" aca="1" ref="E302" ca="1">INDEX(SeverityList,RANDBETWEEN(1,ROWS(SeverityList)))</f>
        <v>Minor</v>
      </c>
      <c r="F302" t="str" cm="1">
        <f t="array" aca="1" ref="F302" ca="1">INDEX(RegionList,RANDBETWEEN(1,ROWS(RegionList)))</f>
        <v>Central</v>
      </c>
      <c r="G302" t="str" cm="1">
        <f t="array" aca="1" ref="G302" ca="1">INDEX(DepartmentList,RANDBETWEEN(1,ROWS(DepartmentList)))</f>
        <v>Compliance</v>
      </c>
      <c r="H302" s="1">
        <f t="shared" ca="1" si="18"/>
        <v>44954</v>
      </c>
      <c r="I302" s="4" t="str">
        <f ca="1">IF(IncidentTable[[#This Row],[Resolution Time (Days)]]="","",IncidentTable[[#This Row],[Created Date]]+IncidentTable[[#This Row],[Resolution Time (Days)]])</f>
        <v/>
      </c>
      <c r="J302" t="str">
        <f ca="1">IF(OR(IncidentTable[[#This Row],[Status]]="Resolved",IncidentTable[[#This Row],[Status]]="Closed"),RANDBETWEEN(1,120),"")</f>
        <v/>
      </c>
      <c r="K302" t="str">
        <f t="shared" ca="1" si="16"/>
        <v>In Progress</v>
      </c>
      <c r="L302" t="str" cm="1">
        <f t="array" aca="1" ref="L302" ca="1">INDEX(AnalystList,RANDBETWEEN(1,ROWS(AnalystList)))</f>
        <v>Jordan Lee</v>
      </c>
      <c r="M302" t="str" cm="1">
        <f t="array" aca="1" ref="M302" ca="1">INDEX(RootCauseList,RANDBETWEEN(1,ROWS(RootCauseList)))</f>
        <v>Configuration Issue</v>
      </c>
      <c r="N302">
        <f t="shared" ca="1" si="19"/>
        <v>25690.43</v>
      </c>
      <c r="O302" t="str">
        <f ca="1">IF(OR(IncidentTable[[#This Row],[Status]]="Resolved",IncidentTable[[#This Row],[Status]]="Closed"),
ROUND(IncidentTable[[#This Row],[Estimated Impact ($)]]*(1+RANDBETWEEN(-15,25)/100)+RAND(),2),
"")</f>
        <v/>
      </c>
      <c r="P302" t="str">
        <f ca="1">IF(IncidentTable[[#This Row],[Actual Impact ($)]]="","",ROUND(IncidentTable[[#This Row],[Actual Impact ($)]]-IncidentTable[[#This Row],[Estimated Impact ($)]],2))</f>
        <v/>
      </c>
      <c r="Q302" s="2" t="str">
        <f ca="1">IF(IncidentTable[[#This Row],[Actual Impact ($)]]="","",(IncidentTable[[#This Row],[Actual Impact ($)]]-IncidentTable[[#This Row],[Estimated Impact ($)]]) / IncidentTable[[#This Row],[Estimated Impact ($)]])</f>
        <v/>
      </c>
      <c r="R302" s="3">
        <f ca="1">IF(IncidentTable[[#This Row],[Priority]]="Critical",1,
IF(IncidentTable[[#This Row],[Priority]]="High",3,
IF(IncidentTable[[#This Row],[Priority]]="Medium",5,
IF(IncidentTable[[#This Row],[Priority]]="Low",10,""))))</f>
        <v>1</v>
      </c>
      <c r="S302" t="str">
        <f ca="1">IF(IncidentTable[[#This Row],[Resolution Time (Days)]]="","",
IF(IncidentTable[[#This Row],[Resolution Time (Days)]]&lt;=IncidentTable[[#This Row],[SLA Target (Days)]],"Yes","No"))</f>
        <v/>
      </c>
    </row>
    <row r="303" spans="1:19" x14ac:dyDescent="0.25">
      <c r="A303" t="str">
        <f t="shared" ca="1" si="17"/>
        <v>INC877637</v>
      </c>
      <c r="B303" t="str" cm="1">
        <f t="array" aca="1" ref="B303" ca="1">INDEX(SystemList,RANDBETWEEN(1,ROWS(SystemList)))</f>
        <v>Regulatory System</v>
      </c>
      <c r="C303" t="str" cm="1">
        <f t="array" aca="1" ref="C303" ca="1">INDEX(IssueTypeList,RANDBETWEEN(1,ROWS(IssueTypeList)))</f>
        <v>Payment Failure</v>
      </c>
      <c r="D303" t="str" cm="1">
        <f t="array" aca="1" ref="D303" ca="1">INDEX(PriorityList,RANDBETWEEN(1,ROWS(PriorityList)))</f>
        <v>Low</v>
      </c>
      <c r="E303" t="str" cm="1">
        <f t="array" aca="1" ref="E303" ca="1">INDEX(SeverityList,RANDBETWEEN(1,ROWS(SeverityList)))</f>
        <v>Moderate</v>
      </c>
      <c r="F303" t="str" cm="1">
        <f t="array" aca="1" ref="F303" ca="1">INDEX(RegionList,RANDBETWEEN(1,ROWS(RegionList)))</f>
        <v>Midwest</v>
      </c>
      <c r="G303" t="str" cm="1">
        <f t="array" aca="1" ref="G303" ca="1">INDEX(DepartmentList,RANDBETWEEN(1,ROWS(DepartmentList)))</f>
        <v>Customer Service</v>
      </c>
      <c r="H303" s="1">
        <f t="shared" ca="1" si="18"/>
        <v>45032</v>
      </c>
      <c r="I303" s="4" t="str">
        <f ca="1">IF(IncidentTable[[#This Row],[Resolution Time (Days)]]="","",IncidentTable[[#This Row],[Created Date]]+IncidentTable[[#This Row],[Resolution Time (Days)]])</f>
        <v/>
      </c>
      <c r="J303" t="str">
        <f ca="1">IF(OR(IncidentTable[[#This Row],[Status]]="Resolved",IncidentTable[[#This Row],[Status]]="Closed"),RANDBETWEEN(1,120),"")</f>
        <v/>
      </c>
      <c r="K303" t="str">
        <f t="shared" ca="1" si="16"/>
        <v>Open</v>
      </c>
      <c r="L303" t="str" cm="1">
        <f t="array" aca="1" ref="L303" ca="1">INDEX(AnalystList,RANDBETWEEN(1,ROWS(AnalystList)))</f>
        <v>Jordan Lee</v>
      </c>
      <c r="M303" t="str" cm="1">
        <f t="array" aca="1" ref="M303" ca="1">INDEX(RootCauseList,RANDBETWEEN(1,ROWS(RootCauseList)))</f>
        <v>User Error</v>
      </c>
      <c r="N303">
        <f t="shared" ca="1" si="19"/>
        <v>2709.56</v>
      </c>
      <c r="O303" t="str">
        <f ca="1">IF(OR(IncidentTable[[#This Row],[Status]]="Resolved",IncidentTable[[#This Row],[Status]]="Closed"),
ROUND(IncidentTable[[#This Row],[Estimated Impact ($)]]*(1+RANDBETWEEN(-15,25)/100)+RAND(),2),
"")</f>
        <v/>
      </c>
      <c r="P303" t="str">
        <f ca="1">IF(IncidentTable[[#This Row],[Actual Impact ($)]]="","",ROUND(IncidentTable[[#This Row],[Actual Impact ($)]]-IncidentTable[[#This Row],[Estimated Impact ($)]],2))</f>
        <v/>
      </c>
      <c r="Q303" s="2" t="str">
        <f ca="1">IF(IncidentTable[[#This Row],[Actual Impact ($)]]="","",(IncidentTable[[#This Row],[Actual Impact ($)]]-IncidentTable[[#This Row],[Estimated Impact ($)]]) / IncidentTable[[#This Row],[Estimated Impact ($)]])</f>
        <v/>
      </c>
      <c r="R303" s="3">
        <f ca="1">IF(IncidentTable[[#This Row],[Priority]]="Critical",1,
IF(IncidentTable[[#This Row],[Priority]]="High",3,
IF(IncidentTable[[#This Row],[Priority]]="Medium",5,
IF(IncidentTable[[#This Row],[Priority]]="Low",10,""))))</f>
        <v>10</v>
      </c>
      <c r="S303" t="str">
        <f ca="1">IF(IncidentTable[[#This Row],[Resolution Time (Days)]]="","",
IF(IncidentTable[[#This Row],[Resolution Time (Days)]]&lt;=IncidentTable[[#This Row],[SLA Target (Days)]],"Yes","No"))</f>
        <v/>
      </c>
    </row>
    <row r="304" spans="1:19" x14ac:dyDescent="0.25">
      <c r="A304" t="str">
        <f t="shared" ca="1" si="17"/>
        <v>INC300455</v>
      </c>
      <c r="B304" t="str" cm="1">
        <f t="array" aca="1" ref="B304" ca="1">INDEX(SystemList,RANDBETWEEN(1,ROWS(SystemList)))</f>
        <v>Reporting System</v>
      </c>
      <c r="C304" t="str" cm="1">
        <f t="array" aca="1" ref="C304" ca="1">INDEX(IssueTypeList,RANDBETWEEN(1,ROWS(IssueTypeList)))</f>
        <v>Data Issue</v>
      </c>
      <c r="D304" t="str" cm="1">
        <f t="array" aca="1" ref="D304" ca="1">INDEX(PriorityList,RANDBETWEEN(1,ROWS(PriorityList)))</f>
        <v>Low</v>
      </c>
      <c r="E304" t="str" cm="1">
        <f t="array" aca="1" ref="E304" ca="1">INDEX(SeverityList,RANDBETWEEN(1,ROWS(SeverityList)))</f>
        <v>Minor</v>
      </c>
      <c r="F304" t="str" cm="1">
        <f t="array" aca="1" ref="F304" ca="1">INDEX(RegionList,RANDBETWEEN(1,ROWS(RegionList)))</f>
        <v>Southeast</v>
      </c>
      <c r="G304" t="str" cm="1">
        <f t="array" aca="1" ref="G304" ca="1">INDEX(DepartmentList,RANDBETWEEN(1,ROWS(DepartmentList)))</f>
        <v>Compliance</v>
      </c>
      <c r="H304" s="1">
        <f t="shared" ca="1" si="18"/>
        <v>45316</v>
      </c>
      <c r="I304" s="4">
        <f ca="1">IF(IncidentTable[[#This Row],[Resolution Time (Days)]]="","",IncidentTable[[#This Row],[Created Date]]+IncidentTable[[#This Row],[Resolution Time (Days)]])</f>
        <v>45369</v>
      </c>
      <c r="J304">
        <f ca="1">IF(OR(IncidentTable[[#This Row],[Status]]="Resolved",IncidentTable[[#This Row],[Status]]="Closed"),RANDBETWEEN(1,120),"")</f>
        <v>53</v>
      </c>
      <c r="K304" t="str">
        <f t="shared" ca="1" si="16"/>
        <v>Resolved</v>
      </c>
      <c r="L304" t="str" cm="1">
        <f t="array" aca="1" ref="L304" ca="1">INDEX(AnalystList,RANDBETWEEN(1,ROWS(AnalystList)))</f>
        <v>Jordan Lee</v>
      </c>
      <c r="M304" t="str" cm="1">
        <f t="array" aca="1" ref="M304" ca="1">INDEX(RootCauseList,RANDBETWEEN(1,ROWS(RootCauseList)))</f>
        <v>User Error</v>
      </c>
      <c r="N304">
        <f t="shared" ca="1" si="19"/>
        <v>66.58</v>
      </c>
      <c r="O304">
        <f ca="1">IF(OR(IncidentTable[[#This Row],[Status]]="Resolved",IncidentTable[[#This Row],[Status]]="Closed"),
ROUND(IncidentTable[[#This Row],[Estimated Impact ($)]]*(1+RANDBETWEEN(-15,25)/100)+RAND(),2),
"")</f>
        <v>57.46</v>
      </c>
      <c r="P304">
        <f ca="1">IF(IncidentTable[[#This Row],[Actual Impact ($)]]="","",ROUND(IncidentTable[[#This Row],[Actual Impact ($)]]-IncidentTable[[#This Row],[Estimated Impact ($)]],2))</f>
        <v>-9.1199999999999992</v>
      </c>
      <c r="Q304" s="2">
        <f ca="1">IF(IncidentTable[[#This Row],[Actual Impact ($)]]="","",(IncidentTable[[#This Row],[Actual Impact ($)]]-IncidentTable[[#This Row],[Estimated Impact ($)]]) / IncidentTable[[#This Row],[Estimated Impact ($)]])</f>
        <v>-0.13697807149294078</v>
      </c>
      <c r="R304" s="3">
        <f ca="1">IF(IncidentTable[[#This Row],[Priority]]="Critical",1,
IF(IncidentTable[[#This Row],[Priority]]="High",3,
IF(IncidentTable[[#This Row],[Priority]]="Medium",5,
IF(IncidentTable[[#This Row],[Priority]]="Low",10,""))))</f>
        <v>10</v>
      </c>
      <c r="S304" t="str">
        <f ca="1">IF(IncidentTable[[#This Row],[Resolution Time (Days)]]="","",
IF(IncidentTable[[#This Row],[Resolution Time (Days)]]&lt;=IncidentTable[[#This Row],[SLA Target (Days)]],"Yes","No"))</f>
        <v>No</v>
      </c>
    </row>
    <row r="305" spans="1:19" x14ac:dyDescent="0.25">
      <c r="A305" t="str">
        <f t="shared" ca="1" si="17"/>
        <v>INC194683</v>
      </c>
      <c r="B305" t="str" cm="1">
        <f t="array" aca="1" ref="B305" ca="1">INDEX(SystemList,RANDBETWEEN(1,ROWS(SystemList)))</f>
        <v>Policy Admin System</v>
      </c>
      <c r="C305" t="str" cm="1">
        <f t="array" aca="1" ref="C305" ca="1">INDEX(IssueTypeList,RANDBETWEEN(1,ROWS(IssueTypeList)))</f>
        <v>Payment Failure</v>
      </c>
      <c r="D305" t="str" cm="1">
        <f t="array" aca="1" ref="D305" ca="1">INDEX(PriorityList,RANDBETWEEN(1,ROWS(PriorityList)))</f>
        <v>Critical</v>
      </c>
      <c r="E305" t="str" cm="1">
        <f t="array" aca="1" ref="E305" ca="1">INDEX(SeverityList,RANDBETWEEN(1,ROWS(SeverityList)))</f>
        <v>Critical</v>
      </c>
      <c r="F305" t="str" cm="1">
        <f t="array" aca="1" ref="F305" ca="1">INDEX(RegionList,RANDBETWEEN(1,ROWS(RegionList)))</f>
        <v>Southeast</v>
      </c>
      <c r="G305" t="str" cm="1">
        <f t="array" aca="1" ref="G305" ca="1">INDEX(DepartmentList,RANDBETWEEN(1,ROWS(DepartmentList)))</f>
        <v>Customer Service</v>
      </c>
      <c r="H305" s="1">
        <f t="shared" ca="1" si="18"/>
        <v>45090</v>
      </c>
      <c r="I305" s="4">
        <f ca="1">IF(IncidentTable[[#This Row],[Resolution Time (Days)]]="","",IncidentTable[[#This Row],[Created Date]]+IncidentTable[[#This Row],[Resolution Time (Days)]])</f>
        <v>45106</v>
      </c>
      <c r="J305">
        <f ca="1">IF(OR(IncidentTable[[#This Row],[Status]]="Resolved",IncidentTable[[#This Row],[Status]]="Closed"),RANDBETWEEN(1,120),"")</f>
        <v>16</v>
      </c>
      <c r="K305" t="str">
        <f t="shared" ca="1" si="16"/>
        <v>Closed</v>
      </c>
      <c r="L305" t="str" cm="1">
        <f t="array" aca="1" ref="L305" ca="1">INDEX(AnalystList,RANDBETWEEN(1,ROWS(AnalystList)))</f>
        <v>Jordan Lee</v>
      </c>
      <c r="M305" t="str" cm="1">
        <f t="array" aca="1" ref="M305" ca="1">INDEX(RootCauseList,RANDBETWEEN(1,ROWS(RootCauseList)))</f>
        <v>User Error</v>
      </c>
      <c r="N305">
        <f t="shared" ca="1" si="19"/>
        <v>302.02</v>
      </c>
      <c r="O305">
        <f ca="1">IF(OR(IncidentTable[[#This Row],[Status]]="Resolved",IncidentTable[[#This Row],[Status]]="Closed"),
ROUND(IncidentTable[[#This Row],[Estimated Impact ($)]]*(1+RANDBETWEEN(-15,25)/100)+RAND(),2),
"")</f>
        <v>281.49</v>
      </c>
      <c r="P305">
        <f ca="1">IF(IncidentTable[[#This Row],[Actual Impact ($)]]="","",ROUND(IncidentTable[[#This Row],[Actual Impact ($)]]-IncidentTable[[#This Row],[Estimated Impact ($)]],2))</f>
        <v>-20.53</v>
      </c>
      <c r="Q305" s="2">
        <f ca="1">IF(IncidentTable[[#This Row],[Actual Impact ($)]]="","",(IncidentTable[[#This Row],[Actual Impact ($)]]-IncidentTable[[#This Row],[Estimated Impact ($)]]) / IncidentTable[[#This Row],[Estimated Impact ($)]])</f>
        <v>-6.7975630752930186E-2</v>
      </c>
      <c r="R305" s="3">
        <f ca="1">IF(IncidentTable[[#This Row],[Priority]]="Critical",1,
IF(IncidentTable[[#This Row],[Priority]]="High",3,
IF(IncidentTable[[#This Row],[Priority]]="Medium",5,
IF(IncidentTable[[#This Row],[Priority]]="Low",10,""))))</f>
        <v>1</v>
      </c>
      <c r="S305" t="str">
        <f ca="1">IF(IncidentTable[[#This Row],[Resolution Time (Days)]]="","",
IF(IncidentTable[[#This Row],[Resolution Time (Days)]]&lt;=IncidentTable[[#This Row],[SLA Target (Days)]],"Yes","No"))</f>
        <v>No</v>
      </c>
    </row>
    <row r="306" spans="1:19" x14ac:dyDescent="0.25">
      <c r="A306" t="str">
        <f t="shared" ca="1" si="17"/>
        <v>INC738543</v>
      </c>
      <c r="B306" t="str" cm="1">
        <f t="array" aca="1" ref="B306" ca="1">INDEX(SystemList,RANDBETWEEN(1,ROWS(SystemList)))</f>
        <v>Reporting System</v>
      </c>
      <c r="C306" t="str" cm="1">
        <f t="array" aca="1" ref="C306" ca="1">INDEX(IssueTypeList,RANDBETWEEN(1,ROWS(IssueTypeList)))</f>
        <v>Performance Issue</v>
      </c>
      <c r="D306" t="str" cm="1">
        <f t="array" aca="1" ref="D306" ca="1">INDEX(PriorityList,RANDBETWEEN(1,ROWS(PriorityList)))</f>
        <v>Critical</v>
      </c>
      <c r="E306" t="str" cm="1">
        <f t="array" aca="1" ref="E306" ca="1">INDEX(SeverityList,RANDBETWEEN(1,ROWS(SeverityList)))</f>
        <v>Major</v>
      </c>
      <c r="F306" t="str" cm="1">
        <f t="array" aca="1" ref="F306" ca="1">INDEX(RegionList,RANDBETWEEN(1,ROWS(RegionList)))</f>
        <v>Southeast</v>
      </c>
      <c r="G306" t="str" cm="1">
        <f t="array" aca="1" ref="G306" ca="1">INDEX(DepartmentList,RANDBETWEEN(1,ROWS(DepartmentList)))</f>
        <v>Finance</v>
      </c>
      <c r="H306" s="1">
        <f t="shared" ca="1" si="18"/>
        <v>45109</v>
      </c>
      <c r="I306" s="4" t="str">
        <f ca="1">IF(IncidentTable[[#This Row],[Resolution Time (Days)]]="","",IncidentTable[[#This Row],[Created Date]]+IncidentTable[[#This Row],[Resolution Time (Days)]])</f>
        <v/>
      </c>
      <c r="J306" t="str">
        <f ca="1">IF(OR(IncidentTable[[#This Row],[Status]]="Resolved",IncidentTable[[#This Row],[Status]]="Closed"),RANDBETWEEN(1,120),"")</f>
        <v/>
      </c>
      <c r="K306" t="str">
        <f t="shared" ca="1" si="16"/>
        <v>Open</v>
      </c>
      <c r="L306" t="str" cm="1">
        <f t="array" aca="1" ref="L306" ca="1">INDEX(AnalystList,RANDBETWEEN(1,ROWS(AnalystList)))</f>
        <v>Riley Wilson</v>
      </c>
      <c r="M306" t="str" cm="1">
        <f t="array" aca="1" ref="M306" ca="1">INDEX(RootCauseList,RANDBETWEEN(1,ROWS(RootCauseList)))</f>
        <v>Unknown</v>
      </c>
      <c r="N306">
        <f t="shared" ca="1" si="19"/>
        <v>2341.54</v>
      </c>
      <c r="O306" t="str">
        <f ca="1">IF(OR(IncidentTable[[#This Row],[Status]]="Resolved",IncidentTable[[#This Row],[Status]]="Closed"),
ROUND(IncidentTable[[#This Row],[Estimated Impact ($)]]*(1+RANDBETWEEN(-15,25)/100)+RAND(),2),
"")</f>
        <v/>
      </c>
      <c r="P306" t="str">
        <f ca="1">IF(IncidentTable[[#This Row],[Actual Impact ($)]]="","",ROUND(IncidentTable[[#This Row],[Actual Impact ($)]]-IncidentTable[[#This Row],[Estimated Impact ($)]],2))</f>
        <v/>
      </c>
      <c r="Q306" s="2" t="str">
        <f ca="1">IF(IncidentTable[[#This Row],[Actual Impact ($)]]="","",(IncidentTable[[#This Row],[Actual Impact ($)]]-IncidentTable[[#This Row],[Estimated Impact ($)]]) / IncidentTable[[#This Row],[Estimated Impact ($)]])</f>
        <v/>
      </c>
      <c r="R306" s="3">
        <f ca="1">IF(IncidentTable[[#This Row],[Priority]]="Critical",1,
IF(IncidentTable[[#This Row],[Priority]]="High",3,
IF(IncidentTable[[#This Row],[Priority]]="Medium",5,
IF(IncidentTable[[#This Row],[Priority]]="Low",10,""))))</f>
        <v>1</v>
      </c>
      <c r="S306" t="str">
        <f ca="1">IF(IncidentTable[[#This Row],[Resolution Time (Days)]]="","",
IF(IncidentTable[[#This Row],[Resolution Time (Days)]]&lt;=IncidentTable[[#This Row],[SLA Target (Days)]],"Yes","No"))</f>
        <v/>
      </c>
    </row>
    <row r="307" spans="1:19" x14ac:dyDescent="0.25">
      <c r="A307" t="str">
        <f t="shared" ca="1" si="17"/>
        <v>INC594670</v>
      </c>
      <c r="B307" t="str" cm="1">
        <f t="array" aca="1" ref="B307" ca="1">INDEX(SystemList,RANDBETWEEN(1,ROWS(SystemList)))</f>
        <v>Customer Portal</v>
      </c>
      <c r="C307" t="str" cm="1">
        <f t="array" aca="1" ref="C307" ca="1">INDEX(IssueTypeList,RANDBETWEEN(1,ROWS(IssueTypeList)))</f>
        <v>Data Issue</v>
      </c>
      <c r="D307" t="str" cm="1">
        <f t="array" aca="1" ref="D307" ca="1">INDEX(PriorityList,RANDBETWEEN(1,ROWS(PriorityList)))</f>
        <v>Medium</v>
      </c>
      <c r="E307" t="str" cm="1">
        <f t="array" aca="1" ref="E307" ca="1">INDEX(SeverityList,RANDBETWEEN(1,ROWS(SeverityList)))</f>
        <v>Moderate</v>
      </c>
      <c r="F307" t="str" cm="1">
        <f t="array" aca="1" ref="F307" ca="1">INDEX(RegionList,RANDBETWEEN(1,ROWS(RegionList)))</f>
        <v>East</v>
      </c>
      <c r="G307" t="str" cm="1">
        <f t="array" aca="1" ref="G307" ca="1">INDEX(DepartmentList,RANDBETWEEN(1,ROWS(DepartmentList)))</f>
        <v>Claims</v>
      </c>
      <c r="H307" s="1">
        <f t="shared" ca="1" si="18"/>
        <v>45061</v>
      </c>
      <c r="I307" s="4" t="str">
        <f ca="1">IF(IncidentTable[[#This Row],[Resolution Time (Days)]]="","",IncidentTable[[#This Row],[Created Date]]+IncidentTable[[#This Row],[Resolution Time (Days)]])</f>
        <v/>
      </c>
      <c r="J307" t="str">
        <f ca="1">IF(OR(IncidentTable[[#This Row],[Status]]="Resolved",IncidentTable[[#This Row],[Status]]="Closed"),RANDBETWEEN(1,120),"")</f>
        <v/>
      </c>
      <c r="K307" t="str">
        <f t="shared" ca="1" si="16"/>
        <v>Pending</v>
      </c>
      <c r="L307" t="str" cm="1">
        <f t="array" aca="1" ref="L307" ca="1">INDEX(AnalystList,RANDBETWEEN(1,ROWS(AnalystList)))</f>
        <v>Taylor Smith</v>
      </c>
      <c r="M307" t="str" cm="1">
        <f t="array" aca="1" ref="M307" ca="1">INDEX(RootCauseList,RANDBETWEEN(1,ROWS(RootCauseList)))</f>
        <v>Process Gap</v>
      </c>
      <c r="N307">
        <f t="shared" ca="1" si="19"/>
        <v>48181.57</v>
      </c>
      <c r="O307" t="str">
        <f ca="1">IF(OR(IncidentTable[[#This Row],[Status]]="Resolved",IncidentTable[[#This Row],[Status]]="Closed"),
ROUND(IncidentTable[[#This Row],[Estimated Impact ($)]]*(1+RANDBETWEEN(-15,25)/100)+RAND(),2),
"")</f>
        <v/>
      </c>
      <c r="P307" t="str">
        <f ca="1">IF(IncidentTable[[#This Row],[Actual Impact ($)]]="","",ROUND(IncidentTable[[#This Row],[Actual Impact ($)]]-IncidentTable[[#This Row],[Estimated Impact ($)]],2))</f>
        <v/>
      </c>
      <c r="Q307" s="2" t="str">
        <f ca="1">IF(IncidentTable[[#This Row],[Actual Impact ($)]]="","",(IncidentTable[[#This Row],[Actual Impact ($)]]-IncidentTable[[#This Row],[Estimated Impact ($)]]) / IncidentTable[[#This Row],[Estimated Impact ($)]])</f>
        <v/>
      </c>
      <c r="R307" s="3">
        <f ca="1">IF(IncidentTable[[#This Row],[Priority]]="Critical",1,
IF(IncidentTable[[#This Row],[Priority]]="High",3,
IF(IncidentTable[[#This Row],[Priority]]="Medium",5,
IF(IncidentTable[[#This Row],[Priority]]="Low",10,""))))</f>
        <v>5</v>
      </c>
      <c r="S307" t="str">
        <f ca="1">IF(IncidentTable[[#This Row],[Resolution Time (Days)]]="","",
IF(IncidentTable[[#This Row],[Resolution Time (Days)]]&lt;=IncidentTable[[#This Row],[SLA Target (Days)]],"Yes","No"))</f>
        <v/>
      </c>
    </row>
    <row r="308" spans="1:19" x14ac:dyDescent="0.25">
      <c r="A308" t="str">
        <f t="shared" ca="1" si="17"/>
        <v>INC662644</v>
      </c>
      <c r="B308" t="str" cm="1">
        <f t="array" aca="1" ref="B308" ca="1">INDEX(SystemList,RANDBETWEEN(1,ROWS(SystemList)))</f>
        <v>Payment Processing</v>
      </c>
      <c r="C308" t="str" cm="1">
        <f t="array" aca="1" ref="C308" ca="1">INDEX(IssueTypeList,RANDBETWEEN(1,ROWS(IssueTypeList)))</f>
        <v>Processing Delay</v>
      </c>
      <c r="D308" t="str" cm="1">
        <f t="array" aca="1" ref="D308" ca="1">INDEX(PriorityList,RANDBETWEEN(1,ROWS(PriorityList)))</f>
        <v>High</v>
      </c>
      <c r="E308" t="str" cm="1">
        <f t="array" aca="1" ref="E308" ca="1">INDEX(SeverityList,RANDBETWEEN(1,ROWS(SeverityList)))</f>
        <v>Major</v>
      </c>
      <c r="F308" t="str" cm="1">
        <f t="array" aca="1" ref="F308" ca="1">INDEX(RegionList,RANDBETWEEN(1,ROWS(RegionList)))</f>
        <v>Midwest</v>
      </c>
      <c r="G308" t="str" cm="1">
        <f t="array" aca="1" ref="G308" ca="1">INDEX(DepartmentList,RANDBETWEEN(1,ROWS(DepartmentList)))</f>
        <v>Claims</v>
      </c>
      <c r="H308" s="1">
        <f t="shared" ca="1" si="18"/>
        <v>45449</v>
      </c>
      <c r="I308" s="4" t="str">
        <f ca="1">IF(IncidentTable[[#This Row],[Resolution Time (Days)]]="","",IncidentTable[[#This Row],[Created Date]]+IncidentTable[[#This Row],[Resolution Time (Days)]])</f>
        <v/>
      </c>
      <c r="J308" t="str">
        <f ca="1">IF(OR(IncidentTable[[#This Row],[Status]]="Resolved",IncidentTable[[#This Row],[Status]]="Closed"),RANDBETWEEN(1,120),"")</f>
        <v/>
      </c>
      <c r="K308" t="str">
        <f t="shared" ca="1" si="16"/>
        <v>In Progress</v>
      </c>
      <c r="L308" t="str" cm="1">
        <f t="array" aca="1" ref="L308" ca="1">INDEX(AnalystList,RANDBETWEEN(1,ROWS(AnalystList)))</f>
        <v>Taylor Smith</v>
      </c>
      <c r="M308" t="str" cm="1">
        <f t="array" aca="1" ref="M308" ca="1">INDEX(RootCauseList,RANDBETWEEN(1,ROWS(RootCauseList)))</f>
        <v>Data Error</v>
      </c>
      <c r="N308">
        <f t="shared" ca="1" si="19"/>
        <v>2166.12</v>
      </c>
      <c r="O308" t="str">
        <f ca="1">IF(OR(IncidentTable[[#This Row],[Status]]="Resolved",IncidentTable[[#This Row],[Status]]="Closed"),
ROUND(IncidentTable[[#This Row],[Estimated Impact ($)]]*(1+RANDBETWEEN(-15,25)/100)+RAND(),2),
"")</f>
        <v/>
      </c>
      <c r="P308" t="str">
        <f ca="1">IF(IncidentTable[[#This Row],[Actual Impact ($)]]="","",ROUND(IncidentTable[[#This Row],[Actual Impact ($)]]-IncidentTable[[#This Row],[Estimated Impact ($)]],2))</f>
        <v/>
      </c>
      <c r="Q308" s="2" t="str">
        <f ca="1">IF(IncidentTable[[#This Row],[Actual Impact ($)]]="","",(IncidentTable[[#This Row],[Actual Impact ($)]]-IncidentTable[[#This Row],[Estimated Impact ($)]]) / IncidentTable[[#This Row],[Estimated Impact ($)]])</f>
        <v/>
      </c>
      <c r="R308" s="3">
        <f ca="1">IF(IncidentTable[[#This Row],[Priority]]="Critical",1,
IF(IncidentTable[[#This Row],[Priority]]="High",3,
IF(IncidentTable[[#This Row],[Priority]]="Medium",5,
IF(IncidentTable[[#This Row],[Priority]]="Low",10,""))))</f>
        <v>3</v>
      </c>
      <c r="S308" t="str">
        <f ca="1">IF(IncidentTable[[#This Row],[Resolution Time (Days)]]="","",
IF(IncidentTable[[#This Row],[Resolution Time (Days)]]&lt;=IncidentTable[[#This Row],[SLA Target (Days)]],"Yes","No"))</f>
        <v/>
      </c>
    </row>
    <row r="309" spans="1:19" x14ac:dyDescent="0.25">
      <c r="A309" t="str">
        <f t="shared" ca="1" si="17"/>
        <v>INC396230</v>
      </c>
      <c r="B309" t="str" cm="1">
        <f t="array" aca="1" ref="B309" ca="1">INDEX(SystemList,RANDBETWEEN(1,ROWS(SystemList)))</f>
        <v>Policy Admin System</v>
      </c>
      <c r="C309" t="str" cm="1">
        <f t="array" aca="1" ref="C309" ca="1">INDEX(IssueTypeList,RANDBETWEEN(1,ROWS(IssueTypeList)))</f>
        <v>Integration Failure</v>
      </c>
      <c r="D309" t="str" cm="1">
        <f t="array" aca="1" ref="D309" ca="1">INDEX(PriorityList,RANDBETWEEN(1,ROWS(PriorityList)))</f>
        <v>High</v>
      </c>
      <c r="E309" t="str" cm="1">
        <f t="array" aca="1" ref="E309" ca="1">INDEX(SeverityList,RANDBETWEEN(1,ROWS(SeverityList)))</f>
        <v>Minor</v>
      </c>
      <c r="F309" t="str" cm="1">
        <f t="array" aca="1" ref="F309" ca="1">INDEX(RegionList,RANDBETWEEN(1,ROWS(RegionList)))</f>
        <v>Central</v>
      </c>
      <c r="G309" t="str" cm="1">
        <f t="array" aca="1" ref="G309" ca="1">INDEX(DepartmentList,RANDBETWEEN(1,ROWS(DepartmentList)))</f>
        <v>Finance</v>
      </c>
      <c r="H309" s="1">
        <f t="shared" ca="1" si="18"/>
        <v>45016</v>
      </c>
      <c r="I309" s="4" t="str">
        <f ca="1">IF(IncidentTable[[#This Row],[Resolution Time (Days)]]="","",IncidentTable[[#This Row],[Created Date]]+IncidentTable[[#This Row],[Resolution Time (Days)]])</f>
        <v/>
      </c>
      <c r="J309" t="str">
        <f ca="1">IF(OR(IncidentTable[[#This Row],[Status]]="Resolved",IncidentTable[[#This Row],[Status]]="Closed"),RANDBETWEEN(1,120),"")</f>
        <v/>
      </c>
      <c r="K309" t="str">
        <f t="shared" ca="1" si="16"/>
        <v>Open</v>
      </c>
      <c r="L309" t="str" cm="1">
        <f t="array" aca="1" ref="L309" ca="1">INDEX(AnalystList,RANDBETWEEN(1,ROWS(AnalystList)))</f>
        <v>Alex Johnson</v>
      </c>
      <c r="M309" t="str" cm="1">
        <f t="array" aca="1" ref="M309" ca="1">INDEX(RootCauseList,RANDBETWEEN(1,ROWS(RootCauseList)))</f>
        <v>User Error</v>
      </c>
      <c r="N309">
        <f t="shared" ca="1" si="19"/>
        <v>7742.41</v>
      </c>
      <c r="O309" t="str">
        <f ca="1">IF(OR(IncidentTable[[#This Row],[Status]]="Resolved",IncidentTable[[#This Row],[Status]]="Closed"),
ROUND(IncidentTable[[#This Row],[Estimated Impact ($)]]*(1+RANDBETWEEN(-15,25)/100)+RAND(),2),
"")</f>
        <v/>
      </c>
      <c r="P309" t="str">
        <f ca="1">IF(IncidentTable[[#This Row],[Actual Impact ($)]]="","",ROUND(IncidentTable[[#This Row],[Actual Impact ($)]]-IncidentTable[[#This Row],[Estimated Impact ($)]],2))</f>
        <v/>
      </c>
      <c r="Q309" s="2" t="str">
        <f ca="1">IF(IncidentTable[[#This Row],[Actual Impact ($)]]="","",(IncidentTable[[#This Row],[Actual Impact ($)]]-IncidentTable[[#This Row],[Estimated Impact ($)]]) / IncidentTable[[#This Row],[Estimated Impact ($)]])</f>
        <v/>
      </c>
      <c r="R309" s="3">
        <f ca="1">IF(IncidentTable[[#This Row],[Priority]]="Critical",1,
IF(IncidentTable[[#This Row],[Priority]]="High",3,
IF(IncidentTable[[#This Row],[Priority]]="Medium",5,
IF(IncidentTable[[#This Row],[Priority]]="Low",10,""))))</f>
        <v>3</v>
      </c>
      <c r="S309" t="str">
        <f ca="1">IF(IncidentTable[[#This Row],[Resolution Time (Days)]]="","",
IF(IncidentTable[[#This Row],[Resolution Time (Days)]]&lt;=IncidentTable[[#This Row],[SLA Target (Days)]],"Yes","No"))</f>
        <v/>
      </c>
    </row>
    <row r="310" spans="1:19" x14ac:dyDescent="0.25">
      <c r="A310" t="str">
        <f t="shared" ca="1" si="17"/>
        <v>INC337456</v>
      </c>
      <c r="B310" t="str" cm="1">
        <f t="array" aca="1" ref="B310" ca="1">INDEX(SystemList,RANDBETWEEN(1,ROWS(SystemList)))</f>
        <v>Billing System</v>
      </c>
      <c r="C310" t="str" cm="1">
        <f t="array" aca="1" ref="C310" ca="1">INDEX(IssueTypeList,RANDBETWEEN(1,ROWS(IssueTypeList)))</f>
        <v>Data Issue</v>
      </c>
      <c r="D310" t="str" cm="1">
        <f t="array" aca="1" ref="D310" ca="1">INDEX(PriorityList,RANDBETWEEN(1,ROWS(PriorityList)))</f>
        <v>High</v>
      </c>
      <c r="E310" t="str" cm="1">
        <f t="array" aca="1" ref="E310" ca="1">INDEX(SeverityList,RANDBETWEEN(1,ROWS(SeverityList)))</f>
        <v>Minor</v>
      </c>
      <c r="F310" t="str" cm="1">
        <f t="array" aca="1" ref="F310" ca="1">INDEX(RegionList,RANDBETWEEN(1,ROWS(RegionList)))</f>
        <v>West</v>
      </c>
      <c r="G310" t="str" cm="1">
        <f t="array" aca="1" ref="G310" ca="1">INDEX(DepartmentList,RANDBETWEEN(1,ROWS(DepartmentList)))</f>
        <v>Billing</v>
      </c>
      <c r="H310" s="1">
        <f t="shared" ca="1" si="18"/>
        <v>45110</v>
      </c>
      <c r="I310" s="4" t="str">
        <f ca="1">IF(IncidentTable[[#This Row],[Resolution Time (Days)]]="","",IncidentTable[[#This Row],[Created Date]]+IncidentTable[[#This Row],[Resolution Time (Days)]])</f>
        <v/>
      </c>
      <c r="J310" t="str">
        <f ca="1">IF(OR(IncidentTable[[#This Row],[Status]]="Resolved",IncidentTable[[#This Row],[Status]]="Closed"),RANDBETWEEN(1,120),"")</f>
        <v/>
      </c>
      <c r="K310" t="str">
        <f t="shared" ca="1" si="16"/>
        <v>In Progress</v>
      </c>
      <c r="L310" t="str" cm="1">
        <f t="array" aca="1" ref="L310" ca="1">INDEX(AnalystList,RANDBETWEEN(1,ROWS(AnalystList)))</f>
        <v>Jordan Lee</v>
      </c>
      <c r="M310" t="str" cm="1">
        <f t="array" aca="1" ref="M310" ca="1">INDEX(RootCauseList,RANDBETWEEN(1,ROWS(RootCauseList)))</f>
        <v>Integration Failure</v>
      </c>
      <c r="N310">
        <f t="shared" ca="1" si="19"/>
        <v>1780.52</v>
      </c>
      <c r="O310" t="str">
        <f ca="1">IF(OR(IncidentTable[[#This Row],[Status]]="Resolved",IncidentTable[[#This Row],[Status]]="Closed"),
ROUND(IncidentTable[[#This Row],[Estimated Impact ($)]]*(1+RANDBETWEEN(-15,25)/100)+RAND(),2),
"")</f>
        <v/>
      </c>
      <c r="P310" t="str">
        <f ca="1">IF(IncidentTable[[#This Row],[Actual Impact ($)]]="","",ROUND(IncidentTable[[#This Row],[Actual Impact ($)]]-IncidentTable[[#This Row],[Estimated Impact ($)]],2))</f>
        <v/>
      </c>
      <c r="Q310" s="2" t="str">
        <f ca="1">IF(IncidentTable[[#This Row],[Actual Impact ($)]]="","",(IncidentTable[[#This Row],[Actual Impact ($)]]-IncidentTable[[#This Row],[Estimated Impact ($)]]) / IncidentTable[[#This Row],[Estimated Impact ($)]])</f>
        <v/>
      </c>
      <c r="R310" s="3">
        <f ca="1">IF(IncidentTable[[#This Row],[Priority]]="Critical",1,
IF(IncidentTable[[#This Row],[Priority]]="High",3,
IF(IncidentTable[[#This Row],[Priority]]="Medium",5,
IF(IncidentTable[[#This Row],[Priority]]="Low",10,""))))</f>
        <v>3</v>
      </c>
      <c r="S310" t="str">
        <f ca="1">IF(IncidentTable[[#This Row],[Resolution Time (Days)]]="","",
IF(IncidentTable[[#This Row],[Resolution Time (Days)]]&lt;=IncidentTable[[#This Row],[SLA Target (Days)]],"Yes","No"))</f>
        <v/>
      </c>
    </row>
    <row r="311" spans="1:19" x14ac:dyDescent="0.25">
      <c r="A311" t="str">
        <f t="shared" ca="1" si="17"/>
        <v>INC333145</v>
      </c>
      <c r="B311" t="str" cm="1">
        <f t="array" aca="1" ref="B311" ca="1">INDEX(SystemList,RANDBETWEEN(1,ROWS(SystemList)))</f>
        <v>Claims System</v>
      </c>
      <c r="C311" t="str" cm="1">
        <f t="array" aca="1" ref="C311" ca="1">INDEX(IssueTypeList,RANDBETWEEN(1,ROWS(IssueTypeList)))</f>
        <v>Data Issue</v>
      </c>
      <c r="D311" t="str" cm="1">
        <f t="array" aca="1" ref="D311" ca="1">INDEX(PriorityList,RANDBETWEEN(1,ROWS(PriorityList)))</f>
        <v>High</v>
      </c>
      <c r="E311" t="str" cm="1">
        <f t="array" aca="1" ref="E311" ca="1">INDEX(SeverityList,RANDBETWEEN(1,ROWS(SeverityList)))</f>
        <v>Minor</v>
      </c>
      <c r="F311" t="str" cm="1">
        <f t="array" aca="1" ref="F311" ca="1">INDEX(RegionList,RANDBETWEEN(1,ROWS(RegionList)))</f>
        <v>Central</v>
      </c>
      <c r="G311" t="str" cm="1">
        <f t="array" aca="1" ref="G311" ca="1">INDEX(DepartmentList,RANDBETWEEN(1,ROWS(DepartmentList)))</f>
        <v>Customer Service</v>
      </c>
      <c r="H311" s="1">
        <f t="shared" ca="1" si="18"/>
        <v>45472</v>
      </c>
      <c r="I311" s="4" t="str">
        <f ca="1">IF(IncidentTable[[#This Row],[Resolution Time (Days)]]="","",IncidentTable[[#This Row],[Created Date]]+IncidentTable[[#This Row],[Resolution Time (Days)]])</f>
        <v/>
      </c>
      <c r="J311" t="str">
        <f ca="1">IF(OR(IncidentTable[[#This Row],[Status]]="Resolved",IncidentTable[[#This Row],[Status]]="Closed"),RANDBETWEEN(1,120),"")</f>
        <v/>
      </c>
      <c r="K311" t="str">
        <f t="shared" ca="1" si="16"/>
        <v>Open</v>
      </c>
      <c r="L311" t="str" cm="1">
        <f t="array" aca="1" ref="L311" ca="1">INDEX(AnalystList,RANDBETWEEN(1,ROWS(AnalystList)))</f>
        <v>Morgan Davis</v>
      </c>
      <c r="M311" t="str" cm="1">
        <f t="array" aca="1" ref="M311" ca="1">INDEX(RootCauseList,RANDBETWEEN(1,ROWS(RootCauseList)))</f>
        <v>Unknown</v>
      </c>
      <c r="N311">
        <f t="shared" ca="1" si="19"/>
        <v>4370.18</v>
      </c>
      <c r="O311" t="str">
        <f ca="1">IF(OR(IncidentTable[[#This Row],[Status]]="Resolved",IncidentTable[[#This Row],[Status]]="Closed"),
ROUND(IncidentTable[[#This Row],[Estimated Impact ($)]]*(1+RANDBETWEEN(-15,25)/100)+RAND(),2),
"")</f>
        <v/>
      </c>
      <c r="P311" t="str">
        <f ca="1">IF(IncidentTable[[#This Row],[Actual Impact ($)]]="","",ROUND(IncidentTable[[#This Row],[Actual Impact ($)]]-IncidentTable[[#This Row],[Estimated Impact ($)]],2))</f>
        <v/>
      </c>
      <c r="Q311" s="2" t="str">
        <f ca="1">IF(IncidentTable[[#This Row],[Actual Impact ($)]]="","",(IncidentTable[[#This Row],[Actual Impact ($)]]-IncidentTable[[#This Row],[Estimated Impact ($)]]) / IncidentTable[[#This Row],[Estimated Impact ($)]])</f>
        <v/>
      </c>
      <c r="R311" s="3">
        <f ca="1">IF(IncidentTable[[#This Row],[Priority]]="Critical",1,
IF(IncidentTable[[#This Row],[Priority]]="High",3,
IF(IncidentTable[[#This Row],[Priority]]="Medium",5,
IF(IncidentTable[[#This Row],[Priority]]="Low",10,""))))</f>
        <v>3</v>
      </c>
      <c r="S311" t="str">
        <f ca="1">IF(IncidentTable[[#This Row],[Resolution Time (Days)]]="","",
IF(IncidentTable[[#This Row],[Resolution Time (Days)]]&lt;=IncidentTable[[#This Row],[SLA Target (Days)]],"Yes","No"))</f>
        <v/>
      </c>
    </row>
    <row r="312" spans="1:19" x14ac:dyDescent="0.25">
      <c r="A312" t="str">
        <f t="shared" ca="1" si="17"/>
        <v>INC429950</v>
      </c>
      <c r="B312" t="str" cm="1">
        <f t="array" aca="1" ref="B312" ca="1">INDEX(SystemList,RANDBETWEEN(1,ROWS(SystemList)))</f>
        <v>Customer Portal</v>
      </c>
      <c r="C312" t="str" cm="1">
        <f t="array" aca="1" ref="C312" ca="1">INDEX(IssueTypeList,RANDBETWEEN(1,ROWS(IssueTypeList)))</f>
        <v>Processing Delay</v>
      </c>
      <c r="D312" t="str" cm="1">
        <f t="array" aca="1" ref="D312" ca="1">INDEX(PriorityList,RANDBETWEEN(1,ROWS(PriorityList)))</f>
        <v>Critical</v>
      </c>
      <c r="E312" t="str" cm="1">
        <f t="array" aca="1" ref="E312" ca="1">INDEX(SeverityList,RANDBETWEEN(1,ROWS(SeverityList)))</f>
        <v>Major</v>
      </c>
      <c r="F312" t="str" cm="1">
        <f t="array" aca="1" ref="F312" ca="1">INDEX(RegionList,RANDBETWEEN(1,ROWS(RegionList)))</f>
        <v>East</v>
      </c>
      <c r="G312" t="str" cm="1">
        <f t="array" aca="1" ref="G312" ca="1">INDEX(DepartmentList,RANDBETWEEN(1,ROWS(DepartmentList)))</f>
        <v>Finance</v>
      </c>
      <c r="H312" s="1">
        <f t="shared" ca="1" si="18"/>
        <v>45000</v>
      </c>
      <c r="I312" s="4" t="str">
        <f ca="1">IF(IncidentTable[[#This Row],[Resolution Time (Days)]]="","",IncidentTable[[#This Row],[Created Date]]+IncidentTable[[#This Row],[Resolution Time (Days)]])</f>
        <v/>
      </c>
      <c r="J312" t="str">
        <f ca="1">IF(OR(IncidentTable[[#This Row],[Status]]="Resolved",IncidentTable[[#This Row],[Status]]="Closed"),RANDBETWEEN(1,120),"")</f>
        <v/>
      </c>
      <c r="K312" t="str">
        <f t="shared" ca="1" si="16"/>
        <v>In Progress</v>
      </c>
      <c r="L312" t="str" cm="1">
        <f t="array" aca="1" ref="L312" ca="1">INDEX(AnalystList,RANDBETWEEN(1,ROWS(AnalystList)))</f>
        <v>Alex Johnson</v>
      </c>
      <c r="M312" t="str" cm="1">
        <f t="array" aca="1" ref="M312" ca="1">INDEX(RootCauseList,RANDBETWEEN(1,ROWS(RootCauseList)))</f>
        <v>Configuration Issue</v>
      </c>
      <c r="N312">
        <f t="shared" ca="1" si="19"/>
        <v>5215.08</v>
      </c>
      <c r="O312" t="str">
        <f ca="1">IF(OR(IncidentTable[[#This Row],[Status]]="Resolved",IncidentTable[[#This Row],[Status]]="Closed"),
ROUND(IncidentTable[[#This Row],[Estimated Impact ($)]]*(1+RANDBETWEEN(-15,25)/100)+RAND(),2),
"")</f>
        <v/>
      </c>
      <c r="P312" t="str">
        <f ca="1">IF(IncidentTable[[#This Row],[Actual Impact ($)]]="","",ROUND(IncidentTable[[#This Row],[Actual Impact ($)]]-IncidentTable[[#This Row],[Estimated Impact ($)]],2))</f>
        <v/>
      </c>
      <c r="Q312" s="2" t="str">
        <f ca="1">IF(IncidentTable[[#This Row],[Actual Impact ($)]]="","",(IncidentTable[[#This Row],[Actual Impact ($)]]-IncidentTable[[#This Row],[Estimated Impact ($)]]) / IncidentTable[[#This Row],[Estimated Impact ($)]])</f>
        <v/>
      </c>
      <c r="R312" s="3">
        <f ca="1">IF(IncidentTable[[#This Row],[Priority]]="Critical",1,
IF(IncidentTable[[#This Row],[Priority]]="High",3,
IF(IncidentTable[[#This Row],[Priority]]="Medium",5,
IF(IncidentTable[[#This Row],[Priority]]="Low",10,""))))</f>
        <v>1</v>
      </c>
      <c r="S312" t="str">
        <f ca="1">IF(IncidentTable[[#This Row],[Resolution Time (Days)]]="","",
IF(IncidentTable[[#This Row],[Resolution Time (Days)]]&lt;=IncidentTable[[#This Row],[SLA Target (Days)]],"Yes","No"))</f>
        <v/>
      </c>
    </row>
    <row r="313" spans="1:19" x14ac:dyDescent="0.25">
      <c r="A313" t="str">
        <f t="shared" ca="1" si="17"/>
        <v>INC604912</v>
      </c>
      <c r="B313" t="str" cm="1">
        <f t="array" aca="1" ref="B313" ca="1">INDEX(SystemList,RANDBETWEEN(1,ROWS(SystemList)))</f>
        <v>Claims System</v>
      </c>
      <c r="C313" t="str" cm="1">
        <f t="array" aca="1" ref="C313" ca="1">INDEX(IssueTypeList,RANDBETWEEN(1,ROWS(IssueTypeList)))</f>
        <v>Complaint</v>
      </c>
      <c r="D313" t="str" cm="1">
        <f t="array" aca="1" ref="D313" ca="1">INDEX(PriorityList,RANDBETWEEN(1,ROWS(PriorityList)))</f>
        <v>Low</v>
      </c>
      <c r="E313" t="str" cm="1">
        <f t="array" aca="1" ref="E313" ca="1">INDEX(SeverityList,RANDBETWEEN(1,ROWS(SeverityList)))</f>
        <v>Moderate</v>
      </c>
      <c r="F313" t="str" cm="1">
        <f t="array" aca="1" ref="F313" ca="1">INDEX(RegionList,RANDBETWEEN(1,ROWS(RegionList)))</f>
        <v>West</v>
      </c>
      <c r="G313" t="str" cm="1">
        <f t="array" aca="1" ref="G313" ca="1">INDEX(DepartmentList,RANDBETWEEN(1,ROWS(DepartmentList)))</f>
        <v>IT</v>
      </c>
      <c r="H313" s="1">
        <f t="shared" ca="1" si="18"/>
        <v>45446</v>
      </c>
      <c r="I313" s="4" t="str">
        <f ca="1">IF(IncidentTable[[#This Row],[Resolution Time (Days)]]="","",IncidentTable[[#This Row],[Created Date]]+IncidentTable[[#This Row],[Resolution Time (Days)]])</f>
        <v/>
      </c>
      <c r="J313" t="str">
        <f ca="1">IF(OR(IncidentTable[[#This Row],[Status]]="Resolved",IncidentTable[[#This Row],[Status]]="Closed"),RANDBETWEEN(1,120),"")</f>
        <v/>
      </c>
      <c r="K313" t="str">
        <f t="shared" ca="1" si="16"/>
        <v>Pending</v>
      </c>
      <c r="L313" t="str" cm="1">
        <f t="array" aca="1" ref="L313" ca="1">INDEX(AnalystList,RANDBETWEEN(1,ROWS(AnalystList)))</f>
        <v>Taylor Smith</v>
      </c>
      <c r="M313" t="str" cm="1">
        <f t="array" aca="1" ref="M313" ca="1">INDEX(RootCauseList,RANDBETWEEN(1,ROWS(RootCauseList)))</f>
        <v>Process Gap</v>
      </c>
      <c r="N313">
        <f t="shared" ca="1" si="19"/>
        <v>12996.65</v>
      </c>
      <c r="O313" t="str">
        <f ca="1">IF(OR(IncidentTable[[#This Row],[Status]]="Resolved",IncidentTable[[#This Row],[Status]]="Closed"),
ROUND(IncidentTable[[#This Row],[Estimated Impact ($)]]*(1+RANDBETWEEN(-15,25)/100)+RAND(),2),
"")</f>
        <v/>
      </c>
      <c r="P313" t="str">
        <f ca="1">IF(IncidentTable[[#This Row],[Actual Impact ($)]]="","",ROUND(IncidentTable[[#This Row],[Actual Impact ($)]]-IncidentTable[[#This Row],[Estimated Impact ($)]],2))</f>
        <v/>
      </c>
      <c r="Q313" s="2" t="str">
        <f ca="1">IF(IncidentTable[[#This Row],[Actual Impact ($)]]="","",(IncidentTable[[#This Row],[Actual Impact ($)]]-IncidentTable[[#This Row],[Estimated Impact ($)]]) / IncidentTable[[#This Row],[Estimated Impact ($)]])</f>
        <v/>
      </c>
      <c r="R313" s="3">
        <f ca="1">IF(IncidentTable[[#This Row],[Priority]]="Critical",1,
IF(IncidentTable[[#This Row],[Priority]]="High",3,
IF(IncidentTable[[#This Row],[Priority]]="Medium",5,
IF(IncidentTable[[#This Row],[Priority]]="Low",10,""))))</f>
        <v>10</v>
      </c>
      <c r="S313" t="str">
        <f ca="1">IF(IncidentTable[[#This Row],[Resolution Time (Days)]]="","",
IF(IncidentTable[[#This Row],[Resolution Time (Days)]]&lt;=IncidentTable[[#This Row],[SLA Target (Days)]],"Yes","No"))</f>
        <v/>
      </c>
    </row>
    <row r="314" spans="1:19" x14ac:dyDescent="0.25">
      <c r="A314" t="str">
        <f t="shared" ca="1" si="17"/>
        <v>INC565176</v>
      </c>
      <c r="B314" t="str" cm="1">
        <f t="array" aca="1" ref="B314" ca="1">INDEX(SystemList,RANDBETWEEN(1,ROWS(SystemList)))</f>
        <v>Billing System</v>
      </c>
      <c r="C314" t="str" cm="1">
        <f t="array" aca="1" ref="C314" ca="1">INDEX(IssueTypeList,RANDBETWEEN(1,ROWS(IssueTypeList)))</f>
        <v>Performance Issue</v>
      </c>
      <c r="D314" t="str" cm="1">
        <f t="array" aca="1" ref="D314" ca="1">INDEX(PriorityList,RANDBETWEEN(1,ROWS(PriorityList)))</f>
        <v>High</v>
      </c>
      <c r="E314" t="str" cm="1">
        <f t="array" aca="1" ref="E314" ca="1">INDEX(SeverityList,RANDBETWEEN(1,ROWS(SeverityList)))</f>
        <v>Moderate</v>
      </c>
      <c r="F314" t="str" cm="1">
        <f t="array" aca="1" ref="F314" ca="1">INDEX(RegionList,RANDBETWEEN(1,ROWS(RegionList)))</f>
        <v>East</v>
      </c>
      <c r="G314" t="str" cm="1">
        <f t="array" aca="1" ref="G314" ca="1">INDEX(DepartmentList,RANDBETWEEN(1,ROWS(DepartmentList)))</f>
        <v>Billing</v>
      </c>
      <c r="H314" s="1">
        <f t="shared" ca="1" si="18"/>
        <v>45204</v>
      </c>
      <c r="I314" s="4" t="str">
        <f ca="1">IF(IncidentTable[[#This Row],[Resolution Time (Days)]]="","",IncidentTable[[#This Row],[Created Date]]+IncidentTable[[#This Row],[Resolution Time (Days)]])</f>
        <v/>
      </c>
      <c r="J314" t="str">
        <f ca="1">IF(OR(IncidentTable[[#This Row],[Status]]="Resolved",IncidentTable[[#This Row],[Status]]="Closed"),RANDBETWEEN(1,120),"")</f>
        <v/>
      </c>
      <c r="K314" t="str">
        <f t="shared" ca="1" si="16"/>
        <v>Open</v>
      </c>
      <c r="L314" t="str" cm="1">
        <f t="array" aca="1" ref="L314" ca="1">INDEX(AnalystList,RANDBETWEEN(1,ROWS(AnalystList)))</f>
        <v>Jordan Lee</v>
      </c>
      <c r="M314" t="str" cm="1">
        <f t="array" aca="1" ref="M314" ca="1">INDEX(RootCauseList,RANDBETWEEN(1,ROWS(RootCauseList)))</f>
        <v>Integration Failure</v>
      </c>
      <c r="N314">
        <f t="shared" ca="1" si="19"/>
        <v>9191.08</v>
      </c>
      <c r="O314" t="str">
        <f ca="1">IF(OR(IncidentTable[[#This Row],[Status]]="Resolved",IncidentTable[[#This Row],[Status]]="Closed"),
ROUND(IncidentTable[[#This Row],[Estimated Impact ($)]]*(1+RANDBETWEEN(-15,25)/100)+RAND(),2),
"")</f>
        <v/>
      </c>
      <c r="P314" t="str">
        <f ca="1">IF(IncidentTable[[#This Row],[Actual Impact ($)]]="","",ROUND(IncidentTable[[#This Row],[Actual Impact ($)]]-IncidentTable[[#This Row],[Estimated Impact ($)]],2))</f>
        <v/>
      </c>
      <c r="Q314" s="2" t="str">
        <f ca="1">IF(IncidentTable[[#This Row],[Actual Impact ($)]]="","",(IncidentTable[[#This Row],[Actual Impact ($)]]-IncidentTable[[#This Row],[Estimated Impact ($)]]) / IncidentTable[[#This Row],[Estimated Impact ($)]])</f>
        <v/>
      </c>
      <c r="R314" s="3">
        <f ca="1">IF(IncidentTable[[#This Row],[Priority]]="Critical",1,
IF(IncidentTable[[#This Row],[Priority]]="High",3,
IF(IncidentTable[[#This Row],[Priority]]="Medium",5,
IF(IncidentTable[[#This Row],[Priority]]="Low",10,""))))</f>
        <v>3</v>
      </c>
      <c r="S314" t="str">
        <f ca="1">IF(IncidentTable[[#This Row],[Resolution Time (Days)]]="","",
IF(IncidentTable[[#This Row],[Resolution Time (Days)]]&lt;=IncidentTable[[#This Row],[SLA Target (Days)]],"Yes","No"))</f>
        <v/>
      </c>
    </row>
    <row r="315" spans="1:19" x14ac:dyDescent="0.25">
      <c r="A315" t="str">
        <f t="shared" ca="1" si="17"/>
        <v>INC207818</v>
      </c>
      <c r="B315" t="str" cm="1">
        <f t="array" aca="1" ref="B315" ca="1">INDEX(SystemList,RANDBETWEEN(1,ROWS(SystemList)))</f>
        <v>Regulatory System</v>
      </c>
      <c r="C315" t="str" cm="1">
        <f t="array" aca="1" ref="C315" ca="1">INDEX(IssueTypeList,RANDBETWEEN(1,ROWS(IssueTypeList)))</f>
        <v>User Access Issue</v>
      </c>
      <c r="D315" t="str" cm="1">
        <f t="array" aca="1" ref="D315" ca="1">INDEX(PriorityList,RANDBETWEEN(1,ROWS(PriorityList)))</f>
        <v>Critical</v>
      </c>
      <c r="E315" t="str" cm="1">
        <f t="array" aca="1" ref="E315" ca="1">INDEX(SeverityList,RANDBETWEEN(1,ROWS(SeverityList)))</f>
        <v>Critical</v>
      </c>
      <c r="F315" t="str" cm="1">
        <f t="array" aca="1" ref="F315" ca="1">INDEX(RegionList,RANDBETWEEN(1,ROWS(RegionList)))</f>
        <v>Southeast</v>
      </c>
      <c r="G315" t="str" cm="1">
        <f t="array" aca="1" ref="G315" ca="1">INDEX(DepartmentList,RANDBETWEEN(1,ROWS(DepartmentList)))</f>
        <v>IT</v>
      </c>
      <c r="H315" s="1">
        <f t="shared" ca="1" si="18"/>
        <v>45084</v>
      </c>
      <c r="I315" s="4">
        <f ca="1">IF(IncidentTable[[#This Row],[Resolution Time (Days)]]="","",IncidentTable[[#This Row],[Created Date]]+IncidentTable[[#This Row],[Resolution Time (Days)]])</f>
        <v>45170</v>
      </c>
      <c r="J315">
        <f ca="1">IF(OR(IncidentTable[[#This Row],[Status]]="Resolved",IncidentTable[[#This Row],[Status]]="Closed"),RANDBETWEEN(1,120),"")</f>
        <v>86</v>
      </c>
      <c r="K315" t="str">
        <f t="shared" ca="1" si="16"/>
        <v>Resolved</v>
      </c>
      <c r="L315" t="str" cm="1">
        <f t="array" aca="1" ref="L315" ca="1">INDEX(AnalystList,RANDBETWEEN(1,ROWS(AnalystList)))</f>
        <v>Riley Wilson</v>
      </c>
      <c r="M315" t="str" cm="1">
        <f t="array" aca="1" ref="M315" ca="1">INDEX(RootCauseList,RANDBETWEEN(1,ROWS(RootCauseList)))</f>
        <v>Network Failure</v>
      </c>
      <c r="N315">
        <f t="shared" ca="1" si="19"/>
        <v>10480.73</v>
      </c>
      <c r="O315">
        <f ca="1">IF(OR(IncidentTable[[#This Row],[Status]]="Resolved",IncidentTable[[#This Row],[Status]]="Closed"),
ROUND(IncidentTable[[#This Row],[Estimated Impact ($)]]*(1+RANDBETWEEN(-15,25)/100)+RAND(),2),
"")</f>
        <v>10376.02</v>
      </c>
      <c r="P315">
        <f ca="1">IF(IncidentTable[[#This Row],[Actual Impact ($)]]="","",ROUND(IncidentTable[[#This Row],[Actual Impact ($)]]-IncidentTable[[#This Row],[Estimated Impact ($)]],2))</f>
        <v>-104.71</v>
      </c>
      <c r="Q315" s="2">
        <f ca="1">IF(IncidentTable[[#This Row],[Actual Impact ($)]]="","",(IncidentTable[[#This Row],[Actual Impact ($)]]-IncidentTable[[#This Row],[Estimated Impact ($)]]) / IncidentTable[[#This Row],[Estimated Impact ($)]])</f>
        <v>-9.9907162955251341E-3</v>
      </c>
      <c r="R315" s="3">
        <f ca="1">IF(IncidentTable[[#This Row],[Priority]]="Critical",1,
IF(IncidentTable[[#This Row],[Priority]]="High",3,
IF(IncidentTable[[#This Row],[Priority]]="Medium",5,
IF(IncidentTable[[#This Row],[Priority]]="Low",10,""))))</f>
        <v>1</v>
      </c>
      <c r="S315" t="str">
        <f ca="1">IF(IncidentTable[[#This Row],[Resolution Time (Days)]]="","",
IF(IncidentTable[[#This Row],[Resolution Time (Days)]]&lt;=IncidentTable[[#This Row],[SLA Target (Days)]],"Yes","No"))</f>
        <v>No</v>
      </c>
    </row>
    <row r="316" spans="1:19" x14ac:dyDescent="0.25">
      <c r="A316" t="str">
        <f t="shared" ca="1" si="17"/>
        <v>INC893798</v>
      </c>
      <c r="B316" t="str" cm="1">
        <f t="array" aca="1" ref="B316" ca="1">INDEX(SystemList,RANDBETWEEN(1,ROWS(SystemList)))</f>
        <v>Claims System</v>
      </c>
      <c r="C316" t="str" cm="1">
        <f t="array" aca="1" ref="C316" ca="1">INDEX(IssueTypeList,RANDBETWEEN(1,ROWS(IssueTypeList)))</f>
        <v>Complaint</v>
      </c>
      <c r="D316" t="str" cm="1">
        <f t="array" aca="1" ref="D316" ca="1">INDEX(PriorityList,RANDBETWEEN(1,ROWS(PriorityList)))</f>
        <v>Critical</v>
      </c>
      <c r="E316" t="str" cm="1">
        <f t="array" aca="1" ref="E316" ca="1">INDEX(SeverityList,RANDBETWEEN(1,ROWS(SeverityList)))</f>
        <v>Moderate</v>
      </c>
      <c r="F316" t="str" cm="1">
        <f t="array" aca="1" ref="F316" ca="1">INDEX(RegionList,RANDBETWEEN(1,ROWS(RegionList)))</f>
        <v>Midwest</v>
      </c>
      <c r="G316" t="str" cm="1">
        <f t="array" aca="1" ref="G316" ca="1">INDEX(DepartmentList,RANDBETWEEN(1,ROWS(DepartmentList)))</f>
        <v>Billing</v>
      </c>
      <c r="H316" s="1">
        <f t="shared" ca="1" si="18"/>
        <v>45326</v>
      </c>
      <c r="I316" s="4">
        <f ca="1">IF(IncidentTable[[#This Row],[Resolution Time (Days)]]="","",IncidentTable[[#This Row],[Created Date]]+IncidentTable[[#This Row],[Resolution Time (Days)]])</f>
        <v>45412</v>
      </c>
      <c r="J316">
        <f ca="1">IF(OR(IncidentTable[[#This Row],[Status]]="Resolved",IncidentTable[[#This Row],[Status]]="Closed"),RANDBETWEEN(1,120),"")</f>
        <v>86</v>
      </c>
      <c r="K316" t="str">
        <f t="shared" ca="1" si="16"/>
        <v>Resolved</v>
      </c>
      <c r="L316" t="str" cm="1">
        <f t="array" aca="1" ref="L316" ca="1">INDEX(AnalystList,RANDBETWEEN(1,ROWS(AnalystList)))</f>
        <v>Riley Wilson</v>
      </c>
      <c r="M316" t="str" cm="1">
        <f t="array" aca="1" ref="M316" ca="1">INDEX(RootCauseList,RANDBETWEEN(1,ROWS(RootCauseList)))</f>
        <v>Data Error</v>
      </c>
      <c r="N316">
        <f t="shared" ca="1" si="19"/>
        <v>3373.06</v>
      </c>
      <c r="O316">
        <f ca="1">IF(OR(IncidentTable[[#This Row],[Status]]="Resolved",IncidentTable[[#This Row],[Status]]="Closed"),
ROUND(IncidentTable[[#This Row],[Estimated Impact ($)]]*(1+RANDBETWEEN(-15,25)/100)+RAND(),2),
"")</f>
        <v>3744.6</v>
      </c>
      <c r="P316">
        <f ca="1">IF(IncidentTable[[#This Row],[Actual Impact ($)]]="","",ROUND(IncidentTable[[#This Row],[Actual Impact ($)]]-IncidentTable[[#This Row],[Estimated Impact ($)]],2))</f>
        <v>371.54</v>
      </c>
      <c r="Q316" s="2">
        <f ca="1">IF(IncidentTable[[#This Row],[Actual Impact ($)]]="","",(IncidentTable[[#This Row],[Actual Impact ($)]]-IncidentTable[[#This Row],[Estimated Impact ($)]]) / IncidentTable[[#This Row],[Estimated Impact ($)]])</f>
        <v>0.11014924134168973</v>
      </c>
      <c r="R316" s="3">
        <f ca="1">IF(IncidentTable[[#This Row],[Priority]]="Critical",1,
IF(IncidentTable[[#This Row],[Priority]]="High",3,
IF(IncidentTable[[#This Row],[Priority]]="Medium",5,
IF(IncidentTable[[#This Row],[Priority]]="Low",10,""))))</f>
        <v>1</v>
      </c>
      <c r="S316" t="str">
        <f ca="1">IF(IncidentTable[[#This Row],[Resolution Time (Days)]]="","",
IF(IncidentTable[[#This Row],[Resolution Time (Days)]]&lt;=IncidentTable[[#This Row],[SLA Target (Days)]],"Yes","No"))</f>
        <v>No</v>
      </c>
    </row>
    <row r="317" spans="1:19" x14ac:dyDescent="0.25">
      <c r="A317" t="str">
        <f t="shared" ca="1" si="17"/>
        <v>INC398019</v>
      </c>
      <c r="B317" t="str" cm="1">
        <f t="array" aca="1" ref="B317" ca="1">INDEX(SystemList,RANDBETWEEN(1,ROWS(SystemList)))</f>
        <v>Regulatory System</v>
      </c>
      <c r="C317" t="str" cm="1">
        <f t="array" aca="1" ref="C317" ca="1">INDEX(IssueTypeList,RANDBETWEEN(1,ROWS(IssueTypeList)))</f>
        <v>System Error</v>
      </c>
      <c r="D317" t="str" cm="1">
        <f t="array" aca="1" ref="D317" ca="1">INDEX(PriorityList,RANDBETWEEN(1,ROWS(PriorityList)))</f>
        <v>High</v>
      </c>
      <c r="E317" t="str" cm="1">
        <f t="array" aca="1" ref="E317" ca="1">INDEX(SeverityList,RANDBETWEEN(1,ROWS(SeverityList)))</f>
        <v>Minor</v>
      </c>
      <c r="F317" t="str" cm="1">
        <f t="array" aca="1" ref="F317" ca="1">INDEX(RegionList,RANDBETWEEN(1,ROWS(RegionList)))</f>
        <v>West</v>
      </c>
      <c r="G317" t="str" cm="1">
        <f t="array" aca="1" ref="G317" ca="1">INDEX(DepartmentList,RANDBETWEEN(1,ROWS(DepartmentList)))</f>
        <v>Billing</v>
      </c>
      <c r="H317" s="1">
        <f t="shared" ca="1" si="18"/>
        <v>45292</v>
      </c>
      <c r="I317" s="4">
        <f ca="1">IF(IncidentTable[[#This Row],[Resolution Time (Days)]]="","",IncidentTable[[#This Row],[Created Date]]+IncidentTable[[#This Row],[Resolution Time (Days)]])</f>
        <v>45406</v>
      </c>
      <c r="J317">
        <f ca="1">IF(OR(IncidentTable[[#This Row],[Status]]="Resolved",IncidentTable[[#This Row],[Status]]="Closed"),RANDBETWEEN(1,120),"")</f>
        <v>114</v>
      </c>
      <c r="K317" t="str">
        <f t="shared" ca="1" si="16"/>
        <v>Resolved</v>
      </c>
      <c r="L317" t="str" cm="1">
        <f t="array" aca="1" ref="L317" ca="1">INDEX(AnalystList,RANDBETWEEN(1,ROWS(AnalystList)))</f>
        <v>Morgan Davis</v>
      </c>
      <c r="M317" t="str" cm="1">
        <f t="array" aca="1" ref="M317" ca="1">INDEX(RootCauseList,RANDBETWEEN(1,ROWS(RootCauseList)))</f>
        <v>System Bug</v>
      </c>
      <c r="N317">
        <f t="shared" ca="1" si="19"/>
        <v>9416.17</v>
      </c>
      <c r="O317">
        <f ca="1">IF(OR(IncidentTable[[#This Row],[Status]]="Resolved",IncidentTable[[#This Row],[Status]]="Closed"),
ROUND(IncidentTable[[#This Row],[Estimated Impact ($)]]*(1+RANDBETWEEN(-15,25)/100)+RAND(),2),
"")</f>
        <v>10640.72</v>
      </c>
      <c r="P317">
        <f ca="1">IF(IncidentTable[[#This Row],[Actual Impact ($)]]="","",ROUND(IncidentTable[[#This Row],[Actual Impact ($)]]-IncidentTable[[#This Row],[Estimated Impact ($)]],2))</f>
        <v>1224.55</v>
      </c>
      <c r="Q317" s="2">
        <f ca="1">IF(IncidentTable[[#This Row],[Actual Impact ($)]]="","",(IncidentTable[[#This Row],[Actual Impact ($)]]-IncidentTable[[#This Row],[Estimated Impact ($)]]) / IncidentTable[[#This Row],[Estimated Impact ($)]])</f>
        <v>0.13004756711061921</v>
      </c>
      <c r="R317" s="3">
        <f ca="1">IF(IncidentTable[[#This Row],[Priority]]="Critical",1,
IF(IncidentTable[[#This Row],[Priority]]="High",3,
IF(IncidentTable[[#This Row],[Priority]]="Medium",5,
IF(IncidentTable[[#This Row],[Priority]]="Low",10,""))))</f>
        <v>3</v>
      </c>
      <c r="S317" t="str">
        <f ca="1">IF(IncidentTable[[#This Row],[Resolution Time (Days)]]="","",
IF(IncidentTable[[#This Row],[Resolution Time (Days)]]&lt;=IncidentTable[[#This Row],[SLA Target (Days)]],"Yes","No"))</f>
        <v>No</v>
      </c>
    </row>
    <row r="318" spans="1:19" x14ac:dyDescent="0.25">
      <c r="A318" t="str">
        <f t="shared" ca="1" si="17"/>
        <v>INC989447</v>
      </c>
      <c r="B318" t="str" cm="1">
        <f t="array" aca="1" ref="B318" ca="1">INDEX(SystemList,RANDBETWEEN(1,ROWS(SystemList)))</f>
        <v>Regulatory System</v>
      </c>
      <c r="C318" t="str" cm="1">
        <f t="array" aca="1" ref="C318" ca="1">INDEX(IssueTypeList,RANDBETWEEN(1,ROWS(IssueTypeList)))</f>
        <v>System Error</v>
      </c>
      <c r="D318" t="str" cm="1">
        <f t="array" aca="1" ref="D318" ca="1">INDEX(PriorityList,RANDBETWEEN(1,ROWS(PriorityList)))</f>
        <v>High</v>
      </c>
      <c r="E318" t="str" cm="1">
        <f t="array" aca="1" ref="E318" ca="1">INDEX(SeverityList,RANDBETWEEN(1,ROWS(SeverityList)))</f>
        <v>Critical</v>
      </c>
      <c r="F318" t="str" cm="1">
        <f t="array" aca="1" ref="F318" ca="1">INDEX(RegionList,RANDBETWEEN(1,ROWS(RegionList)))</f>
        <v>East</v>
      </c>
      <c r="G318" t="str" cm="1">
        <f t="array" aca="1" ref="G318" ca="1">INDEX(DepartmentList,RANDBETWEEN(1,ROWS(DepartmentList)))</f>
        <v>Finance</v>
      </c>
      <c r="H318" s="1">
        <f t="shared" ca="1" si="18"/>
        <v>45289</v>
      </c>
      <c r="I318" s="4">
        <f ca="1">IF(IncidentTable[[#This Row],[Resolution Time (Days)]]="","",IncidentTable[[#This Row],[Created Date]]+IncidentTable[[#This Row],[Resolution Time (Days)]])</f>
        <v>45319</v>
      </c>
      <c r="J318">
        <f ca="1">IF(OR(IncidentTable[[#This Row],[Status]]="Resolved",IncidentTable[[#This Row],[Status]]="Closed"),RANDBETWEEN(1,120),"")</f>
        <v>30</v>
      </c>
      <c r="K318" t="str">
        <f t="shared" ca="1" si="16"/>
        <v>Closed</v>
      </c>
      <c r="L318" t="str" cm="1">
        <f t="array" aca="1" ref="L318" ca="1">INDEX(AnalystList,RANDBETWEEN(1,ROWS(AnalystList)))</f>
        <v>Taylor Smith</v>
      </c>
      <c r="M318" t="str" cm="1">
        <f t="array" aca="1" ref="M318" ca="1">INDEX(RootCauseList,RANDBETWEEN(1,ROWS(RootCauseList)))</f>
        <v>Network Failure</v>
      </c>
      <c r="N318">
        <f t="shared" ca="1" si="19"/>
        <v>9174.36</v>
      </c>
      <c r="O318">
        <f ca="1">IF(OR(IncidentTable[[#This Row],[Status]]="Resolved",IncidentTable[[#This Row],[Status]]="Closed"),
ROUND(IncidentTable[[#This Row],[Estimated Impact ($)]]*(1+RANDBETWEEN(-15,25)/100)+RAND(),2),
"")</f>
        <v>10275.86</v>
      </c>
      <c r="P318">
        <f ca="1">IF(IncidentTable[[#This Row],[Actual Impact ($)]]="","",ROUND(IncidentTable[[#This Row],[Actual Impact ($)]]-IncidentTable[[#This Row],[Estimated Impact ($)]],2))</f>
        <v>1101.5</v>
      </c>
      <c r="Q318" s="2">
        <f ca="1">IF(IncidentTable[[#This Row],[Actual Impact ($)]]="","",(IncidentTable[[#This Row],[Actual Impact ($)]]-IncidentTable[[#This Row],[Estimated Impact ($)]]) / IncidentTable[[#This Row],[Estimated Impact ($)]])</f>
        <v>0.12006287087055663</v>
      </c>
      <c r="R318" s="3">
        <f ca="1">IF(IncidentTable[[#This Row],[Priority]]="Critical",1,
IF(IncidentTable[[#This Row],[Priority]]="High",3,
IF(IncidentTable[[#This Row],[Priority]]="Medium",5,
IF(IncidentTable[[#This Row],[Priority]]="Low",10,""))))</f>
        <v>3</v>
      </c>
      <c r="S318" t="str">
        <f ca="1">IF(IncidentTable[[#This Row],[Resolution Time (Days)]]="","",
IF(IncidentTable[[#This Row],[Resolution Time (Days)]]&lt;=IncidentTable[[#This Row],[SLA Target (Days)]],"Yes","No"))</f>
        <v>No</v>
      </c>
    </row>
    <row r="319" spans="1:19" x14ac:dyDescent="0.25">
      <c r="A319" t="str">
        <f t="shared" ca="1" si="17"/>
        <v>INC608212</v>
      </c>
      <c r="B319" t="str" cm="1">
        <f t="array" aca="1" ref="B319" ca="1">INDEX(SystemList,RANDBETWEEN(1,ROWS(SystemList)))</f>
        <v>Reporting System</v>
      </c>
      <c r="C319" t="str" cm="1">
        <f t="array" aca="1" ref="C319" ca="1">INDEX(IssueTypeList,RANDBETWEEN(1,ROWS(IssueTypeList)))</f>
        <v>User Access Issue</v>
      </c>
      <c r="D319" t="str" cm="1">
        <f t="array" aca="1" ref="D319" ca="1">INDEX(PriorityList,RANDBETWEEN(1,ROWS(PriorityList)))</f>
        <v>Low</v>
      </c>
      <c r="E319" t="str" cm="1">
        <f t="array" aca="1" ref="E319" ca="1">INDEX(SeverityList,RANDBETWEEN(1,ROWS(SeverityList)))</f>
        <v>Moderate</v>
      </c>
      <c r="F319" t="str" cm="1">
        <f t="array" aca="1" ref="F319" ca="1">INDEX(RegionList,RANDBETWEEN(1,ROWS(RegionList)))</f>
        <v>West</v>
      </c>
      <c r="G319" t="str" cm="1">
        <f t="array" aca="1" ref="G319" ca="1">INDEX(DepartmentList,RANDBETWEEN(1,ROWS(DepartmentList)))</f>
        <v>Compliance</v>
      </c>
      <c r="H319" s="1">
        <f t="shared" ca="1" si="18"/>
        <v>45381</v>
      </c>
      <c r="I319" s="4">
        <f ca="1">IF(IncidentTable[[#This Row],[Resolution Time (Days)]]="","",IncidentTable[[#This Row],[Created Date]]+IncidentTable[[#This Row],[Resolution Time (Days)]])</f>
        <v>45435</v>
      </c>
      <c r="J319">
        <f ca="1">IF(OR(IncidentTable[[#This Row],[Status]]="Resolved",IncidentTable[[#This Row],[Status]]="Closed"),RANDBETWEEN(1,120),"")</f>
        <v>54</v>
      </c>
      <c r="K319" t="str">
        <f t="shared" ca="1" si="16"/>
        <v>Resolved</v>
      </c>
      <c r="L319" t="str" cm="1">
        <f t="array" aca="1" ref="L319" ca="1">INDEX(AnalystList,RANDBETWEEN(1,ROWS(AnalystList)))</f>
        <v>Jordan Lee</v>
      </c>
      <c r="M319" t="str" cm="1">
        <f t="array" aca="1" ref="M319" ca="1">INDEX(RootCauseList,RANDBETWEEN(1,ROWS(RootCauseList)))</f>
        <v>Integration Failure</v>
      </c>
      <c r="N319">
        <f t="shared" ca="1" si="19"/>
        <v>337.05</v>
      </c>
      <c r="O319">
        <f ca="1">IF(OR(IncidentTable[[#This Row],[Status]]="Resolved",IncidentTable[[#This Row],[Status]]="Closed"),
ROUND(IncidentTable[[#This Row],[Estimated Impact ($)]]*(1+RANDBETWEEN(-15,25)/100)+RAND(),2),
"")</f>
        <v>287.10000000000002</v>
      </c>
      <c r="P319">
        <f ca="1">IF(IncidentTable[[#This Row],[Actual Impact ($)]]="","",ROUND(IncidentTable[[#This Row],[Actual Impact ($)]]-IncidentTable[[#This Row],[Estimated Impact ($)]],2))</f>
        <v>-49.95</v>
      </c>
      <c r="Q319" s="2">
        <f ca="1">IF(IncidentTable[[#This Row],[Actual Impact ($)]]="","",(IncidentTable[[#This Row],[Actual Impact ($)]]-IncidentTable[[#This Row],[Estimated Impact ($)]]) / IncidentTable[[#This Row],[Estimated Impact ($)]])</f>
        <v>-0.14819759679572761</v>
      </c>
      <c r="R319" s="3">
        <f ca="1">IF(IncidentTable[[#This Row],[Priority]]="Critical",1,
IF(IncidentTable[[#This Row],[Priority]]="High",3,
IF(IncidentTable[[#This Row],[Priority]]="Medium",5,
IF(IncidentTable[[#This Row],[Priority]]="Low",10,""))))</f>
        <v>10</v>
      </c>
      <c r="S319" t="str">
        <f ca="1">IF(IncidentTable[[#This Row],[Resolution Time (Days)]]="","",
IF(IncidentTable[[#This Row],[Resolution Time (Days)]]&lt;=IncidentTable[[#This Row],[SLA Target (Days)]],"Yes","No"))</f>
        <v>No</v>
      </c>
    </row>
    <row r="320" spans="1:19" x14ac:dyDescent="0.25">
      <c r="A320" t="str">
        <f t="shared" ca="1" si="17"/>
        <v>INC746148</v>
      </c>
      <c r="B320" t="str" cm="1">
        <f t="array" aca="1" ref="B320" ca="1">INDEX(SystemList,RANDBETWEEN(1,ROWS(SystemList)))</f>
        <v>Claims System</v>
      </c>
      <c r="C320" t="str" cm="1">
        <f t="array" aca="1" ref="C320" ca="1">INDEX(IssueTypeList,RANDBETWEEN(1,ROWS(IssueTypeList)))</f>
        <v>Data Issue</v>
      </c>
      <c r="D320" t="str" cm="1">
        <f t="array" aca="1" ref="D320" ca="1">INDEX(PriorityList,RANDBETWEEN(1,ROWS(PriorityList)))</f>
        <v>Critical</v>
      </c>
      <c r="E320" t="str" cm="1">
        <f t="array" aca="1" ref="E320" ca="1">INDEX(SeverityList,RANDBETWEEN(1,ROWS(SeverityList)))</f>
        <v>Minor</v>
      </c>
      <c r="F320" t="str" cm="1">
        <f t="array" aca="1" ref="F320" ca="1">INDEX(RegionList,RANDBETWEEN(1,ROWS(RegionList)))</f>
        <v>Central</v>
      </c>
      <c r="G320" t="str" cm="1">
        <f t="array" aca="1" ref="G320" ca="1">INDEX(DepartmentList,RANDBETWEEN(1,ROWS(DepartmentList)))</f>
        <v>Billing</v>
      </c>
      <c r="H320" s="1">
        <f t="shared" ca="1" si="18"/>
        <v>45296</v>
      </c>
      <c r="I320" s="4">
        <f ca="1">IF(IncidentTable[[#This Row],[Resolution Time (Days)]]="","",IncidentTable[[#This Row],[Created Date]]+IncidentTable[[#This Row],[Resolution Time (Days)]])</f>
        <v>45352</v>
      </c>
      <c r="J320">
        <f ca="1">IF(OR(IncidentTable[[#This Row],[Status]]="Resolved",IncidentTable[[#This Row],[Status]]="Closed"),RANDBETWEEN(1,120),"")</f>
        <v>56</v>
      </c>
      <c r="K320" t="str">
        <f t="shared" ca="1" si="16"/>
        <v>Resolved</v>
      </c>
      <c r="L320" t="str" cm="1">
        <f t="array" aca="1" ref="L320" ca="1">INDEX(AnalystList,RANDBETWEEN(1,ROWS(AnalystList)))</f>
        <v>Alex Johnson</v>
      </c>
      <c r="M320" t="str" cm="1">
        <f t="array" aca="1" ref="M320" ca="1">INDEX(RootCauseList,RANDBETWEEN(1,ROWS(RootCauseList)))</f>
        <v>Unknown</v>
      </c>
      <c r="N320">
        <f t="shared" ca="1" si="19"/>
        <v>12.66</v>
      </c>
      <c r="O320">
        <f ca="1">IF(OR(IncidentTable[[#This Row],[Status]]="Resolved",IncidentTable[[#This Row],[Status]]="Closed"),
ROUND(IncidentTable[[#This Row],[Estimated Impact ($)]]*(1+RANDBETWEEN(-15,25)/100)+RAND(),2),
"")</f>
        <v>16.329999999999998</v>
      </c>
      <c r="P320">
        <f ca="1">IF(IncidentTable[[#This Row],[Actual Impact ($)]]="","",ROUND(IncidentTable[[#This Row],[Actual Impact ($)]]-IncidentTable[[#This Row],[Estimated Impact ($)]],2))</f>
        <v>3.67</v>
      </c>
      <c r="Q320" s="2">
        <f ca="1">IF(IncidentTable[[#This Row],[Actual Impact ($)]]="","",(IncidentTable[[#This Row],[Actual Impact ($)]]-IncidentTable[[#This Row],[Estimated Impact ($)]]) / IncidentTable[[#This Row],[Estimated Impact ($)]])</f>
        <v>0.28988941548183239</v>
      </c>
      <c r="R320" s="3">
        <f ca="1">IF(IncidentTable[[#This Row],[Priority]]="Critical",1,
IF(IncidentTable[[#This Row],[Priority]]="High",3,
IF(IncidentTable[[#This Row],[Priority]]="Medium",5,
IF(IncidentTable[[#This Row],[Priority]]="Low",10,""))))</f>
        <v>1</v>
      </c>
      <c r="S320" t="str">
        <f ca="1">IF(IncidentTable[[#This Row],[Resolution Time (Days)]]="","",
IF(IncidentTable[[#This Row],[Resolution Time (Days)]]&lt;=IncidentTable[[#This Row],[SLA Target (Days)]],"Yes","No"))</f>
        <v>No</v>
      </c>
    </row>
    <row r="321" spans="1:19" x14ac:dyDescent="0.25">
      <c r="A321" t="str">
        <f t="shared" ca="1" si="17"/>
        <v>INC680893</v>
      </c>
      <c r="B321" t="str" cm="1">
        <f t="array" aca="1" ref="B321" ca="1">INDEX(SystemList,RANDBETWEEN(1,ROWS(SystemList)))</f>
        <v>Customer Portal</v>
      </c>
      <c r="C321" t="str" cm="1">
        <f t="array" aca="1" ref="C321" ca="1">INDEX(IssueTypeList,RANDBETWEEN(1,ROWS(IssueTypeList)))</f>
        <v>Performance Issue</v>
      </c>
      <c r="D321" t="str" cm="1">
        <f t="array" aca="1" ref="D321" ca="1">INDEX(PriorityList,RANDBETWEEN(1,ROWS(PriorityList)))</f>
        <v>Critical</v>
      </c>
      <c r="E321" t="str" cm="1">
        <f t="array" aca="1" ref="E321" ca="1">INDEX(SeverityList,RANDBETWEEN(1,ROWS(SeverityList)))</f>
        <v>Moderate</v>
      </c>
      <c r="F321" t="str" cm="1">
        <f t="array" aca="1" ref="F321" ca="1">INDEX(RegionList,RANDBETWEEN(1,ROWS(RegionList)))</f>
        <v>Central</v>
      </c>
      <c r="G321" t="str" cm="1">
        <f t="array" aca="1" ref="G321" ca="1">INDEX(DepartmentList,RANDBETWEEN(1,ROWS(DepartmentList)))</f>
        <v>Compliance</v>
      </c>
      <c r="H321" s="1">
        <f t="shared" ca="1" si="18"/>
        <v>44955</v>
      </c>
      <c r="I321" s="4">
        <f ca="1">IF(IncidentTable[[#This Row],[Resolution Time (Days)]]="","",IncidentTable[[#This Row],[Created Date]]+IncidentTable[[#This Row],[Resolution Time (Days)]])</f>
        <v>44985</v>
      </c>
      <c r="J321">
        <f ca="1">IF(OR(IncidentTable[[#This Row],[Status]]="Resolved",IncidentTable[[#This Row],[Status]]="Closed"),RANDBETWEEN(1,120),"")</f>
        <v>30</v>
      </c>
      <c r="K321" t="str">
        <f t="shared" ca="1" si="16"/>
        <v>Resolved</v>
      </c>
      <c r="L321" t="str" cm="1">
        <f t="array" aca="1" ref="L321" ca="1">INDEX(AnalystList,RANDBETWEEN(1,ROWS(AnalystList)))</f>
        <v>Riley Wilson</v>
      </c>
      <c r="M321" t="str" cm="1">
        <f t="array" aca="1" ref="M321" ca="1">INDEX(RootCauseList,RANDBETWEEN(1,ROWS(RootCauseList)))</f>
        <v>Process Gap</v>
      </c>
      <c r="N321">
        <f t="shared" ca="1" si="19"/>
        <v>6075.33</v>
      </c>
      <c r="O321">
        <f ca="1">IF(OR(IncidentTable[[#This Row],[Status]]="Resolved",IncidentTable[[#This Row],[Status]]="Closed"),
ROUND(IncidentTable[[#This Row],[Estimated Impact ($)]]*(1+RANDBETWEEN(-15,25)/100)+RAND(),2),
"")</f>
        <v>5650.98</v>
      </c>
      <c r="P321">
        <f ca="1">IF(IncidentTable[[#This Row],[Actual Impact ($)]]="","",ROUND(IncidentTable[[#This Row],[Actual Impact ($)]]-IncidentTable[[#This Row],[Estimated Impact ($)]],2))</f>
        <v>-424.35</v>
      </c>
      <c r="Q321" s="2">
        <f ca="1">IF(IncidentTable[[#This Row],[Actual Impact ($)]]="","",(IncidentTable[[#This Row],[Actual Impact ($)]]-IncidentTable[[#This Row],[Estimated Impact ($)]]) / IncidentTable[[#This Row],[Estimated Impact ($)]])</f>
        <v>-6.9848057636375374E-2</v>
      </c>
      <c r="R321" s="3">
        <f ca="1">IF(IncidentTable[[#This Row],[Priority]]="Critical",1,
IF(IncidentTable[[#This Row],[Priority]]="High",3,
IF(IncidentTable[[#This Row],[Priority]]="Medium",5,
IF(IncidentTable[[#This Row],[Priority]]="Low",10,""))))</f>
        <v>1</v>
      </c>
      <c r="S321" t="str">
        <f ca="1">IF(IncidentTable[[#This Row],[Resolution Time (Days)]]="","",
IF(IncidentTable[[#This Row],[Resolution Time (Days)]]&lt;=IncidentTable[[#This Row],[SLA Target (Days)]],"Yes","No"))</f>
        <v>No</v>
      </c>
    </row>
    <row r="322" spans="1:19" x14ac:dyDescent="0.25">
      <c r="A322" t="str">
        <f t="shared" ca="1" si="17"/>
        <v>INC342605</v>
      </c>
      <c r="B322" t="str" cm="1">
        <f t="array" aca="1" ref="B322" ca="1">INDEX(SystemList,RANDBETWEEN(1,ROWS(SystemList)))</f>
        <v>Billing System</v>
      </c>
      <c r="C322" t="str" cm="1">
        <f t="array" aca="1" ref="C322" ca="1">INDEX(IssueTypeList,RANDBETWEEN(1,ROWS(IssueTypeList)))</f>
        <v>Payment Failure</v>
      </c>
      <c r="D322" t="str" cm="1">
        <f t="array" aca="1" ref="D322" ca="1">INDEX(PriorityList,RANDBETWEEN(1,ROWS(PriorityList)))</f>
        <v>Medium</v>
      </c>
      <c r="E322" t="str" cm="1">
        <f t="array" aca="1" ref="E322" ca="1">INDEX(SeverityList,RANDBETWEEN(1,ROWS(SeverityList)))</f>
        <v>Minor</v>
      </c>
      <c r="F322" t="str" cm="1">
        <f t="array" aca="1" ref="F322" ca="1">INDEX(RegionList,RANDBETWEEN(1,ROWS(RegionList)))</f>
        <v>East</v>
      </c>
      <c r="G322" t="str" cm="1">
        <f t="array" aca="1" ref="G322" ca="1">INDEX(DepartmentList,RANDBETWEEN(1,ROWS(DepartmentList)))</f>
        <v>Billing</v>
      </c>
      <c r="H322" s="1">
        <f t="shared" ca="1" si="18"/>
        <v>45182</v>
      </c>
      <c r="I322" s="4">
        <f ca="1">IF(IncidentTable[[#This Row],[Resolution Time (Days)]]="","",IncidentTable[[#This Row],[Created Date]]+IncidentTable[[#This Row],[Resolution Time (Days)]])</f>
        <v>45272</v>
      </c>
      <c r="J322">
        <f ca="1">IF(OR(IncidentTable[[#This Row],[Status]]="Resolved",IncidentTable[[#This Row],[Status]]="Closed"),RANDBETWEEN(1,120),"")</f>
        <v>90</v>
      </c>
      <c r="K322" t="str">
        <f t="shared" ref="K322:K385" ca="1" si="20">CHOOSE(RANDBETWEEN(1,5),"Open","In Progress","Pending","Resolved","Closed")</f>
        <v>Closed</v>
      </c>
      <c r="L322" t="str" cm="1">
        <f t="array" aca="1" ref="L322" ca="1">INDEX(AnalystList,RANDBETWEEN(1,ROWS(AnalystList)))</f>
        <v>Riley Wilson</v>
      </c>
      <c r="M322" t="str" cm="1">
        <f t="array" aca="1" ref="M322" ca="1">INDEX(RootCauseList,RANDBETWEEN(1,ROWS(RootCauseList)))</f>
        <v>User Error</v>
      </c>
      <c r="N322">
        <f t="shared" ca="1" si="19"/>
        <v>18871.740000000002</v>
      </c>
      <c r="O322">
        <f ca="1">IF(OR(IncidentTable[[#This Row],[Status]]="Resolved",IncidentTable[[#This Row],[Status]]="Closed"),
ROUND(IncidentTable[[#This Row],[Estimated Impact ($)]]*(1+RANDBETWEEN(-15,25)/100)+RAND(),2),
"")</f>
        <v>18872.439999999999</v>
      </c>
      <c r="P322">
        <f ca="1">IF(IncidentTable[[#This Row],[Actual Impact ($)]]="","",ROUND(IncidentTable[[#This Row],[Actual Impact ($)]]-IncidentTable[[#This Row],[Estimated Impact ($)]],2))</f>
        <v>0.7</v>
      </c>
      <c r="Q322" s="2">
        <f ca="1">IF(IncidentTable[[#This Row],[Actual Impact ($)]]="","",(IncidentTable[[#This Row],[Actual Impact ($)]]-IncidentTable[[#This Row],[Estimated Impact ($)]]) / IncidentTable[[#This Row],[Estimated Impact ($)]])</f>
        <v>3.7092499154666693E-5</v>
      </c>
      <c r="R322" s="3">
        <f ca="1">IF(IncidentTable[[#This Row],[Priority]]="Critical",1,
IF(IncidentTable[[#This Row],[Priority]]="High",3,
IF(IncidentTable[[#This Row],[Priority]]="Medium",5,
IF(IncidentTable[[#This Row],[Priority]]="Low",10,""))))</f>
        <v>5</v>
      </c>
      <c r="S322" t="str">
        <f ca="1">IF(IncidentTable[[#This Row],[Resolution Time (Days)]]="","",
IF(IncidentTable[[#This Row],[Resolution Time (Days)]]&lt;=IncidentTable[[#This Row],[SLA Target (Days)]],"Yes","No"))</f>
        <v>No</v>
      </c>
    </row>
    <row r="323" spans="1:19" x14ac:dyDescent="0.25">
      <c r="A323" t="str">
        <f t="shared" ref="A323:A386" ca="1" si="21">"INC"&amp;TEXT(RANDBETWEEN(100000,999999),"000000")</f>
        <v>INC147754</v>
      </c>
      <c r="B323" t="str" cm="1">
        <f t="array" aca="1" ref="B323" ca="1">INDEX(SystemList,RANDBETWEEN(1,ROWS(SystemList)))</f>
        <v>Billing System</v>
      </c>
      <c r="C323" t="str" cm="1">
        <f t="array" aca="1" ref="C323" ca="1">INDEX(IssueTypeList,RANDBETWEEN(1,ROWS(IssueTypeList)))</f>
        <v>Complaint</v>
      </c>
      <c r="D323" t="str" cm="1">
        <f t="array" aca="1" ref="D323" ca="1">INDEX(PriorityList,RANDBETWEEN(1,ROWS(PriorityList)))</f>
        <v>Medium</v>
      </c>
      <c r="E323" t="str" cm="1">
        <f t="array" aca="1" ref="E323" ca="1">INDEX(SeverityList,RANDBETWEEN(1,ROWS(SeverityList)))</f>
        <v>Critical</v>
      </c>
      <c r="F323" t="str" cm="1">
        <f t="array" aca="1" ref="F323" ca="1">INDEX(RegionList,RANDBETWEEN(1,ROWS(RegionList)))</f>
        <v>West</v>
      </c>
      <c r="G323" t="str" cm="1">
        <f t="array" aca="1" ref="G323" ca="1">INDEX(DepartmentList,RANDBETWEEN(1,ROWS(DepartmentList)))</f>
        <v>Customer Service</v>
      </c>
      <c r="H323" s="1">
        <f t="shared" ref="H323:H386" ca="1" si="22">DATE(2023,1,1)+RANDBETWEEN(0,545)</f>
        <v>45240</v>
      </c>
      <c r="I323" s="4" t="str">
        <f ca="1">IF(IncidentTable[[#This Row],[Resolution Time (Days)]]="","",IncidentTable[[#This Row],[Created Date]]+IncidentTable[[#This Row],[Resolution Time (Days)]])</f>
        <v/>
      </c>
      <c r="J323" t="str">
        <f ca="1">IF(OR(IncidentTable[[#This Row],[Status]]="Resolved",IncidentTable[[#This Row],[Status]]="Closed"),RANDBETWEEN(1,120),"")</f>
        <v/>
      </c>
      <c r="K323" t="str">
        <f t="shared" ca="1" si="20"/>
        <v>In Progress</v>
      </c>
      <c r="L323" t="str" cm="1">
        <f t="array" aca="1" ref="L323" ca="1">INDEX(AnalystList,RANDBETWEEN(1,ROWS(AnalystList)))</f>
        <v>Casey Brown</v>
      </c>
      <c r="M323" t="str" cm="1">
        <f t="array" aca="1" ref="M323" ca="1">INDEX(RootCauseList,RANDBETWEEN(1,ROWS(RootCauseList)))</f>
        <v>Configuration Issue</v>
      </c>
      <c r="N323">
        <f t="shared" ref="N323:N386" ca="1" si="23">ROUND(RANDBETWEEN(500,50000)*(RAND()^3),2)</f>
        <v>124.96</v>
      </c>
      <c r="O323" t="str">
        <f ca="1">IF(OR(IncidentTable[[#This Row],[Status]]="Resolved",IncidentTable[[#This Row],[Status]]="Closed"),
ROUND(IncidentTable[[#This Row],[Estimated Impact ($)]]*(1+RANDBETWEEN(-15,25)/100)+RAND(),2),
"")</f>
        <v/>
      </c>
      <c r="P323" t="str">
        <f ca="1">IF(IncidentTable[[#This Row],[Actual Impact ($)]]="","",ROUND(IncidentTable[[#This Row],[Actual Impact ($)]]-IncidentTable[[#This Row],[Estimated Impact ($)]],2))</f>
        <v/>
      </c>
      <c r="Q323" s="2" t="str">
        <f ca="1">IF(IncidentTable[[#This Row],[Actual Impact ($)]]="","",(IncidentTable[[#This Row],[Actual Impact ($)]]-IncidentTable[[#This Row],[Estimated Impact ($)]]) / IncidentTable[[#This Row],[Estimated Impact ($)]])</f>
        <v/>
      </c>
      <c r="R323" s="3">
        <f ca="1">IF(IncidentTable[[#This Row],[Priority]]="Critical",1,
IF(IncidentTable[[#This Row],[Priority]]="High",3,
IF(IncidentTable[[#This Row],[Priority]]="Medium",5,
IF(IncidentTable[[#This Row],[Priority]]="Low",10,""))))</f>
        <v>5</v>
      </c>
      <c r="S323" t="str">
        <f ca="1">IF(IncidentTable[[#This Row],[Resolution Time (Days)]]="","",
IF(IncidentTable[[#This Row],[Resolution Time (Days)]]&lt;=IncidentTable[[#This Row],[SLA Target (Days)]],"Yes","No"))</f>
        <v/>
      </c>
    </row>
    <row r="324" spans="1:19" x14ac:dyDescent="0.25">
      <c r="A324" t="str">
        <f t="shared" ca="1" si="21"/>
        <v>INC174560</v>
      </c>
      <c r="B324" t="str" cm="1">
        <f t="array" aca="1" ref="B324" ca="1">INDEX(SystemList,RANDBETWEEN(1,ROWS(SystemList)))</f>
        <v>Claims System</v>
      </c>
      <c r="C324" t="str" cm="1">
        <f t="array" aca="1" ref="C324" ca="1">INDEX(IssueTypeList,RANDBETWEEN(1,ROWS(IssueTypeList)))</f>
        <v>Performance Issue</v>
      </c>
      <c r="D324" t="str" cm="1">
        <f t="array" aca="1" ref="D324" ca="1">INDEX(PriorityList,RANDBETWEEN(1,ROWS(PriorityList)))</f>
        <v>Low</v>
      </c>
      <c r="E324" t="str" cm="1">
        <f t="array" aca="1" ref="E324" ca="1">INDEX(SeverityList,RANDBETWEEN(1,ROWS(SeverityList)))</f>
        <v>Moderate</v>
      </c>
      <c r="F324" t="str" cm="1">
        <f t="array" aca="1" ref="F324" ca="1">INDEX(RegionList,RANDBETWEEN(1,ROWS(RegionList)))</f>
        <v>Central</v>
      </c>
      <c r="G324" t="str" cm="1">
        <f t="array" aca="1" ref="G324" ca="1">INDEX(DepartmentList,RANDBETWEEN(1,ROWS(DepartmentList)))</f>
        <v>Finance</v>
      </c>
      <c r="H324" s="1">
        <f t="shared" ca="1" si="22"/>
        <v>45176</v>
      </c>
      <c r="I324" s="4">
        <f ca="1">IF(IncidentTable[[#This Row],[Resolution Time (Days)]]="","",IncidentTable[[#This Row],[Created Date]]+IncidentTable[[#This Row],[Resolution Time (Days)]])</f>
        <v>45186</v>
      </c>
      <c r="J324">
        <f ca="1">IF(OR(IncidentTable[[#This Row],[Status]]="Resolved",IncidentTable[[#This Row],[Status]]="Closed"),RANDBETWEEN(1,120),"")</f>
        <v>10</v>
      </c>
      <c r="K324" t="str">
        <f t="shared" ca="1" si="20"/>
        <v>Closed</v>
      </c>
      <c r="L324" t="str" cm="1">
        <f t="array" aca="1" ref="L324" ca="1">INDEX(AnalystList,RANDBETWEEN(1,ROWS(AnalystList)))</f>
        <v>Riley Wilson</v>
      </c>
      <c r="M324" t="str" cm="1">
        <f t="array" aca="1" ref="M324" ca="1">INDEX(RootCauseList,RANDBETWEEN(1,ROWS(RootCauseList)))</f>
        <v>User Error</v>
      </c>
      <c r="N324">
        <f t="shared" ca="1" si="23"/>
        <v>6.4</v>
      </c>
      <c r="O324">
        <f ca="1">IF(OR(IncidentTable[[#This Row],[Status]]="Resolved",IncidentTable[[#This Row],[Status]]="Closed"),
ROUND(IncidentTable[[#This Row],[Estimated Impact ($)]]*(1+RANDBETWEEN(-15,25)/100)+RAND(),2),
"")</f>
        <v>5.69</v>
      </c>
      <c r="P324">
        <f ca="1">IF(IncidentTable[[#This Row],[Actual Impact ($)]]="","",ROUND(IncidentTable[[#This Row],[Actual Impact ($)]]-IncidentTable[[#This Row],[Estimated Impact ($)]],2))</f>
        <v>-0.71</v>
      </c>
      <c r="Q324" s="2">
        <f ca="1">IF(IncidentTable[[#This Row],[Actual Impact ($)]]="","",(IncidentTable[[#This Row],[Actual Impact ($)]]-IncidentTable[[#This Row],[Estimated Impact ($)]]) / IncidentTable[[#This Row],[Estimated Impact ($)]])</f>
        <v>-0.11093749999999999</v>
      </c>
      <c r="R324" s="3">
        <f ca="1">IF(IncidentTable[[#This Row],[Priority]]="Critical",1,
IF(IncidentTable[[#This Row],[Priority]]="High",3,
IF(IncidentTable[[#This Row],[Priority]]="Medium",5,
IF(IncidentTable[[#This Row],[Priority]]="Low",10,""))))</f>
        <v>10</v>
      </c>
      <c r="S324" t="str">
        <f ca="1">IF(IncidentTable[[#This Row],[Resolution Time (Days)]]="","",
IF(IncidentTable[[#This Row],[Resolution Time (Days)]]&lt;=IncidentTable[[#This Row],[SLA Target (Days)]],"Yes","No"))</f>
        <v>Yes</v>
      </c>
    </row>
    <row r="325" spans="1:19" x14ac:dyDescent="0.25">
      <c r="A325" t="str">
        <f t="shared" ca="1" si="21"/>
        <v>INC971991</v>
      </c>
      <c r="B325" t="str" cm="1">
        <f t="array" aca="1" ref="B325" ca="1">INDEX(SystemList,RANDBETWEEN(1,ROWS(SystemList)))</f>
        <v>Billing System</v>
      </c>
      <c r="C325" t="str" cm="1">
        <f t="array" aca="1" ref="C325" ca="1">INDEX(IssueTypeList,RANDBETWEEN(1,ROWS(IssueTypeList)))</f>
        <v>Processing Delay</v>
      </c>
      <c r="D325" t="str" cm="1">
        <f t="array" aca="1" ref="D325" ca="1">INDEX(PriorityList,RANDBETWEEN(1,ROWS(PriorityList)))</f>
        <v>Critical</v>
      </c>
      <c r="E325" t="str" cm="1">
        <f t="array" aca="1" ref="E325" ca="1">INDEX(SeverityList,RANDBETWEEN(1,ROWS(SeverityList)))</f>
        <v>Minor</v>
      </c>
      <c r="F325" t="str" cm="1">
        <f t="array" aca="1" ref="F325" ca="1">INDEX(RegionList,RANDBETWEEN(1,ROWS(RegionList)))</f>
        <v>Midwest</v>
      </c>
      <c r="G325" t="str" cm="1">
        <f t="array" aca="1" ref="G325" ca="1">INDEX(DepartmentList,RANDBETWEEN(1,ROWS(DepartmentList)))</f>
        <v>Customer Service</v>
      </c>
      <c r="H325" s="1">
        <f t="shared" ca="1" si="22"/>
        <v>45293</v>
      </c>
      <c r="I325" s="4">
        <f ca="1">IF(IncidentTable[[#This Row],[Resolution Time (Days)]]="","",IncidentTable[[#This Row],[Created Date]]+IncidentTable[[#This Row],[Resolution Time (Days)]])</f>
        <v>45323</v>
      </c>
      <c r="J325">
        <f ca="1">IF(OR(IncidentTable[[#This Row],[Status]]="Resolved",IncidentTable[[#This Row],[Status]]="Closed"),RANDBETWEEN(1,120),"")</f>
        <v>30</v>
      </c>
      <c r="K325" t="str">
        <f t="shared" ca="1" si="20"/>
        <v>Resolved</v>
      </c>
      <c r="L325" t="str" cm="1">
        <f t="array" aca="1" ref="L325" ca="1">INDEX(AnalystList,RANDBETWEEN(1,ROWS(AnalystList)))</f>
        <v>Casey Brown</v>
      </c>
      <c r="M325" t="str" cm="1">
        <f t="array" aca="1" ref="M325" ca="1">INDEX(RootCauseList,RANDBETWEEN(1,ROWS(RootCauseList)))</f>
        <v>Data Error</v>
      </c>
      <c r="N325">
        <f t="shared" ca="1" si="23"/>
        <v>9.91</v>
      </c>
      <c r="O325">
        <f ca="1">IF(OR(IncidentTable[[#This Row],[Status]]="Resolved",IncidentTable[[#This Row],[Status]]="Closed"),
ROUND(IncidentTable[[#This Row],[Estimated Impact ($)]]*(1+RANDBETWEEN(-15,25)/100)+RAND(),2),
"")</f>
        <v>12.91</v>
      </c>
      <c r="P325">
        <f ca="1">IF(IncidentTable[[#This Row],[Actual Impact ($)]]="","",ROUND(IncidentTable[[#This Row],[Actual Impact ($)]]-IncidentTable[[#This Row],[Estimated Impact ($)]],2))</f>
        <v>3</v>
      </c>
      <c r="Q325" s="2">
        <f ca="1">IF(IncidentTable[[#This Row],[Actual Impact ($)]]="","",(IncidentTable[[#This Row],[Actual Impact ($)]]-IncidentTable[[#This Row],[Estimated Impact ($)]]) / IncidentTable[[#This Row],[Estimated Impact ($)]])</f>
        <v>0.30272452068617556</v>
      </c>
      <c r="R325" s="3">
        <f ca="1">IF(IncidentTable[[#This Row],[Priority]]="Critical",1,
IF(IncidentTable[[#This Row],[Priority]]="High",3,
IF(IncidentTable[[#This Row],[Priority]]="Medium",5,
IF(IncidentTable[[#This Row],[Priority]]="Low",10,""))))</f>
        <v>1</v>
      </c>
      <c r="S325" t="str">
        <f ca="1">IF(IncidentTable[[#This Row],[Resolution Time (Days)]]="","",
IF(IncidentTable[[#This Row],[Resolution Time (Days)]]&lt;=IncidentTable[[#This Row],[SLA Target (Days)]],"Yes","No"))</f>
        <v>No</v>
      </c>
    </row>
    <row r="326" spans="1:19" x14ac:dyDescent="0.25">
      <c r="A326" t="str">
        <f t="shared" ca="1" si="21"/>
        <v>INC490429</v>
      </c>
      <c r="B326" t="str" cm="1">
        <f t="array" aca="1" ref="B326" ca="1">INDEX(SystemList,RANDBETWEEN(1,ROWS(SystemList)))</f>
        <v>Regulatory System</v>
      </c>
      <c r="C326" t="str" cm="1">
        <f t="array" aca="1" ref="C326" ca="1">INDEX(IssueTypeList,RANDBETWEEN(1,ROWS(IssueTypeList)))</f>
        <v>Processing Delay</v>
      </c>
      <c r="D326" t="str" cm="1">
        <f t="array" aca="1" ref="D326" ca="1">INDEX(PriorityList,RANDBETWEEN(1,ROWS(PriorityList)))</f>
        <v>Low</v>
      </c>
      <c r="E326" t="str" cm="1">
        <f t="array" aca="1" ref="E326" ca="1">INDEX(SeverityList,RANDBETWEEN(1,ROWS(SeverityList)))</f>
        <v>Critical</v>
      </c>
      <c r="F326" t="str" cm="1">
        <f t="array" aca="1" ref="F326" ca="1">INDEX(RegionList,RANDBETWEEN(1,ROWS(RegionList)))</f>
        <v>Midwest</v>
      </c>
      <c r="G326" t="str" cm="1">
        <f t="array" aca="1" ref="G326" ca="1">INDEX(DepartmentList,RANDBETWEEN(1,ROWS(DepartmentList)))</f>
        <v>Finance</v>
      </c>
      <c r="H326" s="1">
        <f t="shared" ca="1" si="22"/>
        <v>45354</v>
      </c>
      <c r="I326" s="4" t="str">
        <f ca="1">IF(IncidentTable[[#This Row],[Resolution Time (Days)]]="","",IncidentTable[[#This Row],[Created Date]]+IncidentTable[[#This Row],[Resolution Time (Days)]])</f>
        <v/>
      </c>
      <c r="J326" t="str">
        <f ca="1">IF(OR(IncidentTable[[#This Row],[Status]]="Resolved",IncidentTable[[#This Row],[Status]]="Closed"),RANDBETWEEN(1,120),"")</f>
        <v/>
      </c>
      <c r="K326" t="str">
        <f t="shared" ca="1" si="20"/>
        <v>In Progress</v>
      </c>
      <c r="L326" t="str" cm="1">
        <f t="array" aca="1" ref="L326" ca="1">INDEX(AnalystList,RANDBETWEEN(1,ROWS(AnalystList)))</f>
        <v>Casey Brown</v>
      </c>
      <c r="M326" t="str" cm="1">
        <f t="array" aca="1" ref="M326" ca="1">INDEX(RootCauseList,RANDBETWEEN(1,ROWS(RootCauseList)))</f>
        <v>Network Failure</v>
      </c>
      <c r="N326">
        <f t="shared" ca="1" si="23"/>
        <v>9753.64</v>
      </c>
      <c r="O326" t="str">
        <f ca="1">IF(OR(IncidentTable[[#This Row],[Status]]="Resolved",IncidentTable[[#This Row],[Status]]="Closed"),
ROUND(IncidentTable[[#This Row],[Estimated Impact ($)]]*(1+RANDBETWEEN(-15,25)/100)+RAND(),2),
"")</f>
        <v/>
      </c>
      <c r="P326" t="str">
        <f ca="1">IF(IncidentTable[[#This Row],[Actual Impact ($)]]="","",ROUND(IncidentTable[[#This Row],[Actual Impact ($)]]-IncidentTable[[#This Row],[Estimated Impact ($)]],2))</f>
        <v/>
      </c>
      <c r="Q326" s="2" t="str">
        <f ca="1">IF(IncidentTable[[#This Row],[Actual Impact ($)]]="","",(IncidentTable[[#This Row],[Actual Impact ($)]]-IncidentTable[[#This Row],[Estimated Impact ($)]]) / IncidentTable[[#This Row],[Estimated Impact ($)]])</f>
        <v/>
      </c>
      <c r="R326" s="3">
        <f ca="1">IF(IncidentTable[[#This Row],[Priority]]="Critical",1,
IF(IncidentTable[[#This Row],[Priority]]="High",3,
IF(IncidentTable[[#This Row],[Priority]]="Medium",5,
IF(IncidentTable[[#This Row],[Priority]]="Low",10,""))))</f>
        <v>10</v>
      </c>
      <c r="S326" t="str">
        <f ca="1">IF(IncidentTable[[#This Row],[Resolution Time (Days)]]="","",
IF(IncidentTable[[#This Row],[Resolution Time (Days)]]&lt;=IncidentTable[[#This Row],[SLA Target (Days)]],"Yes","No"))</f>
        <v/>
      </c>
    </row>
    <row r="327" spans="1:19" x14ac:dyDescent="0.25">
      <c r="A327" t="str">
        <f t="shared" ca="1" si="21"/>
        <v>INC716896</v>
      </c>
      <c r="B327" t="str" cm="1">
        <f t="array" aca="1" ref="B327" ca="1">INDEX(SystemList,RANDBETWEEN(1,ROWS(SystemList)))</f>
        <v>Payment Processing</v>
      </c>
      <c r="C327" t="str" cm="1">
        <f t="array" aca="1" ref="C327" ca="1">INDEX(IssueTypeList,RANDBETWEEN(1,ROWS(IssueTypeList)))</f>
        <v>Complaint</v>
      </c>
      <c r="D327" t="str" cm="1">
        <f t="array" aca="1" ref="D327" ca="1">INDEX(PriorityList,RANDBETWEEN(1,ROWS(PriorityList)))</f>
        <v>Low</v>
      </c>
      <c r="E327" t="str" cm="1">
        <f t="array" aca="1" ref="E327" ca="1">INDEX(SeverityList,RANDBETWEEN(1,ROWS(SeverityList)))</f>
        <v>Minor</v>
      </c>
      <c r="F327" t="str" cm="1">
        <f t="array" aca="1" ref="F327" ca="1">INDEX(RegionList,RANDBETWEEN(1,ROWS(RegionList)))</f>
        <v>Midwest</v>
      </c>
      <c r="G327" t="str" cm="1">
        <f t="array" aca="1" ref="G327" ca="1">INDEX(DepartmentList,RANDBETWEEN(1,ROWS(DepartmentList)))</f>
        <v>Claims</v>
      </c>
      <c r="H327" s="1">
        <f t="shared" ca="1" si="22"/>
        <v>45413</v>
      </c>
      <c r="I327" s="4" t="str">
        <f ca="1">IF(IncidentTable[[#This Row],[Resolution Time (Days)]]="","",IncidentTable[[#This Row],[Created Date]]+IncidentTable[[#This Row],[Resolution Time (Days)]])</f>
        <v/>
      </c>
      <c r="J327" t="str">
        <f ca="1">IF(OR(IncidentTable[[#This Row],[Status]]="Resolved",IncidentTable[[#This Row],[Status]]="Closed"),RANDBETWEEN(1,120),"")</f>
        <v/>
      </c>
      <c r="K327" t="str">
        <f t="shared" ca="1" si="20"/>
        <v>Open</v>
      </c>
      <c r="L327" t="str" cm="1">
        <f t="array" aca="1" ref="L327" ca="1">INDEX(AnalystList,RANDBETWEEN(1,ROWS(AnalystList)))</f>
        <v>Jordan Lee</v>
      </c>
      <c r="M327" t="str" cm="1">
        <f t="array" aca="1" ref="M327" ca="1">INDEX(RootCauseList,RANDBETWEEN(1,ROWS(RootCauseList)))</f>
        <v>Data Error</v>
      </c>
      <c r="N327">
        <f t="shared" ca="1" si="23"/>
        <v>42871.29</v>
      </c>
      <c r="O327" t="str">
        <f ca="1">IF(OR(IncidentTable[[#This Row],[Status]]="Resolved",IncidentTable[[#This Row],[Status]]="Closed"),
ROUND(IncidentTable[[#This Row],[Estimated Impact ($)]]*(1+RANDBETWEEN(-15,25)/100)+RAND(),2),
"")</f>
        <v/>
      </c>
      <c r="P327" t="str">
        <f ca="1">IF(IncidentTable[[#This Row],[Actual Impact ($)]]="","",ROUND(IncidentTable[[#This Row],[Actual Impact ($)]]-IncidentTable[[#This Row],[Estimated Impact ($)]],2))</f>
        <v/>
      </c>
      <c r="Q327" s="2" t="str">
        <f ca="1">IF(IncidentTable[[#This Row],[Actual Impact ($)]]="","",(IncidentTable[[#This Row],[Actual Impact ($)]]-IncidentTable[[#This Row],[Estimated Impact ($)]]) / IncidentTable[[#This Row],[Estimated Impact ($)]])</f>
        <v/>
      </c>
      <c r="R327" s="3">
        <f ca="1">IF(IncidentTable[[#This Row],[Priority]]="Critical",1,
IF(IncidentTable[[#This Row],[Priority]]="High",3,
IF(IncidentTable[[#This Row],[Priority]]="Medium",5,
IF(IncidentTable[[#This Row],[Priority]]="Low",10,""))))</f>
        <v>10</v>
      </c>
      <c r="S327" t="str">
        <f ca="1">IF(IncidentTable[[#This Row],[Resolution Time (Days)]]="","",
IF(IncidentTable[[#This Row],[Resolution Time (Days)]]&lt;=IncidentTable[[#This Row],[SLA Target (Days)]],"Yes","No"))</f>
        <v/>
      </c>
    </row>
    <row r="328" spans="1:19" x14ac:dyDescent="0.25">
      <c r="A328" t="str">
        <f t="shared" ca="1" si="21"/>
        <v>INC572973</v>
      </c>
      <c r="B328" t="str" cm="1">
        <f t="array" aca="1" ref="B328" ca="1">INDEX(SystemList,RANDBETWEEN(1,ROWS(SystemList)))</f>
        <v>Reporting System</v>
      </c>
      <c r="C328" t="str" cm="1">
        <f t="array" aca="1" ref="C328" ca="1">INDEX(IssueTypeList,RANDBETWEEN(1,ROWS(IssueTypeList)))</f>
        <v>Integration Failure</v>
      </c>
      <c r="D328" t="str" cm="1">
        <f t="array" aca="1" ref="D328" ca="1">INDEX(PriorityList,RANDBETWEEN(1,ROWS(PriorityList)))</f>
        <v>Medium</v>
      </c>
      <c r="E328" t="str" cm="1">
        <f t="array" aca="1" ref="E328" ca="1">INDEX(SeverityList,RANDBETWEEN(1,ROWS(SeverityList)))</f>
        <v>Minor</v>
      </c>
      <c r="F328" t="str" cm="1">
        <f t="array" aca="1" ref="F328" ca="1">INDEX(RegionList,RANDBETWEEN(1,ROWS(RegionList)))</f>
        <v>East</v>
      </c>
      <c r="G328" t="str" cm="1">
        <f t="array" aca="1" ref="G328" ca="1">INDEX(DepartmentList,RANDBETWEEN(1,ROWS(DepartmentList)))</f>
        <v>Compliance</v>
      </c>
      <c r="H328" s="1">
        <f t="shared" ca="1" si="22"/>
        <v>45272</v>
      </c>
      <c r="I328" s="4" t="str">
        <f ca="1">IF(IncidentTable[[#This Row],[Resolution Time (Days)]]="","",IncidentTable[[#This Row],[Created Date]]+IncidentTable[[#This Row],[Resolution Time (Days)]])</f>
        <v/>
      </c>
      <c r="J328" t="str">
        <f ca="1">IF(OR(IncidentTable[[#This Row],[Status]]="Resolved",IncidentTable[[#This Row],[Status]]="Closed"),RANDBETWEEN(1,120),"")</f>
        <v/>
      </c>
      <c r="K328" t="str">
        <f t="shared" ca="1" si="20"/>
        <v>Open</v>
      </c>
      <c r="L328" t="str" cm="1">
        <f t="array" aca="1" ref="L328" ca="1">INDEX(AnalystList,RANDBETWEEN(1,ROWS(AnalystList)))</f>
        <v>Alex Johnson</v>
      </c>
      <c r="M328" t="str" cm="1">
        <f t="array" aca="1" ref="M328" ca="1">INDEX(RootCauseList,RANDBETWEEN(1,ROWS(RootCauseList)))</f>
        <v>User Error</v>
      </c>
      <c r="N328">
        <f t="shared" ca="1" si="23"/>
        <v>406.6</v>
      </c>
      <c r="O328" t="str">
        <f ca="1">IF(OR(IncidentTable[[#This Row],[Status]]="Resolved",IncidentTable[[#This Row],[Status]]="Closed"),
ROUND(IncidentTable[[#This Row],[Estimated Impact ($)]]*(1+RANDBETWEEN(-15,25)/100)+RAND(),2),
"")</f>
        <v/>
      </c>
      <c r="P328" t="str">
        <f ca="1">IF(IncidentTable[[#This Row],[Actual Impact ($)]]="","",ROUND(IncidentTable[[#This Row],[Actual Impact ($)]]-IncidentTable[[#This Row],[Estimated Impact ($)]],2))</f>
        <v/>
      </c>
      <c r="Q328" s="2" t="str">
        <f ca="1">IF(IncidentTable[[#This Row],[Actual Impact ($)]]="","",(IncidentTable[[#This Row],[Actual Impact ($)]]-IncidentTable[[#This Row],[Estimated Impact ($)]]) / IncidentTable[[#This Row],[Estimated Impact ($)]])</f>
        <v/>
      </c>
      <c r="R328" s="3">
        <f ca="1">IF(IncidentTable[[#This Row],[Priority]]="Critical",1,
IF(IncidentTable[[#This Row],[Priority]]="High",3,
IF(IncidentTable[[#This Row],[Priority]]="Medium",5,
IF(IncidentTable[[#This Row],[Priority]]="Low",10,""))))</f>
        <v>5</v>
      </c>
      <c r="S328" t="str">
        <f ca="1">IF(IncidentTable[[#This Row],[Resolution Time (Days)]]="","",
IF(IncidentTable[[#This Row],[Resolution Time (Days)]]&lt;=IncidentTable[[#This Row],[SLA Target (Days)]],"Yes","No"))</f>
        <v/>
      </c>
    </row>
    <row r="329" spans="1:19" x14ac:dyDescent="0.25">
      <c r="A329" t="str">
        <f t="shared" ca="1" si="21"/>
        <v>INC449781</v>
      </c>
      <c r="B329" t="str" cm="1">
        <f t="array" aca="1" ref="B329" ca="1">INDEX(SystemList,RANDBETWEEN(1,ROWS(SystemList)))</f>
        <v>Customer Portal</v>
      </c>
      <c r="C329" t="str" cm="1">
        <f t="array" aca="1" ref="C329" ca="1">INDEX(IssueTypeList,RANDBETWEEN(1,ROWS(IssueTypeList)))</f>
        <v>Complaint</v>
      </c>
      <c r="D329" t="str" cm="1">
        <f t="array" aca="1" ref="D329" ca="1">INDEX(PriorityList,RANDBETWEEN(1,ROWS(PriorityList)))</f>
        <v>Critical</v>
      </c>
      <c r="E329" t="str" cm="1">
        <f t="array" aca="1" ref="E329" ca="1">INDEX(SeverityList,RANDBETWEEN(1,ROWS(SeverityList)))</f>
        <v>Major</v>
      </c>
      <c r="F329" t="str" cm="1">
        <f t="array" aca="1" ref="F329" ca="1">INDEX(RegionList,RANDBETWEEN(1,ROWS(RegionList)))</f>
        <v>West</v>
      </c>
      <c r="G329" t="str" cm="1">
        <f t="array" aca="1" ref="G329" ca="1">INDEX(DepartmentList,RANDBETWEEN(1,ROWS(DepartmentList)))</f>
        <v>IT</v>
      </c>
      <c r="H329" s="1">
        <f t="shared" ca="1" si="22"/>
        <v>44927</v>
      </c>
      <c r="I329" s="4">
        <f ca="1">IF(IncidentTable[[#This Row],[Resolution Time (Days)]]="","",IncidentTable[[#This Row],[Created Date]]+IncidentTable[[#This Row],[Resolution Time (Days)]])</f>
        <v>45025</v>
      </c>
      <c r="J329">
        <f ca="1">IF(OR(IncidentTable[[#This Row],[Status]]="Resolved",IncidentTable[[#This Row],[Status]]="Closed"),RANDBETWEEN(1,120),"")</f>
        <v>98</v>
      </c>
      <c r="K329" t="str">
        <f t="shared" ca="1" si="20"/>
        <v>Closed</v>
      </c>
      <c r="L329" t="str" cm="1">
        <f t="array" aca="1" ref="L329" ca="1">INDEX(AnalystList,RANDBETWEEN(1,ROWS(AnalystList)))</f>
        <v>Taylor Smith</v>
      </c>
      <c r="M329" t="str" cm="1">
        <f t="array" aca="1" ref="M329" ca="1">INDEX(RootCauseList,RANDBETWEEN(1,ROWS(RootCauseList)))</f>
        <v>Configuration Issue</v>
      </c>
      <c r="N329">
        <f t="shared" ca="1" si="23"/>
        <v>1921.17</v>
      </c>
      <c r="O329">
        <f ca="1">IF(OR(IncidentTable[[#This Row],[Status]]="Resolved",IncidentTable[[#This Row],[Status]]="Closed"),
ROUND(IncidentTable[[#This Row],[Estimated Impact ($)]]*(1+RANDBETWEEN(-15,25)/100)+RAND(),2),
"")</f>
        <v>1921.6</v>
      </c>
      <c r="P329">
        <f ca="1">IF(IncidentTable[[#This Row],[Actual Impact ($)]]="","",ROUND(IncidentTable[[#This Row],[Actual Impact ($)]]-IncidentTable[[#This Row],[Estimated Impact ($)]],2))</f>
        <v>0.43</v>
      </c>
      <c r="Q329" s="2">
        <f ca="1">IF(IncidentTable[[#This Row],[Actual Impact ($)]]="","",(IncidentTable[[#This Row],[Actual Impact ($)]]-IncidentTable[[#This Row],[Estimated Impact ($)]]) / IncidentTable[[#This Row],[Estimated Impact ($)]])</f>
        <v>2.2382194183744088E-4</v>
      </c>
      <c r="R329" s="3">
        <f ca="1">IF(IncidentTable[[#This Row],[Priority]]="Critical",1,
IF(IncidentTable[[#This Row],[Priority]]="High",3,
IF(IncidentTable[[#This Row],[Priority]]="Medium",5,
IF(IncidentTable[[#This Row],[Priority]]="Low",10,""))))</f>
        <v>1</v>
      </c>
      <c r="S329" t="str">
        <f ca="1">IF(IncidentTable[[#This Row],[Resolution Time (Days)]]="","",
IF(IncidentTable[[#This Row],[Resolution Time (Days)]]&lt;=IncidentTable[[#This Row],[SLA Target (Days)]],"Yes","No"))</f>
        <v>No</v>
      </c>
    </row>
    <row r="330" spans="1:19" x14ac:dyDescent="0.25">
      <c r="A330" t="str">
        <f t="shared" ca="1" si="21"/>
        <v>INC744889</v>
      </c>
      <c r="B330" t="str" cm="1">
        <f t="array" aca="1" ref="B330" ca="1">INDEX(SystemList,RANDBETWEEN(1,ROWS(SystemList)))</f>
        <v>Reporting System</v>
      </c>
      <c r="C330" t="str" cm="1">
        <f t="array" aca="1" ref="C330" ca="1">INDEX(IssueTypeList,RANDBETWEEN(1,ROWS(IssueTypeList)))</f>
        <v>Processing Delay</v>
      </c>
      <c r="D330" t="str" cm="1">
        <f t="array" aca="1" ref="D330" ca="1">INDEX(PriorityList,RANDBETWEEN(1,ROWS(PriorityList)))</f>
        <v>Medium</v>
      </c>
      <c r="E330" t="str" cm="1">
        <f t="array" aca="1" ref="E330" ca="1">INDEX(SeverityList,RANDBETWEEN(1,ROWS(SeverityList)))</f>
        <v>Moderate</v>
      </c>
      <c r="F330" t="str" cm="1">
        <f t="array" aca="1" ref="F330" ca="1">INDEX(RegionList,RANDBETWEEN(1,ROWS(RegionList)))</f>
        <v>East</v>
      </c>
      <c r="G330" t="str" cm="1">
        <f t="array" aca="1" ref="G330" ca="1">INDEX(DepartmentList,RANDBETWEEN(1,ROWS(DepartmentList)))</f>
        <v>IT</v>
      </c>
      <c r="H330" s="1">
        <f t="shared" ca="1" si="22"/>
        <v>45380</v>
      </c>
      <c r="I330" s="4" t="str">
        <f ca="1">IF(IncidentTable[[#This Row],[Resolution Time (Days)]]="","",IncidentTable[[#This Row],[Created Date]]+IncidentTable[[#This Row],[Resolution Time (Days)]])</f>
        <v/>
      </c>
      <c r="J330" t="str">
        <f ca="1">IF(OR(IncidentTable[[#This Row],[Status]]="Resolved",IncidentTable[[#This Row],[Status]]="Closed"),RANDBETWEEN(1,120),"")</f>
        <v/>
      </c>
      <c r="K330" t="str">
        <f t="shared" ca="1" si="20"/>
        <v>Pending</v>
      </c>
      <c r="L330" t="str" cm="1">
        <f t="array" aca="1" ref="L330" ca="1">INDEX(AnalystList,RANDBETWEEN(1,ROWS(AnalystList)))</f>
        <v>Riley Wilson</v>
      </c>
      <c r="M330" t="str" cm="1">
        <f t="array" aca="1" ref="M330" ca="1">INDEX(RootCauseList,RANDBETWEEN(1,ROWS(RootCauseList)))</f>
        <v>System Bug</v>
      </c>
      <c r="N330">
        <f t="shared" ca="1" si="23"/>
        <v>10888.77</v>
      </c>
      <c r="O330" t="str">
        <f ca="1">IF(OR(IncidentTable[[#This Row],[Status]]="Resolved",IncidentTable[[#This Row],[Status]]="Closed"),
ROUND(IncidentTable[[#This Row],[Estimated Impact ($)]]*(1+RANDBETWEEN(-15,25)/100)+RAND(),2),
"")</f>
        <v/>
      </c>
      <c r="P330" t="str">
        <f ca="1">IF(IncidentTable[[#This Row],[Actual Impact ($)]]="","",ROUND(IncidentTable[[#This Row],[Actual Impact ($)]]-IncidentTable[[#This Row],[Estimated Impact ($)]],2))</f>
        <v/>
      </c>
      <c r="Q330" s="2" t="str">
        <f ca="1">IF(IncidentTable[[#This Row],[Actual Impact ($)]]="","",(IncidentTable[[#This Row],[Actual Impact ($)]]-IncidentTable[[#This Row],[Estimated Impact ($)]]) / IncidentTable[[#This Row],[Estimated Impact ($)]])</f>
        <v/>
      </c>
      <c r="R330" s="3">
        <f ca="1">IF(IncidentTable[[#This Row],[Priority]]="Critical",1,
IF(IncidentTable[[#This Row],[Priority]]="High",3,
IF(IncidentTable[[#This Row],[Priority]]="Medium",5,
IF(IncidentTable[[#This Row],[Priority]]="Low",10,""))))</f>
        <v>5</v>
      </c>
      <c r="S330" t="str">
        <f ca="1">IF(IncidentTable[[#This Row],[Resolution Time (Days)]]="","",
IF(IncidentTable[[#This Row],[Resolution Time (Days)]]&lt;=IncidentTable[[#This Row],[SLA Target (Days)]],"Yes","No"))</f>
        <v/>
      </c>
    </row>
    <row r="331" spans="1:19" x14ac:dyDescent="0.25">
      <c r="A331" t="str">
        <f t="shared" ca="1" si="21"/>
        <v>INC800404</v>
      </c>
      <c r="B331" t="str" cm="1">
        <f t="array" aca="1" ref="B331" ca="1">INDEX(SystemList,RANDBETWEEN(1,ROWS(SystemList)))</f>
        <v>Regulatory System</v>
      </c>
      <c r="C331" t="str" cm="1">
        <f t="array" aca="1" ref="C331" ca="1">INDEX(IssueTypeList,RANDBETWEEN(1,ROWS(IssueTypeList)))</f>
        <v>System Error</v>
      </c>
      <c r="D331" t="str" cm="1">
        <f t="array" aca="1" ref="D331" ca="1">INDEX(PriorityList,RANDBETWEEN(1,ROWS(PriorityList)))</f>
        <v>Critical</v>
      </c>
      <c r="E331" t="str" cm="1">
        <f t="array" aca="1" ref="E331" ca="1">INDEX(SeverityList,RANDBETWEEN(1,ROWS(SeverityList)))</f>
        <v>Minor</v>
      </c>
      <c r="F331" t="str" cm="1">
        <f t="array" aca="1" ref="F331" ca="1">INDEX(RegionList,RANDBETWEEN(1,ROWS(RegionList)))</f>
        <v>Midwest</v>
      </c>
      <c r="G331" t="str" cm="1">
        <f t="array" aca="1" ref="G331" ca="1">INDEX(DepartmentList,RANDBETWEEN(1,ROWS(DepartmentList)))</f>
        <v>Compliance</v>
      </c>
      <c r="H331" s="1">
        <f t="shared" ca="1" si="22"/>
        <v>44956</v>
      </c>
      <c r="I331" s="4">
        <f ca="1">IF(IncidentTable[[#This Row],[Resolution Time (Days)]]="","",IncidentTable[[#This Row],[Created Date]]+IncidentTable[[#This Row],[Resolution Time (Days)]])</f>
        <v>44976</v>
      </c>
      <c r="J331">
        <f ca="1">IF(OR(IncidentTable[[#This Row],[Status]]="Resolved",IncidentTable[[#This Row],[Status]]="Closed"),RANDBETWEEN(1,120),"")</f>
        <v>20</v>
      </c>
      <c r="K331" t="str">
        <f t="shared" ca="1" si="20"/>
        <v>Closed</v>
      </c>
      <c r="L331" t="str" cm="1">
        <f t="array" aca="1" ref="L331" ca="1">INDEX(AnalystList,RANDBETWEEN(1,ROWS(AnalystList)))</f>
        <v>Morgan Davis</v>
      </c>
      <c r="M331" t="str" cm="1">
        <f t="array" aca="1" ref="M331" ca="1">INDEX(RootCauseList,RANDBETWEEN(1,ROWS(RootCauseList)))</f>
        <v>Integration Failure</v>
      </c>
      <c r="N331">
        <f t="shared" ca="1" si="23"/>
        <v>12510.05</v>
      </c>
      <c r="O331">
        <f ca="1">IF(OR(IncidentTable[[#This Row],[Status]]="Resolved",IncidentTable[[#This Row],[Status]]="Closed"),
ROUND(IncidentTable[[#This Row],[Estimated Impact ($)]]*(1+RANDBETWEEN(-15,25)/100)+RAND(),2),
"")</f>
        <v>11759.89</v>
      </c>
      <c r="P331">
        <f ca="1">IF(IncidentTable[[#This Row],[Actual Impact ($)]]="","",ROUND(IncidentTable[[#This Row],[Actual Impact ($)]]-IncidentTable[[#This Row],[Estimated Impact ($)]],2))</f>
        <v>-750.16</v>
      </c>
      <c r="Q331" s="2">
        <f ca="1">IF(IncidentTable[[#This Row],[Actual Impact ($)]]="","",(IncidentTable[[#This Row],[Actual Impact ($)]]-IncidentTable[[#This Row],[Estimated Impact ($)]]) / IncidentTable[[#This Row],[Estimated Impact ($)]])</f>
        <v>-5.9964588470869412E-2</v>
      </c>
      <c r="R331" s="3">
        <f ca="1">IF(IncidentTable[[#This Row],[Priority]]="Critical",1,
IF(IncidentTable[[#This Row],[Priority]]="High",3,
IF(IncidentTable[[#This Row],[Priority]]="Medium",5,
IF(IncidentTable[[#This Row],[Priority]]="Low",10,""))))</f>
        <v>1</v>
      </c>
      <c r="S331" t="str">
        <f ca="1">IF(IncidentTable[[#This Row],[Resolution Time (Days)]]="","",
IF(IncidentTable[[#This Row],[Resolution Time (Days)]]&lt;=IncidentTable[[#This Row],[SLA Target (Days)]],"Yes","No"))</f>
        <v>No</v>
      </c>
    </row>
    <row r="332" spans="1:19" x14ac:dyDescent="0.25">
      <c r="A332" t="str">
        <f t="shared" ca="1" si="21"/>
        <v>INC668946</v>
      </c>
      <c r="B332" t="str" cm="1">
        <f t="array" aca="1" ref="B332" ca="1">INDEX(SystemList,RANDBETWEEN(1,ROWS(SystemList)))</f>
        <v>Policy Admin System</v>
      </c>
      <c r="C332" t="str" cm="1">
        <f t="array" aca="1" ref="C332" ca="1">INDEX(IssueTypeList,RANDBETWEEN(1,ROWS(IssueTypeList)))</f>
        <v>Performance Issue</v>
      </c>
      <c r="D332" t="str" cm="1">
        <f t="array" aca="1" ref="D332" ca="1">INDEX(PriorityList,RANDBETWEEN(1,ROWS(PriorityList)))</f>
        <v>Medium</v>
      </c>
      <c r="E332" t="str" cm="1">
        <f t="array" aca="1" ref="E332" ca="1">INDEX(SeverityList,RANDBETWEEN(1,ROWS(SeverityList)))</f>
        <v>Minor</v>
      </c>
      <c r="F332" t="str" cm="1">
        <f t="array" aca="1" ref="F332" ca="1">INDEX(RegionList,RANDBETWEEN(1,ROWS(RegionList)))</f>
        <v>Southeast</v>
      </c>
      <c r="G332" t="str" cm="1">
        <f t="array" aca="1" ref="G332" ca="1">INDEX(DepartmentList,RANDBETWEEN(1,ROWS(DepartmentList)))</f>
        <v>Customer Service</v>
      </c>
      <c r="H332" s="1">
        <f t="shared" ca="1" si="22"/>
        <v>45229</v>
      </c>
      <c r="I332" s="4" t="str">
        <f ca="1">IF(IncidentTable[[#This Row],[Resolution Time (Days)]]="","",IncidentTable[[#This Row],[Created Date]]+IncidentTable[[#This Row],[Resolution Time (Days)]])</f>
        <v/>
      </c>
      <c r="J332" t="str">
        <f ca="1">IF(OR(IncidentTable[[#This Row],[Status]]="Resolved",IncidentTable[[#This Row],[Status]]="Closed"),RANDBETWEEN(1,120),"")</f>
        <v/>
      </c>
      <c r="K332" t="str">
        <f t="shared" ca="1" si="20"/>
        <v>Pending</v>
      </c>
      <c r="L332" t="str" cm="1">
        <f t="array" aca="1" ref="L332" ca="1">INDEX(AnalystList,RANDBETWEEN(1,ROWS(AnalystList)))</f>
        <v>Morgan Davis</v>
      </c>
      <c r="M332" t="str" cm="1">
        <f t="array" aca="1" ref="M332" ca="1">INDEX(RootCauseList,RANDBETWEEN(1,ROWS(RootCauseList)))</f>
        <v>Integration Failure</v>
      </c>
      <c r="N332">
        <f t="shared" ca="1" si="23"/>
        <v>2.5499999999999998</v>
      </c>
      <c r="O332" t="str">
        <f ca="1">IF(OR(IncidentTable[[#This Row],[Status]]="Resolved",IncidentTable[[#This Row],[Status]]="Closed"),
ROUND(IncidentTable[[#This Row],[Estimated Impact ($)]]*(1+RANDBETWEEN(-15,25)/100)+RAND(),2),
"")</f>
        <v/>
      </c>
      <c r="P332" t="str">
        <f ca="1">IF(IncidentTable[[#This Row],[Actual Impact ($)]]="","",ROUND(IncidentTable[[#This Row],[Actual Impact ($)]]-IncidentTable[[#This Row],[Estimated Impact ($)]],2))</f>
        <v/>
      </c>
      <c r="Q332" s="2" t="str">
        <f ca="1">IF(IncidentTable[[#This Row],[Actual Impact ($)]]="","",(IncidentTable[[#This Row],[Actual Impact ($)]]-IncidentTable[[#This Row],[Estimated Impact ($)]]) / IncidentTable[[#This Row],[Estimated Impact ($)]])</f>
        <v/>
      </c>
      <c r="R332" s="3">
        <f ca="1">IF(IncidentTable[[#This Row],[Priority]]="Critical",1,
IF(IncidentTable[[#This Row],[Priority]]="High",3,
IF(IncidentTable[[#This Row],[Priority]]="Medium",5,
IF(IncidentTable[[#This Row],[Priority]]="Low",10,""))))</f>
        <v>5</v>
      </c>
      <c r="S332" t="str">
        <f ca="1">IF(IncidentTable[[#This Row],[Resolution Time (Days)]]="","",
IF(IncidentTable[[#This Row],[Resolution Time (Days)]]&lt;=IncidentTable[[#This Row],[SLA Target (Days)]],"Yes","No"))</f>
        <v/>
      </c>
    </row>
    <row r="333" spans="1:19" x14ac:dyDescent="0.25">
      <c r="A333" t="str">
        <f t="shared" ca="1" si="21"/>
        <v>INC337077</v>
      </c>
      <c r="B333" t="str" cm="1">
        <f t="array" aca="1" ref="B333" ca="1">INDEX(SystemList,RANDBETWEEN(1,ROWS(SystemList)))</f>
        <v>Customer Portal</v>
      </c>
      <c r="C333" t="str" cm="1">
        <f t="array" aca="1" ref="C333" ca="1">INDEX(IssueTypeList,RANDBETWEEN(1,ROWS(IssueTypeList)))</f>
        <v>System Error</v>
      </c>
      <c r="D333" t="str" cm="1">
        <f t="array" aca="1" ref="D333" ca="1">INDEX(PriorityList,RANDBETWEEN(1,ROWS(PriorityList)))</f>
        <v>High</v>
      </c>
      <c r="E333" t="str" cm="1">
        <f t="array" aca="1" ref="E333" ca="1">INDEX(SeverityList,RANDBETWEEN(1,ROWS(SeverityList)))</f>
        <v>Moderate</v>
      </c>
      <c r="F333" t="str" cm="1">
        <f t="array" aca="1" ref="F333" ca="1">INDEX(RegionList,RANDBETWEEN(1,ROWS(RegionList)))</f>
        <v>West</v>
      </c>
      <c r="G333" t="str" cm="1">
        <f t="array" aca="1" ref="G333" ca="1">INDEX(DepartmentList,RANDBETWEEN(1,ROWS(DepartmentList)))</f>
        <v>Customer Service</v>
      </c>
      <c r="H333" s="1">
        <f t="shared" ca="1" si="22"/>
        <v>45315</v>
      </c>
      <c r="I333" s="4">
        <f ca="1">IF(IncidentTable[[#This Row],[Resolution Time (Days)]]="","",IncidentTable[[#This Row],[Created Date]]+IncidentTable[[#This Row],[Resolution Time (Days)]])</f>
        <v>45395</v>
      </c>
      <c r="J333">
        <f ca="1">IF(OR(IncidentTable[[#This Row],[Status]]="Resolved",IncidentTable[[#This Row],[Status]]="Closed"),RANDBETWEEN(1,120),"")</f>
        <v>80</v>
      </c>
      <c r="K333" t="str">
        <f t="shared" ca="1" si="20"/>
        <v>Closed</v>
      </c>
      <c r="L333" t="str" cm="1">
        <f t="array" aca="1" ref="L333" ca="1">INDEX(AnalystList,RANDBETWEEN(1,ROWS(AnalystList)))</f>
        <v>Taylor Smith</v>
      </c>
      <c r="M333" t="str" cm="1">
        <f t="array" aca="1" ref="M333" ca="1">INDEX(RootCauseList,RANDBETWEEN(1,ROWS(RootCauseList)))</f>
        <v>Process Gap</v>
      </c>
      <c r="N333">
        <f t="shared" ca="1" si="23"/>
        <v>728.25</v>
      </c>
      <c r="O333">
        <f ca="1">IF(OR(IncidentTable[[#This Row],[Status]]="Resolved",IncidentTable[[#This Row],[Status]]="Closed"),
ROUND(IncidentTable[[#This Row],[Estimated Impact ($)]]*(1+RANDBETWEEN(-15,25)/100)+RAND(),2),
"")</f>
        <v>910.55</v>
      </c>
      <c r="P333">
        <f ca="1">IF(IncidentTable[[#This Row],[Actual Impact ($)]]="","",ROUND(IncidentTable[[#This Row],[Actual Impact ($)]]-IncidentTable[[#This Row],[Estimated Impact ($)]],2))</f>
        <v>182.3</v>
      </c>
      <c r="Q333" s="2">
        <f ca="1">IF(IncidentTable[[#This Row],[Actual Impact ($)]]="","",(IncidentTable[[#This Row],[Actual Impact ($)]]-IncidentTable[[#This Row],[Estimated Impact ($)]]) / IncidentTable[[#This Row],[Estimated Impact ($)]])</f>
        <v>0.25032612427051143</v>
      </c>
      <c r="R333" s="3">
        <f ca="1">IF(IncidentTable[[#This Row],[Priority]]="Critical",1,
IF(IncidentTable[[#This Row],[Priority]]="High",3,
IF(IncidentTable[[#This Row],[Priority]]="Medium",5,
IF(IncidentTable[[#This Row],[Priority]]="Low",10,""))))</f>
        <v>3</v>
      </c>
      <c r="S333" t="str">
        <f ca="1">IF(IncidentTable[[#This Row],[Resolution Time (Days)]]="","",
IF(IncidentTable[[#This Row],[Resolution Time (Days)]]&lt;=IncidentTable[[#This Row],[SLA Target (Days)]],"Yes","No"))</f>
        <v>No</v>
      </c>
    </row>
    <row r="334" spans="1:19" x14ac:dyDescent="0.25">
      <c r="A334" t="str">
        <f t="shared" ca="1" si="21"/>
        <v>INC951220</v>
      </c>
      <c r="B334" t="str" cm="1">
        <f t="array" aca="1" ref="B334" ca="1">INDEX(SystemList,RANDBETWEEN(1,ROWS(SystemList)))</f>
        <v>Billing System</v>
      </c>
      <c r="C334" t="str" cm="1">
        <f t="array" aca="1" ref="C334" ca="1">INDEX(IssueTypeList,RANDBETWEEN(1,ROWS(IssueTypeList)))</f>
        <v>Integration Failure</v>
      </c>
      <c r="D334" t="str" cm="1">
        <f t="array" aca="1" ref="D334" ca="1">INDEX(PriorityList,RANDBETWEEN(1,ROWS(PriorityList)))</f>
        <v>Medium</v>
      </c>
      <c r="E334" t="str" cm="1">
        <f t="array" aca="1" ref="E334" ca="1">INDEX(SeverityList,RANDBETWEEN(1,ROWS(SeverityList)))</f>
        <v>Major</v>
      </c>
      <c r="F334" t="str" cm="1">
        <f t="array" aca="1" ref="F334" ca="1">INDEX(RegionList,RANDBETWEEN(1,ROWS(RegionList)))</f>
        <v>Midwest</v>
      </c>
      <c r="G334" t="str" cm="1">
        <f t="array" aca="1" ref="G334" ca="1">INDEX(DepartmentList,RANDBETWEEN(1,ROWS(DepartmentList)))</f>
        <v>IT</v>
      </c>
      <c r="H334" s="1">
        <f t="shared" ca="1" si="22"/>
        <v>45148</v>
      </c>
      <c r="I334" s="4" t="str">
        <f ca="1">IF(IncidentTable[[#This Row],[Resolution Time (Days)]]="","",IncidentTable[[#This Row],[Created Date]]+IncidentTable[[#This Row],[Resolution Time (Days)]])</f>
        <v/>
      </c>
      <c r="J334" t="str">
        <f ca="1">IF(OR(IncidentTable[[#This Row],[Status]]="Resolved",IncidentTable[[#This Row],[Status]]="Closed"),RANDBETWEEN(1,120),"")</f>
        <v/>
      </c>
      <c r="K334" t="str">
        <f t="shared" ca="1" si="20"/>
        <v>Pending</v>
      </c>
      <c r="L334" t="str" cm="1">
        <f t="array" aca="1" ref="L334" ca="1">INDEX(AnalystList,RANDBETWEEN(1,ROWS(AnalystList)))</f>
        <v>Jordan Lee</v>
      </c>
      <c r="M334" t="str" cm="1">
        <f t="array" aca="1" ref="M334" ca="1">INDEX(RootCauseList,RANDBETWEEN(1,ROWS(RootCauseList)))</f>
        <v>Process Gap</v>
      </c>
      <c r="N334">
        <f t="shared" ca="1" si="23"/>
        <v>4862.17</v>
      </c>
      <c r="O334" t="str">
        <f ca="1">IF(OR(IncidentTable[[#This Row],[Status]]="Resolved",IncidentTable[[#This Row],[Status]]="Closed"),
ROUND(IncidentTable[[#This Row],[Estimated Impact ($)]]*(1+RANDBETWEEN(-15,25)/100)+RAND(),2),
"")</f>
        <v/>
      </c>
      <c r="P334" t="str">
        <f ca="1">IF(IncidentTable[[#This Row],[Actual Impact ($)]]="","",ROUND(IncidentTable[[#This Row],[Actual Impact ($)]]-IncidentTable[[#This Row],[Estimated Impact ($)]],2))</f>
        <v/>
      </c>
      <c r="Q334" s="2" t="str">
        <f ca="1">IF(IncidentTable[[#This Row],[Actual Impact ($)]]="","",(IncidentTable[[#This Row],[Actual Impact ($)]]-IncidentTable[[#This Row],[Estimated Impact ($)]]) / IncidentTable[[#This Row],[Estimated Impact ($)]])</f>
        <v/>
      </c>
      <c r="R334" s="3">
        <f ca="1">IF(IncidentTable[[#This Row],[Priority]]="Critical",1,
IF(IncidentTable[[#This Row],[Priority]]="High",3,
IF(IncidentTable[[#This Row],[Priority]]="Medium",5,
IF(IncidentTable[[#This Row],[Priority]]="Low",10,""))))</f>
        <v>5</v>
      </c>
      <c r="S334" t="str">
        <f ca="1">IF(IncidentTable[[#This Row],[Resolution Time (Days)]]="","",
IF(IncidentTable[[#This Row],[Resolution Time (Days)]]&lt;=IncidentTable[[#This Row],[SLA Target (Days)]],"Yes","No"))</f>
        <v/>
      </c>
    </row>
    <row r="335" spans="1:19" x14ac:dyDescent="0.25">
      <c r="A335" t="str">
        <f t="shared" ca="1" si="21"/>
        <v>INC798612</v>
      </c>
      <c r="B335" t="str" cm="1">
        <f t="array" aca="1" ref="B335" ca="1">INDEX(SystemList,RANDBETWEEN(1,ROWS(SystemList)))</f>
        <v>Reporting System</v>
      </c>
      <c r="C335" t="str" cm="1">
        <f t="array" aca="1" ref="C335" ca="1">INDEX(IssueTypeList,RANDBETWEEN(1,ROWS(IssueTypeList)))</f>
        <v>System Error</v>
      </c>
      <c r="D335" t="str" cm="1">
        <f t="array" aca="1" ref="D335" ca="1">INDEX(PriorityList,RANDBETWEEN(1,ROWS(PriorityList)))</f>
        <v>Medium</v>
      </c>
      <c r="E335" t="str" cm="1">
        <f t="array" aca="1" ref="E335" ca="1">INDEX(SeverityList,RANDBETWEEN(1,ROWS(SeverityList)))</f>
        <v>Minor</v>
      </c>
      <c r="F335" t="str" cm="1">
        <f t="array" aca="1" ref="F335" ca="1">INDEX(RegionList,RANDBETWEEN(1,ROWS(RegionList)))</f>
        <v>Central</v>
      </c>
      <c r="G335" t="str" cm="1">
        <f t="array" aca="1" ref="G335" ca="1">INDEX(DepartmentList,RANDBETWEEN(1,ROWS(DepartmentList)))</f>
        <v>Claims</v>
      </c>
      <c r="H335" s="1">
        <f t="shared" ca="1" si="22"/>
        <v>44988</v>
      </c>
      <c r="I335" s="4">
        <f ca="1">IF(IncidentTable[[#This Row],[Resolution Time (Days)]]="","",IncidentTable[[#This Row],[Created Date]]+IncidentTable[[#This Row],[Resolution Time (Days)]])</f>
        <v>45082</v>
      </c>
      <c r="J335">
        <f ca="1">IF(OR(IncidentTable[[#This Row],[Status]]="Resolved",IncidentTable[[#This Row],[Status]]="Closed"),RANDBETWEEN(1,120),"")</f>
        <v>94</v>
      </c>
      <c r="K335" t="str">
        <f t="shared" ca="1" si="20"/>
        <v>Resolved</v>
      </c>
      <c r="L335" t="str" cm="1">
        <f t="array" aca="1" ref="L335" ca="1">INDEX(AnalystList,RANDBETWEEN(1,ROWS(AnalystList)))</f>
        <v>Riley Wilson</v>
      </c>
      <c r="M335" t="str" cm="1">
        <f t="array" aca="1" ref="M335" ca="1">INDEX(RootCauseList,RANDBETWEEN(1,ROWS(RootCauseList)))</f>
        <v>Unknown</v>
      </c>
      <c r="N335">
        <f t="shared" ca="1" si="23"/>
        <v>22226.42</v>
      </c>
      <c r="O335">
        <f ca="1">IF(OR(IncidentTable[[#This Row],[Status]]="Resolved",IncidentTable[[#This Row],[Status]]="Closed"),
ROUND(IncidentTable[[#This Row],[Estimated Impact ($)]]*(1+RANDBETWEEN(-15,25)/100)+RAND(),2),
"")</f>
        <v>26227.91</v>
      </c>
      <c r="P335">
        <f ca="1">IF(IncidentTable[[#This Row],[Actual Impact ($)]]="","",ROUND(IncidentTable[[#This Row],[Actual Impact ($)]]-IncidentTable[[#This Row],[Estimated Impact ($)]],2))</f>
        <v>4001.49</v>
      </c>
      <c r="Q335" s="2">
        <f ca="1">IF(IncidentTable[[#This Row],[Actual Impact ($)]]="","",(IncidentTable[[#This Row],[Actual Impact ($)]]-IncidentTable[[#This Row],[Estimated Impact ($)]]) / IncidentTable[[#This Row],[Estimated Impact ($)]])</f>
        <v>0.18003304175841192</v>
      </c>
      <c r="R335" s="3">
        <f ca="1">IF(IncidentTable[[#This Row],[Priority]]="Critical",1,
IF(IncidentTable[[#This Row],[Priority]]="High",3,
IF(IncidentTable[[#This Row],[Priority]]="Medium",5,
IF(IncidentTable[[#This Row],[Priority]]="Low",10,""))))</f>
        <v>5</v>
      </c>
      <c r="S335" t="str">
        <f ca="1">IF(IncidentTable[[#This Row],[Resolution Time (Days)]]="","",
IF(IncidentTable[[#This Row],[Resolution Time (Days)]]&lt;=IncidentTable[[#This Row],[SLA Target (Days)]],"Yes","No"))</f>
        <v>No</v>
      </c>
    </row>
    <row r="336" spans="1:19" x14ac:dyDescent="0.25">
      <c r="A336" t="str">
        <f t="shared" ca="1" si="21"/>
        <v>INC425168</v>
      </c>
      <c r="B336" t="str" cm="1">
        <f t="array" aca="1" ref="B336" ca="1">INDEX(SystemList,RANDBETWEEN(1,ROWS(SystemList)))</f>
        <v>Claims System</v>
      </c>
      <c r="C336" t="str" cm="1">
        <f t="array" aca="1" ref="C336" ca="1">INDEX(IssueTypeList,RANDBETWEEN(1,ROWS(IssueTypeList)))</f>
        <v>Payment Failure</v>
      </c>
      <c r="D336" t="str" cm="1">
        <f t="array" aca="1" ref="D336" ca="1">INDEX(PriorityList,RANDBETWEEN(1,ROWS(PriorityList)))</f>
        <v>Medium</v>
      </c>
      <c r="E336" t="str" cm="1">
        <f t="array" aca="1" ref="E336" ca="1">INDEX(SeverityList,RANDBETWEEN(1,ROWS(SeverityList)))</f>
        <v>Moderate</v>
      </c>
      <c r="F336" t="str" cm="1">
        <f t="array" aca="1" ref="F336" ca="1">INDEX(RegionList,RANDBETWEEN(1,ROWS(RegionList)))</f>
        <v>Central</v>
      </c>
      <c r="G336" t="str" cm="1">
        <f t="array" aca="1" ref="G336" ca="1">INDEX(DepartmentList,RANDBETWEEN(1,ROWS(DepartmentList)))</f>
        <v>Claims</v>
      </c>
      <c r="H336" s="1">
        <f t="shared" ca="1" si="22"/>
        <v>45291</v>
      </c>
      <c r="I336" s="4" t="str">
        <f ca="1">IF(IncidentTable[[#This Row],[Resolution Time (Days)]]="","",IncidentTable[[#This Row],[Created Date]]+IncidentTable[[#This Row],[Resolution Time (Days)]])</f>
        <v/>
      </c>
      <c r="J336" t="str">
        <f ca="1">IF(OR(IncidentTable[[#This Row],[Status]]="Resolved",IncidentTable[[#This Row],[Status]]="Closed"),RANDBETWEEN(1,120),"")</f>
        <v/>
      </c>
      <c r="K336" t="str">
        <f t="shared" ca="1" si="20"/>
        <v>Pending</v>
      </c>
      <c r="L336" t="str" cm="1">
        <f t="array" aca="1" ref="L336" ca="1">INDEX(AnalystList,RANDBETWEEN(1,ROWS(AnalystList)))</f>
        <v>Morgan Davis</v>
      </c>
      <c r="M336" t="str" cm="1">
        <f t="array" aca="1" ref="M336" ca="1">INDEX(RootCauseList,RANDBETWEEN(1,ROWS(RootCauseList)))</f>
        <v>Unknown</v>
      </c>
      <c r="N336">
        <f t="shared" ca="1" si="23"/>
        <v>905.84</v>
      </c>
      <c r="O336" t="str">
        <f ca="1">IF(OR(IncidentTable[[#This Row],[Status]]="Resolved",IncidentTable[[#This Row],[Status]]="Closed"),
ROUND(IncidentTable[[#This Row],[Estimated Impact ($)]]*(1+RANDBETWEEN(-15,25)/100)+RAND(),2),
"")</f>
        <v/>
      </c>
      <c r="P336" t="str">
        <f ca="1">IF(IncidentTable[[#This Row],[Actual Impact ($)]]="","",ROUND(IncidentTable[[#This Row],[Actual Impact ($)]]-IncidentTable[[#This Row],[Estimated Impact ($)]],2))</f>
        <v/>
      </c>
      <c r="Q336" s="2" t="str">
        <f ca="1">IF(IncidentTable[[#This Row],[Actual Impact ($)]]="","",(IncidentTable[[#This Row],[Actual Impact ($)]]-IncidentTable[[#This Row],[Estimated Impact ($)]]) / IncidentTable[[#This Row],[Estimated Impact ($)]])</f>
        <v/>
      </c>
      <c r="R336" s="3">
        <f ca="1">IF(IncidentTable[[#This Row],[Priority]]="Critical",1,
IF(IncidentTable[[#This Row],[Priority]]="High",3,
IF(IncidentTable[[#This Row],[Priority]]="Medium",5,
IF(IncidentTable[[#This Row],[Priority]]="Low",10,""))))</f>
        <v>5</v>
      </c>
      <c r="S336" t="str">
        <f ca="1">IF(IncidentTable[[#This Row],[Resolution Time (Days)]]="","",
IF(IncidentTable[[#This Row],[Resolution Time (Days)]]&lt;=IncidentTable[[#This Row],[SLA Target (Days)]],"Yes","No"))</f>
        <v/>
      </c>
    </row>
    <row r="337" spans="1:19" x14ac:dyDescent="0.25">
      <c r="A337" t="str">
        <f t="shared" ca="1" si="21"/>
        <v>INC411863</v>
      </c>
      <c r="B337" t="str" cm="1">
        <f t="array" aca="1" ref="B337" ca="1">INDEX(SystemList,RANDBETWEEN(1,ROWS(SystemList)))</f>
        <v>Policy Admin System</v>
      </c>
      <c r="C337" t="str" cm="1">
        <f t="array" aca="1" ref="C337" ca="1">INDEX(IssueTypeList,RANDBETWEEN(1,ROWS(IssueTypeList)))</f>
        <v>User Access Issue</v>
      </c>
      <c r="D337" t="str" cm="1">
        <f t="array" aca="1" ref="D337" ca="1">INDEX(PriorityList,RANDBETWEEN(1,ROWS(PriorityList)))</f>
        <v>High</v>
      </c>
      <c r="E337" t="str" cm="1">
        <f t="array" aca="1" ref="E337" ca="1">INDEX(SeverityList,RANDBETWEEN(1,ROWS(SeverityList)))</f>
        <v>Minor</v>
      </c>
      <c r="F337" t="str" cm="1">
        <f t="array" aca="1" ref="F337" ca="1">INDEX(RegionList,RANDBETWEEN(1,ROWS(RegionList)))</f>
        <v>West</v>
      </c>
      <c r="G337" t="str" cm="1">
        <f t="array" aca="1" ref="G337" ca="1">INDEX(DepartmentList,RANDBETWEEN(1,ROWS(DepartmentList)))</f>
        <v>Finance</v>
      </c>
      <c r="H337" s="1">
        <f t="shared" ca="1" si="22"/>
        <v>45428</v>
      </c>
      <c r="I337" s="4">
        <f ca="1">IF(IncidentTable[[#This Row],[Resolution Time (Days)]]="","",IncidentTable[[#This Row],[Created Date]]+IncidentTable[[#This Row],[Resolution Time (Days)]])</f>
        <v>45482</v>
      </c>
      <c r="J337">
        <f ca="1">IF(OR(IncidentTable[[#This Row],[Status]]="Resolved",IncidentTable[[#This Row],[Status]]="Closed"),RANDBETWEEN(1,120),"")</f>
        <v>54</v>
      </c>
      <c r="K337" t="str">
        <f t="shared" ca="1" si="20"/>
        <v>Resolved</v>
      </c>
      <c r="L337" t="str" cm="1">
        <f t="array" aca="1" ref="L337" ca="1">INDEX(AnalystList,RANDBETWEEN(1,ROWS(AnalystList)))</f>
        <v>Alex Johnson</v>
      </c>
      <c r="M337" t="str" cm="1">
        <f t="array" aca="1" ref="M337" ca="1">INDEX(RootCauseList,RANDBETWEEN(1,ROWS(RootCauseList)))</f>
        <v>System Bug</v>
      </c>
      <c r="N337">
        <f t="shared" ca="1" si="23"/>
        <v>9230.42</v>
      </c>
      <c r="O337">
        <f ca="1">IF(OR(IncidentTable[[#This Row],[Status]]="Resolved",IncidentTable[[#This Row],[Status]]="Closed"),
ROUND(IncidentTable[[#This Row],[Estimated Impact ($)]]*(1+RANDBETWEEN(-15,25)/100)+RAND(),2),
"")</f>
        <v>8031.34</v>
      </c>
      <c r="P337">
        <f ca="1">IF(IncidentTable[[#This Row],[Actual Impact ($)]]="","",ROUND(IncidentTable[[#This Row],[Actual Impact ($)]]-IncidentTable[[#This Row],[Estimated Impact ($)]],2))</f>
        <v>-1199.08</v>
      </c>
      <c r="Q337" s="2">
        <f ca="1">IF(IncidentTable[[#This Row],[Actual Impact ($)]]="","",(IncidentTable[[#This Row],[Actual Impact ($)]]-IncidentTable[[#This Row],[Estimated Impact ($)]]) / IncidentTable[[#This Row],[Estimated Impact ($)]])</f>
        <v>-0.12990524808188575</v>
      </c>
      <c r="R337" s="3">
        <f ca="1">IF(IncidentTable[[#This Row],[Priority]]="Critical",1,
IF(IncidentTable[[#This Row],[Priority]]="High",3,
IF(IncidentTable[[#This Row],[Priority]]="Medium",5,
IF(IncidentTable[[#This Row],[Priority]]="Low",10,""))))</f>
        <v>3</v>
      </c>
      <c r="S337" t="str">
        <f ca="1">IF(IncidentTable[[#This Row],[Resolution Time (Days)]]="","",
IF(IncidentTable[[#This Row],[Resolution Time (Days)]]&lt;=IncidentTable[[#This Row],[SLA Target (Days)]],"Yes","No"))</f>
        <v>No</v>
      </c>
    </row>
    <row r="338" spans="1:19" x14ac:dyDescent="0.25">
      <c r="A338" t="str">
        <f t="shared" ca="1" si="21"/>
        <v>INC695133</v>
      </c>
      <c r="B338" t="str" cm="1">
        <f t="array" aca="1" ref="B338" ca="1">INDEX(SystemList,RANDBETWEEN(1,ROWS(SystemList)))</f>
        <v>Customer Portal</v>
      </c>
      <c r="C338" t="str" cm="1">
        <f t="array" aca="1" ref="C338" ca="1">INDEX(IssueTypeList,RANDBETWEEN(1,ROWS(IssueTypeList)))</f>
        <v>Performance Issue</v>
      </c>
      <c r="D338" t="str" cm="1">
        <f t="array" aca="1" ref="D338" ca="1">INDEX(PriorityList,RANDBETWEEN(1,ROWS(PriorityList)))</f>
        <v>Medium</v>
      </c>
      <c r="E338" t="str" cm="1">
        <f t="array" aca="1" ref="E338" ca="1">INDEX(SeverityList,RANDBETWEEN(1,ROWS(SeverityList)))</f>
        <v>Moderate</v>
      </c>
      <c r="F338" t="str" cm="1">
        <f t="array" aca="1" ref="F338" ca="1">INDEX(RegionList,RANDBETWEEN(1,ROWS(RegionList)))</f>
        <v>Central</v>
      </c>
      <c r="G338" t="str" cm="1">
        <f t="array" aca="1" ref="G338" ca="1">INDEX(DepartmentList,RANDBETWEEN(1,ROWS(DepartmentList)))</f>
        <v>Finance</v>
      </c>
      <c r="H338" s="1">
        <f t="shared" ca="1" si="22"/>
        <v>45171</v>
      </c>
      <c r="I338" s="4" t="str">
        <f ca="1">IF(IncidentTable[[#This Row],[Resolution Time (Days)]]="","",IncidentTable[[#This Row],[Created Date]]+IncidentTable[[#This Row],[Resolution Time (Days)]])</f>
        <v/>
      </c>
      <c r="J338" t="str">
        <f ca="1">IF(OR(IncidentTable[[#This Row],[Status]]="Resolved",IncidentTable[[#This Row],[Status]]="Closed"),RANDBETWEEN(1,120),"")</f>
        <v/>
      </c>
      <c r="K338" t="str">
        <f t="shared" ca="1" si="20"/>
        <v>Pending</v>
      </c>
      <c r="L338" t="str" cm="1">
        <f t="array" aca="1" ref="L338" ca="1">INDEX(AnalystList,RANDBETWEEN(1,ROWS(AnalystList)))</f>
        <v>Taylor Smith</v>
      </c>
      <c r="M338" t="str" cm="1">
        <f t="array" aca="1" ref="M338" ca="1">INDEX(RootCauseList,RANDBETWEEN(1,ROWS(RootCauseList)))</f>
        <v>Integration Failure</v>
      </c>
      <c r="N338">
        <f t="shared" ca="1" si="23"/>
        <v>1218.45</v>
      </c>
      <c r="O338" t="str">
        <f ca="1">IF(OR(IncidentTable[[#This Row],[Status]]="Resolved",IncidentTable[[#This Row],[Status]]="Closed"),
ROUND(IncidentTable[[#This Row],[Estimated Impact ($)]]*(1+RANDBETWEEN(-15,25)/100)+RAND(),2),
"")</f>
        <v/>
      </c>
      <c r="P338" t="str">
        <f ca="1">IF(IncidentTable[[#This Row],[Actual Impact ($)]]="","",ROUND(IncidentTable[[#This Row],[Actual Impact ($)]]-IncidentTable[[#This Row],[Estimated Impact ($)]],2))</f>
        <v/>
      </c>
      <c r="Q338" s="2" t="str">
        <f ca="1">IF(IncidentTable[[#This Row],[Actual Impact ($)]]="","",(IncidentTable[[#This Row],[Actual Impact ($)]]-IncidentTable[[#This Row],[Estimated Impact ($)]]) / IncidentTable[[#This Row],[Estimated Impact ($)]])</f>
        <v/>
      </c>
      <c r="R338" s="3">
        <f ca="1">IF(IncidentTable[[#This Row],[Priority]]="Critical",1,
IF(IncidentTable[[#This Row],[Priority]]="High",3,
IF(IncidentTable[[#This Row],[Priority]]="Medium",5,
IF(IncidentTable[[#This Row],[Priority]]="Low",10,""))))</f>
        <v>5</v>
      </c>
      <c r="S338" t="str">
        <f ca="1">IF(IncidentTable[[#This Row],[Resolution Time (Days)]]="","",
IF(IncidentTable[[#This Row],[Resolution Time (Days)]]&lt;=IncidentTable[[#This Row],[SLA Target (Days)]],"Yes","No"))</f>
        <v/>
      </c>
    </row>
    <row r="339" spans="1:19" x14ac:dyDescent="0.25">
      <c r="A339" t="str">
        <f t="shared" ca="1" si="21"/>
        <v>INC454193</v>
      </c>
      <c r="B339" t="str" cm="1">
        <f t="array" aca="1" ref="B339" ca="1">INDEX(SystemList,RANDBETWEEN(1,ROWS(SystemList)))</f>
        <v>Regulatory System</v>
      </c>
      <c r="C339" t="str" cm="1">
        <f t="array" aca="1" ref="C339" ca="1">INDEX(IssueTypeList,RANDBETWEEN(1,ROWS(IssueTypeList)))</f>
        <v>Complaint</v>
      </c>
      <c r="D339" t="str" cm="1">
        <f t="array" aca="1" ref="D339" ca="1">INDEX(PriorityList,RANDBETWEEN(1,ROWS(PriorityList)))</f>
        <v>Low</v>
      </c>
      <c r="E339" t="str" cm="1">
        <f t="array" aca="1" ref="E339" ca="1">INDEX(SeverityList,RANDBETWEEN(1,ROWS(SeverityList)))</f>
        <v>Major</v>
      </c>
      <c r="F339" t="str" cm="1">
        <f t="array" aca="1" ref="F339" ca="1">INDEX(RegionList,RANDBETWEEN(1,ROWS(RegionList)))</f>
        <v>Midwest</v>
      </c>
      <c r="G339" t="str" cm="1">
        <f t="array" aca="1" ref="G339" ca="1">INDEX(DepartmentList,RANDBETWEEN(1,ROWS(DepartmentList)))</f>
        <v>Compliance</v>
      </c>
      <c r="H339" s="1">
        <f t="shared" ca="1" si="22"/>
        <v>44999</v>
      </c>
      <c r="I339" s="4">
        <f ca="1">IF(IncidentTable[[#This Row],[Resolution Time (Days)]]="","",IncidentTable[[#This Row],[Created Date]]+IncidentTable[[#This Row],[Resolution Time (Days)]])</f>
        <v>45053</v>
      </c>
      <c r="J339">
        <f ca="1">IF(OR(IncidentTable[[#This Row],[Status]]="Resolved",IncidentTable[[#This Row],[Status]]="Closed"),RANDBETWEEN(1,120),"")</f>
        <v>54</v>
      </c>
      <c r="K339" t="str">
        <f t="shared" ca="1" si="20"/>
        <v>Closed</v>
      </c>
      <c r="L339" t="str" cm="1">
        <f t="array" aca="1" ref="L339" ca="1">INDEX(AnalystList,RANDBETWEEN(1,ROWS(AnalystList)))</f>
        <v>Jordan Lee</v>
      </c>
      <c r="M339" t="str" cm="1">
        <f t="array" aca="1" ref="M339" ca="1">INDEX(RootCauseList,RANDBETWEEN(1,ROWS(RootCauseList)))</f>
        <v>Network Failure</v>
      </c>
      <c r="N339">
        <f t="shared" ca="1" si="23"/>
        <v>25233.23</v>
      </c>
      <c r="O339">
        <f ca="1">IF(OR(IncidentTable[[#This Row],[Status]]="Resolved",IncidentTable[[#This Row],[Status]]="Closed"),
ROUND(IncidentTable[[#This Row],[Estimated Impact ($)]]*(1+RANDBETWEEN(-15,25)/100)+RAND(),2),
"")</f>
        <v>24981.85</v>
      </c>
      <c r="P339">
        <f ca="1">IF(IncidentTable[[#This Row],[Actual Impact ($)]]="","",ROUND(IncidentTable[[#This Row],[Actual Impact ($)]]-IncidentTable[[#This Row],[Estimated Impact ($)]],2))</f>
        <v>-251.38</v>
      </c>
      <c r="Q339" s="2">
        <f ca="1">IF(IncidentTable[[#This Row],[Actual Impact ($)]]="","",(IncidentTable[[#This Row],[Actual Impact ($)]]-IncidentTable[[#This Row],[Estimated Impact ($)]]) / IncidentTable[[#This Row],[Estimated Impact ($)]])</f>
        <v>-9.9622600832315576E-3</v>
      </c>
      <c r="R339" s="3">
        <f ca="1">IF(IncidentTable[[#This Row],[Priority]]="Critical",1,
IF(IncidentTable[[#This Row],[Priority]]="High",3,
IF(IncidentTable[[#This Row],[Priority]]="Medium",5,
IF(IncidentTable[[#This Row],[Priority]]="Low",10,""))))</f>
        <v>10</v>
      </c>
      <c r="S339" t="str">
        <f ca="1">IF(IncidentTable[[#This Row],[Resolution Time (Days)]]="","",
IF(IncidentTable[[#This Row],[Resolution Time (Days)]]&lt;=IncidentTable[[#This Row],[SLA Target (Days)]],"Yes","No"))</f>
        <v>No</v>
      </c>
    </row>
    <row r="340" spans="1:19" x14ac:dyDescent="0.25">
      <c r="A340" t="str">
        <f t="shared" ca="1" si="21"/>
        <v>INC964475</v>
      </c>
      <c r="B340" t="str" cm="1">
        <f t="array" aca="1" ref="B340" ca="1">INDEX(SystemList,RANDBETWEEN(1,ROWS(SystemList)))</f>
        <v>Regulatory System</v>
      </c>
      <c r="C340" t="str" cm="1">
        <f t="array" aca="1" ref="C340" ca="1">INDEX(IssueTypeList,RANDBETWEEN(1,ROWS(IssueTypeList)))</f>
        <v>Complaint</v>
      </c>
      <c r="D340" t="str" cm="1">
        <f t="array" aca="1" ref="D340" ca="1">INDEX(PriorityList,RANDBETWEEN(1,ROWS(PriorityList)))</f>
        <v>Medium</v>
      </c>
      <c r="E340" t="str" cm="1">
        <f t="array" aca="1" ref="E340" ca="1">INDEX(SeverityList,RANDBETWEEN(1,ROWS(SeverityList)))</f>
        <v>Critical</v>
      </c>
      <c r="F340" t="str" cm="1">
        <f t="array" aca="1" ref="F340" ca="1">INDEX(RegionList,RANDBETWEEN(1,ROWS(RegionList)))</f>
        <v>Southeast</v>
      </c>
      <c r="G340" t="str" cm="1">
        <f t="array" aca="1" ref="G340" ca="1">INDEX(DepartmentList,RANDBETWEEN(1,ROWS(DepartmentList)))</f>
        <v>Finance</v>
      </c>
      <c r="H340" s="1">
        <f t="shared" ca="1" si="22"/>
        <v>45465</v>
      </c>
      <c r="I340" s="4" t="str">
        <f ca="1">IF(IncidentTable[[#This Row],[Resolution Time (Days)]]="","",IncidentTable[[#This Row],[Created Date]]+IncidentTable[[#This Row],[Resolution Time (Days)]])</f>
        <v/>
      </c>
      <c r="J340" t="str">
        <f ca="1">IF(OR(IncidentTable[[#This Row],[Status]]="Resolved",IncidentTable[[#This Row],[Status]]="Closed"),RANDBETWEEN(1,120),"")</f>
        <v/>
      </c>
      <c r="K340" t="str">
        <f t="shared" ca="1" si="20"/>
        <v>In Progress</v>
      </c>
      <c r="L340" t="str" cm="1">
        <f t="array" aca="1" ref="L340" ca="1">INDEX(AnalystList,RANDBETWEEN(1,ROWS(AnalystList)))</f>
        <v>Morgan Davis</v>
      </c>
      <c r="M340" t="str" cm="1">
        <f t="array" aca="1" ref="M340" ca="1">INDEX(RootCauseList,RANDBETWEEN(1,ROWS(RootCauseList)))</f>
        <v>Unknown</v>
      </c>
      <c r="N340">
        <f t="shared" ca="1" si="23"/>
        <v>2637.12</v>
      </c>
      <c r="O340" t="str">
        <f ca="1">IF(OR(IncidentTable[[#This Row],[Status]]="Resolved",IncidentTable[[#This Row],[Status]]="Closed"),
ROUND(IncidentTable[[#This Row],[Estimated Impact ($)]]*(1+RANDBETWEEN(-15,25)/100)+RAND(),2),
"")</f>
        <v/>
      </c>
      <c r="P340" t="str">
        <f ca="1">IF(IncidentTable[[#This Row],[Actual Impact ($)]]="","",ROUND(IncidentTable[[#This Row],[Actual Impact ($)]]-IncidentTable[[#This Row],[Estimated Impact ($)]],2))</f>
        <v/>
      </c>
      <c r="Q340" s="2" t="str">
        <f ca="1">IF(IncidentTable[[#This Row],[Actual Impact ($)]]="","",(IncidentTable[[#This Row],[Actual Impact ($)]]-IncidentTable[[#This Row],[Estimated Impact ($)]]) / IncidentTable[[#This Row],[Estimated Impact ($)]])</f>
        <v/>
      </c>
      <c r="R340" s="3">
        <f ca="1">IF(IncidentTable[[#This Row],[Priority]]="Critical",1,
IF(IncidentTable[[#This Row],[Priority]]="High",3,
IF(IncidentTable[[#This Row],[Priority]]="Medium",5,
IF(IncidentTable[[#This Row],[Priority]]="Low",10,""))))</f>
        <v>5</v>
      </c>
      <c r="S340" t="str">
        <f ca="1">IF(IncidentTable[[#This Row],[Resolution Time (Days)]]="","",
IF(IncidentTable[[#This Row],[Resolution Time (Days)]]&lt;=IncidentTable[[#This Row],[SLA Target (Days)]],"Yes","No"))</f>
        <v/>
      </c>
    </row>
    <row r="341" spans="1:19" x14ac:dyDescent="0.25">
      <c r="A341" t="str">
        <f t="shared" ca="1" si="21"/>
        <v>INC997432</v>
      </c>
      <c r="B341" t="str" cm="1">
        <f t="array" aca="1" ref="B341" ca="1">INDEX(SystemList,RANDBETWEEN(1,ROWS(SystemList)))</f>
        <v>Billing System</v>
      </c>
      <c r="C341" t="str" cm="1">
        <f t="array" aca="1" ref="C341" ca="1">INDEX(IssueTypeList,RANDBETWEEN(1,ROWS(IssueTypeList)))</f>
        <v>User Access Issue</v>
      </c>
      <c r="D341" t="str" cm="1">
        <f t="array" aca="1" ref="D341" ca="1">INDEX(PriorityList,RANDBETWEEN(1,ROWS(PriorityList)))</f>
        <v>Critical</v>
      </c>
      <c r="E341" t="str" cm="1">
        <f t="array" aca="1" ref="E341" ca="1">INDEX(SeverityList,RANDBETWEEN(1,ROWS(SeverityList)))</f>
        <v>Moderate</v>
      </c>
      <c r="F341" t="str" cm="1">
        <f t="array" aca="1" ref="F341" ca="1">INDEX(RegionList,RANDBETWEEN(1,ROWS(RegionList)))</f>
        <v>West</v>
      </c>
      <c r="G341" t="str" cm="1">
        <f t="array" aca="1" ref="G341" ca="1">INDEX(DepartmentList,RANDBETWEEN(1,ROWS(DepartmentList)))</f>
        <v>Customer Service</v>
      </c>
      <c r="H341" s="1">
        <f t="shared" ca="1" si="22"/>
        <v>45421</v>
      </c>
      <c r="I341" s="4">
        <f ca="1">IF(IncidentTable[[#This Row],[Resolution Time (Days)]]="","",IncidentTable[[#This Row],[Created Date]]+IncidentTable[[#This Row],[Resolution Time (Days)]])</f>
        <v>45534</v>
      </c>
      <c r="J341">
        <f ca="1">IF(OR(IncidentTable[[#This Row],[Status]]="Resolved",IncidentTable[[#This Row],[Status]]="Closed"),RANDBETWEEN(1,120),"")</f>
        <v>113</v>
      </c>
      <c r="K341" t="str">
        <f t="shared" ca="1" si="20"/>
        <v>Resolved</v>
      </c>
      <c r="L341" t="str" cm="1">
        <f t="array" aca="1" ref="L341" ca="1">INDEX(AnalystList,RANDBETWEEN(1,ROWS(AnalystList)))</f>
        <v>Alex Johnson</v>
      </c>
      <c r="M341" t="str" cm="1">
        <f t="array" aca="1" ref="M341" ca="1">INDEX(RootCauseList,RANDBETWEEN(1,ROWS(RootCauseList)))</f>
        <v>User Error</v>
      </c>
      <c r="N341">
        <f t="shared" ca="1" si="23"/>
        <v>2900.94</v>
      </c>
      <c r="O341">
        <f ca="1">IF(OR(IncidentTable[[#This Row],[Status]]="Resolved",IncidentTable[[#This Row],[Status]]="Closed"),
ROUND(IncidentTable[[#This Row],[Estimated Impact ($)]]*(1+RANDBETWEEN(-15,25)/100)+RAND(),2),
"")</f>
        <v>2872.92</v>
      </c>
      <c r="P341">
        <f ca="1">IF(IncidentTable[[#This Row],[Actual Impact ($)]]="","",ROUND(IncidentTable[[#This Row],[Actual Impact ($)]]-IncidentTable[[#This Row],[Estimated Impact ($)]],2))</f>
        <v>-28.02</v>
      </c>
      <c r="Q341" s="2">
        <f ca="1">IF(IncidentTable[[#This Row],[Actual Impact ($)]]="","",(IncidentTable[[#This Row],[Actual Impact ($)]]-IncidentTable[[#This Row],[Estimated Impact ($)]]) / IncidentTable[[#This Row],[Estimated Impact ($)]])</f>
        <v>-9.658938137293422E-3</v>
      </c>
      <c r="R341" s="3">
        <f ca="1">IF(IncidentTable[[#This Row],[Priority]]="Critical",1,
IF(IncidentTable[[#This Row],[Priority]]="High",3,
IF(IncidentTable[[#This Row],[Priority]]="Medium",5,
IF(IncidentTable[[#This Row],[Priority]]="Low",10,""))))</f>
        <v>1</v>
      </c>
      <c r="S341" t="str">
        <f ca="1">IF(IncidentTable[[#This Row],[Resolution Time (Days)]]="","",
IF(IncidentTable[[#This Row],[Resolution Time (Days)]]&lt;=IncidentTable[[#This Row],[SLA Target (Days)]],"Yes","No"))</f>
        <v>No</v>
      </c>
    </row>
    <row r="342" spans="1:19" x14ac:dyDescent="0.25">
      <c r="A342" t="str">
        <f t="shared" ca="1" si="21"/>
        <v>INC511804</v>
      </c>
      <c r="B342" t="str" cm="1">
        <f t="array" aca="1" ref="B342" ca="1">INDEX(SystemList,RANDBETWEEN(1,ROWS(SystemList)))</f>
        <v>Payment Processing</v>
      </c>
      <c r="C342" t="str" cm="1">
        <f t="array" aca="1" ref="C342" ca="1">INDEX(IssueTypeList,RANDBETWEEN(1,ROWS(IssueTypeList)))</f>
        <v>Performance Issue</v>
      </c>
      <c r="D342" t="str" cm="1">
        <f t="array" aca="1" ref="D342" ca="1">INDEX(PriorityList,RANDBETWEEN(1,ROWS(PriorityList)))</f>
        <v>Low</v>
      </c>
      <c r="E342" t="str" cm="1">
        <f t="array" aca="1" ref="E342" ca="1">INDEX(SeverityList,RANDBETWEEN(1,ROWS(SeverityList)))</f>
        <v>Major</v>
      </c>
      <c r="F342" t="str" cm="1">
        <f t="array" aca="1" ref="F342" ca="1">INDEX(RegionList,RANDBETWEEN(1,ROWS(RegionList)))</f>
        <v>Central</v>
      </c>
      <c r="G342" t="str" cm="1">
        <f t="array" aca="1" ref="G342" ca="1">INDEX(DepartmentList,RANDBETWEEN(1,ROWS(DepartmentList)))</f>
        <v>Customer Service</v>
      </c>
      <c r="H342" s="1">
        <f t="shared" ca="1" si="22"/>
        <v>45232</v>
      </c>
      <c r="I342" s="4">
        <f ca="1">IF(IncidentTable[[#This Row],[Resolution Time (Days)]]="","",IncidentTable[[#This Row],[Created Date]]+IncidentTable[[#This Row],[Resolution Time (Days)]])</f>
        <v>45237</v>
      </c>
      <c r="J342">
        <f ca="1">IF(OR(IncidentTable[[#This Row],[Status]]="Resolved",IncidentTable[[#This Row],[Status]]="Closed"),RANDBETWEEN(1,120),"")</f>
        <v>5</v>
      </c>
      <c r="K342" t="str">
        <f t="shared" ca="1" si="20"/>
        <v>Resolved</v>
      </c>
      <c r="L342" t="str" cm="1">
        <f t="array" aca="1" ref="L342" ca="1">INDEX(AnalystList,RANDBETWEEN(1,ROWS(AnalystList)))</f>
        <v>Riley Wilson</v>
      </c>
      <c r="M342" t="str" cm="1">
        <f t="array" aca="1" ref="M342" ca="1">INDEX(RootCauseList,RANDBETWEEN(1,ROWS(RootCauseList)))</f>
        <v>Configuration Issue</v>
      </c>
      <c r="N342">
        <f t="shared" ca="1" si="23"/>
        <v>16153.19</v>
      </c>
      <c r="O342">
        <f ca="1">IF(OR(IncidentTable[[#This Row],[Status]]="Resolved",IncidentTable[[#This Row],[Status]]="Closed"),
ROUND(IncidentTable[[#This Row],[Estimated Impact ($)]]*(1+RANDBETWEEN(-15,25)/100)+RAND(),2),
"")</f>
        <v>18576.349999999999</v>
      </c>
      <c r="P342">
        <f ca="1">IF(IncidentTable[[#This Row],[Actual Impact ($)]]="","",ROUND(IncidentTable[[#This Row],[Actual Impact ($)]]-IncidentTable[[#This Row],[Estimated Impact ($)]],2))</f>
        <v>2423.16</v>
      </c>
      <c r="Q342" s="2">
        <f ca="1">IF(IncidentTable[[#This Row],[Actual Impact ($)]]="","",(IncidentTable[[#This Row],[Actual Impact ($)]]-IncidentTable[[#This Row],[Estimated Impact ($)]]) / IncidentTable[[#This Row],[Estimated Impact ($)]])</f>
        <v>0.15001123617068815</v>
      </c>
      <c r="R342" s="3">
        <f ca="1">IF(IncidentTable[[#This Row],[Priority]]="Critical",1,
IF(IncidentTable[[#This Row],[Priority]]="High",3,
IF(IncidentTable[[#This Row],[Priority]]="Medium",5,
IF(IncidentTable[[#This Row],[Priority]]="Low",10,""))))</f>
        <v>10</v>
      </c>
      <c r="S342" t="str">
        <f ca="1">IF(IncidentTable[[#This Row],[Resolution Time (Days)]]="","",
IF(IncidentTable[[#This Row],[Resolution Time (Days)]]&lt;=IncidentTable[[#This Row],[SLA Target (Days)]],"Yes","No"))</f>
        <v>Yes</v>
      </c>
    </row>
    <row r="343" spans="1:19" x14ac:dyDescent="0.25">
      <c r="A343" t="str">
        <f t="shared" ca="1" si="21"/>
        <v>INC142194</v>
      </c>
      <c r="B343" t="str" cm="1">
        <f t="array" aca="1" ref="B343" ca="1">INDEX(SystemList,RANDBETWEEN(1,ROWS(SystemList)))</f>
        <v>Billing System</v>
      </c>
      <c r="C343" t="str" cm="1">
        <f t="array" aca="1" ref="C343" ca="1">INDEX(IssueTypeList,RANDBETWEEN(1,ROWS(IssueTypeList)))</f>
        <v>Payment Failure</v>
      </c>
      <c r="D343" t="str" cm="1">
        <f t="array" aca="1" ref="D343" ca="1">INDEX(PriorityList,RANDBETWEEN(1,ROWS(PriorityList)))</f>
        <v>Medium</v>
      </c>
      <c r="E343" t="str" cm="1">
        <f t="array" aca="1" ref="E343" ca="1">INDEX(SeverityList,RANDBETWEEN(1,ROWS(SeverityList)))</f>
        <v>Minor</v>
      </c>
      <c r="F343" t="str" cm="1">
        <f t="array" aca="1" ref="F343" ca="1">INDEX(RegionList,RANDBETWEEN(1,ROWS(RegionList)))</f>
        <v>Southeast</v>
      </c>
      <c r="G343" t="str" cm="1">
        <f t="array" aca="1" ref="G343" ca="1">INDEX(DepartmentList,RANDBETWEEN(1,ROWS(DepartmentList)))</f>
        <v>IT</v>
      </c>
      <c r="H343" s="1">
        <f t="shared" ca="1" si="22"/>
        <v>45101</v>
      </c>
      <c r="I343" s="4" t="str">
        <f ca="1">IF(IncidentTable[[#This Row],[Resolution Time (Days)]]="","",IncidentTable[[#This Row],[Created Date]]+IncidentTable[[#This Row],[Resolution Time (Days)]])</f>
        <v/>
      </c>
      <c r="J343" t="str">
        <f ca="1">IF(OR(IncidentTable[[#This Row],[Status]]="Resolved",IncidentTable[[#This Row],[Status]]="Closed"),RANDBETWEEN(1,120),"")</f>
        <v/>
      </c>
      <c r="K343" t="str">
        <f t="shared" ca="1" si="20"/>
        <v>Open</v>
      </c>
      <c r="L343" t="str" cm="1">
        <f t="array" aca="1" ref="L343" ca="1">INDEX(AnalystList,RANDBETWEEN(1,ROWS(AnalystList)))</f>
        <v>Taylor Smith</v>
      </c>
      <c r="M343" t="str" cm="1">
        <f t="array" aca="1" ref="M343" ca="1">INDEX(RootCauseList,RANDBETWEEN(1,ROWS(RootCauseList)))</f>
        <v>System Bug</v>
      </c>
      <c r="N343">
        <f t="shared" ca="1" si="23"/>
        <v>874.89</v>
      </c>
      <c r="O343" t="str">
        <f ca="1">IF(OR(IncidentTable[[#This Row],[Status]]="Resolved",IncidentTable[[#This Row],[Status]]="Closed"),
ROUND(IncidentTable[[#This Row],[Estimated Impact ($)]]*(1+RANDBETWEEN(-15,25)/100)+RAND(),2),
"")</f>
        <v/>
      </c>
      <c r="P343" t="str">
        <f ca="1">IF(IncidentTable[[#This Row],[Actual Impact ($)]]="","",ROUND(IncidentTable[[#This Row],[Actual Impact ($)]]-IncidentTable[[#This Row],[Estimated Impact ($)]],2))</f>
        <v/>
      </c>
      <c r="Q343" s="2" t="str">
        <f ca="1">IF(IncidentTable[[#This Row],[Actual Impact ($)]]="","",(IncidentTable[[#This Row],[Actual Impact ($)]]-IncidentTable[[#This Row],[Estimated Impact ($)]]) / IncidentTable[[#This Row],[Estimated Impact ($)]])</f>
        <v/>
      </c>
      <c r="R343" s="3">
        <f ca="1">IF(IncidentTable[[#This Row],[Priority]]="Critical",1,
IF(IncidentTable[[#This Row],[Priority]]="High",3,
IF(IncidentTable[[#This Row],[Priority]]="Medium",5,
IF(IncidentTable[[#This Row],[Priority]]="Low",10,""))))</f>
        <v>5</v>
      </c>
      <c r="S343" t="str">
        <f ca="1">IF(IncidentTable[[#This Row],[Resolution Time (Days)]]="","",
IF(IncidentTable[[#This Row],[Resolution Time (Days)]]&lt;=IncidentTable[[#This Row],[SLA Target (Days)]],"Yes","No"))</f>
        <v/>
      </c>
    </row>
    <row r="344" spans="1:19" x14ac:dyDescent="0.25">
      <c r="A344" t="str">
        <f t="shared" ca="1" si="21"/>
        <v>INC388998</v>
      </c>
      <c r="B344" t="str" cm="1">
        <f t="array" aca="1" ref="B344" ca="1">INDEX(SystemList,RANDBETWEEN(1,ROWS(SystemList)))</f>
        <v>Customer Portal</v>
      </c>
      <c r="C344" t="str" cm="1">
        <f t="array" aca="1" ref="C344" ca="1">INDEX(IssueTypeList,RANDBETWEEN(1,ROWS(IssueTypeList)))</f>
        <v>User Access Issue</v>
      </c>
      <c r="D344" t="str" cm="1">
        <f t="array" aca="1" ref="D344" ca="1">INDEX(PriorityList,RANDBETWEEN(1,ROWS(PriorityList)))</f>
        <v>Medium</v>
      </c>
      <c r="E344" t="str" cm="1">
        <f t="array" aca="1" ref="E344" ca="1">INDEX(SeverityList,RANDBETWEEN(1,ROWS(SeverityList)))</f>
        <v>Moderate</v>
      </c>
      <c r="F344" t="str" cm="1">
        <f t="array" aca="1" ref="F344" ca="1">INDEX(RegionList,RANDBETWEEN(1,ROWS(RegionList)))</f>
        <v>East</v>
      </c>
      <c r="G344" t="str" cm="1">
        <f t="array" aca="1" ref="G344" ca="1">INDEX(DepartmentList,RANDBETWEEN(1,ROWS(DepartmentList)))</f>
        <v>Claims</v>
      </c>
      <c r="H344" s="1">
        <f t="shared" ca="1" si="22"/>
        <v>45206</v>
      </c>
      <c r="I344" s="4">
        <f ca="1">IF(IncidentTable[[#This Row],[Resolution Time (Days)]]="","",IncidentTable[[#This Row],[Created Date]]+IncidentTable[[#This Row],[Resolution Time (Days)]])</f>
        <v>45262</v>
      </c>
      <c r="J344">
        <f ca="1">IF(OR(IncidentTable[[#This Row],[Status]]="Resolved",IncidentTable[[#This Row],[Status]]="Closed"),RANDBETWEEN(1,120),"")</f>
        <v>56</v>
      </c>
      <c r="K344" t="str">
        <f t="shared" ca="1" si="20"/>
        <v>Closed</v>
      </c>
      <c r="L344" t="str" cm="1">
        <f t="array" aca="1" ref="L344" ca="1">INDEX(AnalystList,RANDBETWEEN(1,ROWS(AnalystList)))</f>
        <v>Morgan Davis</v>
      </c>
      <c r="M344" t="str" cm="1">
        <f t="array" aca="1" ref="M344" ca="1">INDEX(RootCauseList,RANDBETWEEN(1,ROWS(RootCauseList)))</f>
        <v>Unknown</v>
      </c>
      <c r="N344">
        <f t="shared" ca="1" si="23"/>
        <v>7903.51</v>
      </c>
      <c r="O344">
        <f ca="1">IF(OR(IncidentTable[[#This Row],[Status]]="Resolved",IncidentTable[[#This Row],[Status]]="Closed"),
ROUND(IncidentTable[[#This Row],[Estimated Impact ($)]]*(1+RANDBETWEEN(-15,25)/100)+RAND(),2),
"")</f>
        <v>9722.2800000000007</v>
      </c>
      <c r="P344">
        <f ca="1">IF(IncidentTable[[#This Row],[Actual Impact ($)]]="","",ROUND(IncidentTable[[#This Row],[Actual Impact ($)]]-IncidentTable[[#This Row],[Estimated Impact ($)]],2))</f>
        <v>1818.77</v>
      </c>
      <c r="Q344" s="2">
        <f ca="1">IF(IncidentTable[[#This Row],[Actual Impact ($)]]="","",(IncidentTable[[#This Row],[Actual Impact ($)]]-IncidentTable[[#This Row],[Estimated Impact ($)]]) / IncidentTable[[#This Row],[Estimated Impact ($)]])</f>
        <v>0.23012180664034085</v>
      </c>
      <c r="R344" s="3">
        <f ca="1">IF(IncidentTable[[#This Row],[Priority]]="Critical",1,
IF(IncidentTable[[#This Row],[Priority]]="High",3,
IF(IncidentTable[[#This Row],[Priority]]="Medium",5,
IF(IncidentTable[[#This Row],[Priority]]="Low",10,""))))</f>
        <v>5</v>
      </c>
      <c r="S344" t="str">
        <f ca="1">IF(IncidentTable[[#This Row],[Resolution Time (Days)]]="","",
IF(IncidentTable[[#This Row],[Resolution Time (Days)]]&lt;=IncidentTable[[#This Row],[SLA Target (Days)]],"Yes","No"))</f>
        <v>No</v>
      </c>
    </row>
    <row r="345" spans="1:19" x14ac:dyDescent="0.25">
      <c r="A345" t="str">
        <f t="shared" ca="1" si="21"/>
        <v>INC506325</v>
      </c>
      <c r="B345" t="str" cm="1">
        <f t="array" aca="1" ref="B345" ca="1">INDEX(SystemList,RANDBETWEEN(1,ROWS(SystemList)))</f>
        <v>Billing System</v>
      </c>
      <c r="C345" t="str" cm="1">
        <f t="array" aca="1" ref="C345" ca="1">INDEX(IssueTypeList,RANDBETWEEN(1,ROWS(IssueTypeList)))</f>
        <v>Integration Failure</v>
      </c>
      <c r="D345" t="str" cm="1">
        <f t="array" aca="1" ref="D345" ca="1">INDEX(PriorityList,RANDBETWEEN(1,ROWS(PriorityList)))</f>
        <v>Critical</v>
      </c>
      <c r="E345" t="str" cm="1">
        <f t="array" aca="1" ref="E345" ca="1">INDEX(SeverityList,RANDBETWEEN(1,ROWS(SeverityList)))</f>
        <v>Minor</v>
      </c>
      <c r="F345" t="str" cm="1">
        <f t="array" aca="1" ref="F345" ca="1">INDEX(RegionList,RANDBETWEEN(1,ROWS(RegionList)))</f>
        <v>East</v>
      </c>
      <c r="G345" t="str" cm="1">
        <f t="array" aca="1" ref="G345" ca="1">INDEX(DepartmentList,RANDBETWEEN(1,ROWS(DepartmentList)))</f>
        <v>Finance</v>
      </c>
      <c r="H345" s="1">
        <f t="shared" ca="1" si="22"/>
        <v>45199</v>
      </c>
      <c r="I345" s="4" t="str">
        <f ca="1">IF(IncidentTable[[#This Row],[Resolution Time (Days)]]="","",IncidentTable[[#This Row],[Created Date]]+IncidentTable[[#This Row],[Resolution Time (Days)]])</f>
        <v/>
      </c>
      <c r="J345" t="str">
        <f ca="1">IF(OR(IncidentTable[[#This Row],[Status]]="Resolved",IncidentTable[[#This Row],[Status]]="Closed"),RANDBETWEEN(1,120),"")</f>
        <v/>
      </c>
      <c r="K345" t="str">
        <f t="shared" ca="1" si="20"/>
        <v>In Progress</v>
      </c>
      <c r="L345" t="str" cm="1">
        <f t="array" aca="1" ref="L345" ca="1">INDEX(AnalystList,RANDBETWEEN(1,ROWS(AnalystList)))</f>
        <v>Jordan Lee</v>
      </c>
      <c r="M345" t="str" cm="1">
        <f t="array" aca="1" ref="M345" ca="1">INDEX(RootCauseList,RANDBETWEEN(1,ROWS(RootCauseList)))</f>
        <v>Unknown</v>
      </c>
      <c r="N345">
        <f t="shared" ca="1" si="23"/>
        <v>3983.43</v>
      </c>
      <c r="O345" t="str">
        <f ca="1">IF(OR(IncidentTable[[#This Row],[Status]]="Resolved",IncidentTable[[#This Row],[Status]]="Closed"),
ROUND(IncidentTable[[#This Row],[Estimated Impact ($)]]*(1+RANDBETWEEN(-15,25)/100)+RAND(),2),
"")</f>
        <v/>
      </c>
      <c r="P345" t="str">
        <f ca="1">IF(IncidentTable[[#This Row],[Actual Impact ($)]]="","",ROUND(IncidentTable[[#This Row],[Actual Impact ($)]]-IncidentTable[[#This Row],[Estimated Impact ($)]],2))</f>
        <v/>
      </c>
      <c r="Q345" s="2" t="str">
        <f ca="1">IF(IncidentTable[[#This Row],[Actual Impact ($)]]="","",(IncidentTable[[#This Row],[Actual Impact ($)]]-IncidentTable[[#This Row],[Estimated Impact ($)]]) / IncidentTable[[#This Row],[Estimated Impact ($)]])</f>
        <v/>
      </c>
      <c r="R345" s="3">
        <f ca="1">IF(IncidentTable[[#This Row],[Priority]]="Critical",1,
IF(IncidentTable[[#This Row],[Priority]]="High",3,
IF(IncidentTable[[#This Row],[Priority]]="Medium",5,
IF(IncidentTable[[#This Row],[Priority]]="Low",10,""))))</f>
        <v>1</v>
      </c>
      <c r="S345" t="str">
        <f ca="1">IF(IncidentTable[[#This Row],[Resolution Time (Days)]]="","",
IF(IncidentTable[[#This Row],[Resolution Time (Days)]]&lt;=IncidentTable[[#This Row],[SLA Target (Days)]],"Yes","No"))</f>
        <v/>
      </c>
    </row>
    <row r="346" spans="1:19" x14ac:dyDescent="0.25">
      <c r="A346" t="str">
        <f t="shared" ca="1" si="21"/>
        <v>INC975951</v>
      </c>
      <c r="B346" t="str" cm="1">
        <f t="array" aca="1" ref="B346" ca="1">INDEX(SystemList,RANDBETWEEN(1,ROWS(SystemList)))</f>
        <v>Customer Portal</v>
      </c>
      <c r="C346" t="str" cm="1">
        <f t="array" aca="1" ref="C346" ca="1">INDEX(IssueTypeList,RANDBETWEEN(1,ROWS(IssueTypeList)))</f>
        <v>Complaint</v>
      </c>
      <c r="D346" t="str" cm="1">
        <f t="array" aca="1" ref="D346" ca="1">INDEX(PriorityList,RANDBETWEEN(1,ROWS(PriorityList)))</f>
        <v>High</v>
      </c>
      <c r="E346" t="str" cm="1">
        <f t="array" aca="1" ref="E346" ca="1">INDEX(SeverityList,RANDBETWEEN(1,ROWS(SeverityList)))</f>
        <v>Major</v>
      </c>
      <c r="F346" t="str" cm="1">
        <f t="array" aca="1" ref="F346" ca="1">INDEX(RegionList,RANDBETWEEN(1,ROWS(RegionList)))</f>
        <v>Southeast</v>
      </c>
      <c r="G346" t="str" cm="1">
        <f t="array" aca="1" ref="G346" ca="1">INDEX(DepartmentList,RANDBETWEEN(1,ROWS(DepartmentList)))</f>
        <v>Compliance</v>
      </c>
      <c r="H346" s="1">
        <f t="shared" ca="1" si="22"/>
        <v>45427</v>
      </c>
      <c r="I346" s="4">
        <f ca="1">IF(IncidentTable[[#This Row],[Resolution Time (Days)]]="","",IncidentTable[[#This Row],[Created Date]]+IncidentTable[[#This Row],[Resolution Time (Days)]])</f>
        <v>45524</v>
      </c>
      <c r="J346">
        <f ca="1">IF(OR(IncidentTable[[#This Row],[Status]]="Resolved",IncidentTable[[#This Row],[Status]]="Closed"),RANDBETWEEN(1,120),"")</f>
        <v>97</v>
      </c>
      <c r="K346" t="str">
        <f t="shared" ca="1" si="20"/>
        <v>Closed</v>
      </c>
      <c r="L346" t="str" cm="1">
        <f t="array" aca="1" ref="L346" ca="1">INDEX(AnalystList,RANDBETWEEN(1,ROWS(AnalystList)))</f>
        <v>Jordan Lee</v>
      </c>
      <c r="M346" t="str" cm="1">
        <f t="array" aca="1" ref="M346" ca="1">INDEX(RootCauseList,RANDBETWEEN(1,ROWS(RootCauseList)))</f>
        <v>System Bug</v>
      </c>
      <c r="N346">
        <f t="shared" ca="1" si="23"/>
        <v>10846.26</v>
      </c>
      <c r="O346">
        <f ca="1">IF(OR(IncidentTable[[#This Row],[Status]]="Resolved",IncidentTable[[#This Row],[Status]]="Closed"),
ROUND(IncidentTable[[#This Row],[Estimated Impact ($)]]*(1+RANDBETWEEN(-15,25)/100)+RAND(),2),
"")</f>
        <v>10303.950000000001</v>
      </c>
      <c r="P346">
        <f ca="1">IF(IncidentTable[[#This Row],[Actual Impact ($)]]="","",ROUND(IncidentTable[[#This Row],[Actual Impact ($)]]-IncidentTable[[#This Row],[Estimated Impact ($)]],2))</f>
        <v>-542.30999999999995</v>
      </c>
      <c r="Q346" s="2">
        <f ca="1">IF(IncidentTable[[#This Row],[Actual Impact ($)]]="","",(IncidentTable[[#This Row],[Actual Impact ($)]]-IncidentTable[[#This Row],[Estimated Impact ($)]]) / IncidentTable[[#This Row],[Estimated Impact ($)]])</f>
        <v>-4.9999723406962349E-2</v>
      </c>
      <c r="R346" s="3">
        <f ca="1">IF(IncidentTable[[#This Row],[Priority]]="Critical",1,
IF(IncidentTable[[#This Row],[Priority]]="High",3,
IF(IncidentTable[[#This Row],[Priority]]="Medium",5,
IF(IncidentTable[[#This Row],[Priority]]="Low",10,""))))</f>
        <v>3</v>
      </c>
      <c r="S346" t="str">
        <f ca="1">IF(IncidentTable[[#This Row],[Resolution Time (Days)]]="","",
IF(IncidentTable[[#This Row],[Resolution Time (Days)]]&lt;=IncidentTable[[#This Row],[SLA Target (Days)]],"Yes","No"))</f>
        <v>No</v>
      </c>
    </row>
    <row r="347" spans="1:19" x14ac:dyDescent="0.25">
      <c r="A347" t="str">
        <f t="shared" ca="1" si="21"/>
        <v>INC956538</v>
      </c>
      <c r="B347" t="str" cm="1">
        <f t="array" aca="1" ref="B347" ca="1">INDEX(SystemList,RANDBETWEEN(1,ROWS(SystemList)))</f>
        <v>Reporting System</v>
      </c>
      <c r="C347" t="str" cm="1">
        <f t="array" aca="1" ref="C347" ca="1">INDEX(IssueTypeList,RANDBETWEEN(1,ROWS(IssueTypeList)))</f>
        <v>Complaint</v>
      </c>
      <c r="D347" t="str" cm="1">
        <f t="array" aca="1" ref="D347" ca="1">INDEX(PriorityList,RANDBETWEEN(1,ROWS(PriorityList)))</f>
        <v>High</v>
      </c>
      <c r="E347" t="str" cm="1">
        <f t="array" aca="1" ref="E347" ca="1">INDEX(SeverityList,RANDBETWEEN(1,ROWS(SeverityList)))</f>
        <v>Minor</v>
      </c>
      <c r="F347" t="str" cm="1">
        <f t="array" aca="1" ref="F347" ca="1">INDEX(RegionList,RANDBETWEEN(1,ROWS(RegionList)))</f>
        <v>Central</v>
      </c>
      <c r="G347" t="str" cm="1">
        <f t="array" aca="1" ref="G347" ca="1">INDEX(DepartmentList,RANDBETWEEN(1,ROWS(DepartmentList)))</f>
        <v>Finance</v>
      </c>
      <c r="H347" s="1">
        <f t="shared" ca="1" si="22"/>
        <v>45038</v>
      </c>
      <c r="I347" s="4">
        <f ca="1">IF(IncidentTable[[#This Row],[Resolution Time (Days)]]="","",IncidentTable[[#This Row],[Created Date]]+IncidentTable[[#This Row],[Resolution Time (Days)]])</f>
        <v>45043</v>
      </c>
      <c r="J347">
        <f ca="1">IF(OR(IncidentTable[[#This Row],[Status]]="Resolved",IncidentTable[[#This Row],[Status]]="Closed"),RANDBETWEEN(1,120),"")</f>
        <v>5</v>
      </c>
      <c r="K347" t="str">
        <f t="shared" ca="1" si="20"/>
        <v>Closed</v>
      </c>
      <c r="L347" t="str" cm="1">
        <f t="array" aca="1" ref="L347" ca="1">INDEX(AnalystList,RANDBETWEEN(1,ROWS(AnalystList)))</f>
        <v>Morgan Davis</v>
      </c>
      <c r="M347" t="str" cm="1">
        <f t="array" aca="1" ref="M347" ca="1">INDEX(RootCauseList,RANDBETWEEN(1,ROWS(RootCauseList)))</f>
        <v>System Bug</v>
      </c>
      <c r="N347">
        <f t="shared" ca="1" si="23"/>
        <v>3858.86</v>
      </c>
      <c r="O347">
        <f ca="1">IF(OR(IncidentTable[[#This Row],[Status]]="Resolved",IncidentTable[[#This Row],[Status]]="Closed"),
ROUND(IncidentTable[[#This Row],[Estimated Impact ($)]]*(1+RANDBETWEEN(-15,25)/100)+RAND(),2),
"")</f>
        <v>4785.9399999999996</v>
      </c>
      <c r="P347">
        <f ca="1">IF(IncidentTable[[#This Row],[Actual Impact ($)]]="","",ROUND(IncidentTable[[#This Row],[Actual Impact ($)]]-IncidentTable[[#This Row],[Estimated Impact ($)]],2))</f>
        <v>927.08</v>
      </c>
      <c r="Q347" s="2">
        <f ca="1">IF(IncidentTable[[#This Row],[Actual Impact ($)]]="","",(IncidentTable[[#This Row],[Actual Impact ($)]]-IncidentTable[[#This Row],[Estimated Impact ($)]]) / IncidentTable[[#This Row],[Estimated Impact ($)]])</f>
        <v>0.24024711961563763</v>
      </c>
      <c r="R347" s="3">
        <f ca="1">IF(IncidentTable[[#This Row],[Priority]]="Critical",1,
IF(IncidentTable[[#This Row],[Priority]]="High",3,
IF(IncidentTable[[#This Row],[Priority]]="Medium",5,
IF(IncidentTable[[#This Row],[Priority]]="Low",10,""))))</f>
        <v>3</v>
      </c>
      <c r="S347" t="str">
        <f ca="1">IF(IncidentTable[[#This Row],[Resolution Time (Days)]]="","",
IF(IncidentTable[[#This Row],[Resolution Time (Days)]]&lt;=IncidentTable[[#This Row],[SLA Target (Days)]],"Yes","No"))</f>
        <v>No</v>
      </c>
    </row>
    <row r="348" spans="1:19" x14ac:dyDescent="0.25">
      <c r="A348" t="str">
        <f t="shared" ca="1" si="21"/>
        <v>INC840790</v>
      </c>
      <c r="B348" t="str" cm="1">
        <f t="array" aca="1" ref="B348" ca="1">INDEX(SystemList,RANDBETWEEN(1,ROWS(SystemList)))</f>
        <v>Regulatory System</v>
      </c>
      <c r="C348" t="str" cm="1">
        <f t="array" aca="1" ref="C348" ca="1">INDEX(IssueTypeList,RANDBETWEEN(1,ROWS(IssueTypeList)))</f>
        <v>Payment Failure</v>
      </c>
      <c r="D348" t="str" cm="1">
        <f t="array" aca="1" ref="D348" ca="1">INDEX(PriorityList,RANDBETWEEN(1,ROWS(PriorityList)))</f>
        <v>High</v>
      </c>
      <c r="E348" t="str" cm="1">
        <f t="array" aca="1" ref="E348" ca="1">INDEX(SeverityList,RANDBETWEEN(1,ROWS(SeverityList)))</f>
        <v>Minor</v>
      </c>
      <c r="F348" t="str" cm="1">
        <f t="array" aca="1" ref="F348" ca="1">INDEX(RegionList,RANDBETWEEN(1,ROWS(RegionList)))</f>
        <v>West</v>
      </c>
      <c r="G348" t="str" cm="1">
        <f t="array" aca="1" ref="G348" ca="1">INDEX(DepartmentList,RANDBETWEEN(1,ROWS(DepartmentList)))</f>
        <v>Finance</v>
      </c>
      <c r="H348" s="1">
        <f t="shared" ca="1" si="22"/>
        <v>45022</v>
      </c>
      <c r="I348" s="4">
        <f ca="1">IF(IncidentTable[[#This Row],[Resolution Time (Days)]]="","",IncidentTable[[#This Row],[Created Date]]+IncidentTable[[#This Row],[Resolution Time (Days)]])</f>
        <v>45129</v>
      </c>
      <c r="J348">
        <f ca="1">IF(OR(IncidentTable[[#This Row],[Status]]="Resolved",IncidentTable[[#This Row],[Status]]="Closed"),RANDBETWEEN(1,120),"")</f>
        <v>107</v>
      </c>
      <c r="K348" t="str">
        <f t="shared" ca="1" si="20"/>
        <v>Closed</v>
      </c>
      <c r="L348" t="str" cm="1">
        <f t="array" aca="1" ref="L348" ca="1">INDEX(AnalystList,RANDBETWEEN(1,ROWS(AnalystList)))</f>
        <v>Taylor Smith</v>
      </c>
      <c r="M348" t="str" cm="1">
        <f t="array" aca="1" ref="M348" ca="1">INDEX(RootCauseList,RANDBETWEEN(1,ROWS(RootCauseList)))</f>
        <v>User Error</v>
      </c>
      <c r="N348">
        <f t="shared" ca="1" si="23"/>
        <v>5236.28</v>
      </c>
      <c r="O348">
        <f ca="1">IF(OR(IncidentTable[[#This Row],[Status]]="Resolved",IncidentTable[[#This Row],[Status]]="Closed"),
ROUND(IncidentTable[[#This Row],[Estimated Impact ($)]]*(1+RANDBETWEEN(-15,25)/100)+RAND(),2),
"")</f>
        <v>6493.7</v>
      </c>
      <c r="P348">
        <f ca="1">IF(IncidentTable[[#This Row],[Actual Impact ($)]]="","",ROUND(IncidentTable[[#This Row],[Actual Impact ($)]]-IncidentTable[[#This Row],[Estimated Impact ($)]],2))</f>
        <v>1257.42</v>
      </c>
      <c r="Q348" s="2">
        <f ca="1">IF(IncidentTable[[#This Row],[Actual Impact ($)]]="","",(IncidentTable[[#This Row],[Actual Impact ($)]]-IncidentTable[[#This Row],[Estimated Impact ($)]]) / IncidentTable[[#This Row],[Estimated Impact ($)]])</f>
        <v>0.24013612717425351</v>
      </c>
      <c r="R348" s="3">
        <f ca="1">IF(IncidentTable[[#This Row],[Priority]]="Critical",1,
IF(IncidentTable[[#This Row],[Priority]]="High",3,
IF(IncidentTable[[#This Row],[Priority]]="Medium",5,
IF(IncidentTable[[#This Row],[Priority]]="Low",10,""))))</f>
        <v>3</v>
      </c>
      <c r="S348" t="str">
        <f ca="1">IF(IncidentTable[[#This Row],[Resolution Time (Days)]]="","",
IF(IncidentTable[[#This Row],[Resolution Time (Days)]]&lt;=IncidentTable[[#This Row],[SLA Target (Days)]],"Yes","No"))</f>
        <v>No</v>
      </c>
    </row>
    <row r="349" spans="1:19" x14ac:dyDescent="0.25">
      <c r="A349" t="str">
        <f t="shared" ca="1" si="21"/>
        <v>INC234638</v>
      </c>
      <c r="B349" t="str" cm="1">
        <f t="array" aca="1" ref="B349" ca="1">INDEX(SystemList,RANDBETWEEN(1,ROWS(SystemList)))</f>
        <v>Regulatory System</v>
      </c>
      <c r="C349" t="str" cm="1">
        <f t="array" aca="1" ref="C349" ca="1">INDEX(IssueTypeList,RANDBETWEEN(1,ROWS(IssueTypeList)))</f>
        <v>Performance Issue</v>
      </c>
      <c r="D349" t="str" cm="1">
        <f t="array" aca="1" ref="D349" ca="1">INDEX(PriorityList,RANDBETWEEN(1,ROWS(PriorityList)))</f>
        <v>Medium</v>
      </c>
      <c r="E349" t="str" cm="1">
        <f t="array" aca="1" ref="E349" ca="1">INDEX(SeverityList,RANDBETWEEN(1,ROWS(SeverityList)))</f>
        <v>Moderate</v>
      </c>
      <c r="F349" t="str" cm="1">
        <f t="array" aca="1" ref="F349" ca="1">INDEX(RegionList,RANDBETWEEN(1,ROWS(RegionList)))</f>
        <v>Midwest</v>
      </c>
      <c r="G349" t="str" cm="1">
        <f t="array" aca="1" ref="G349" ca="1">INDEX(DepartmentList,RANDBETWEEN(1,ROWS(DepartmentList)))</f>
        <v>Finance</v>
      </c>
      <c r="H349" s="1">
        <f t="shared" ca="1" si="22"/>
        <v>45205</v>
      </c>
      <c r="I349" s="4">
        <f ca="1">IF(IncidentTable[[#This Row],[Resolution Time (Days)]]="","",IncidentTable[[#This Row],[Created Date]]+IncidentTable[[#This Row],[Resolution Time (Days)]])</f>
        <v>45295</v>
      </c>
      <c r="J349">
        <f ca="1">IF(OR(IncidentTable[[#This Row],[Status]]="Resolved",IncidentTable[[#This Row],[Status]]="Closed"),RANDBETWEEN(1,120),"")</f>
        <v>90</v>
      </c>
      <c r="K349" t="str">
        <f t="shared" ca="1" si="20"/>
        <v>Resolved</v>
      </c>
      <c r="L349" t="str" cm="1">
        <f t="array" aca="1" ref="L349" ca="1">INDEX(AnalystList,RANDBETWEEN(1,ROWS(AnalystList)))</f>
        <v>Casey Brown</v>
      </c>
      <c r="M349" t="str" cm="1">
        <f t="array" aca="1" ref="M349" ca="1">INDEX(RootCauseList,RANDBETWEEN(1,ROWS(RootCauseList)))</f>
        <v>Configuration Issue</v>
      </c>
      <c r="N349">
        <f t="shared" ca="1" si="23"/>
        <v>30.24</v>
      </c>
      <c r="O349">
        <f ca="1">IF(OR(IncidentTable[[#This Row],[Status]]="Resolved",IncidentTable[[#This Row],[Status]]="Closed"),
ROUND(IncidentTable[[#This Row],[Estimated Impact ($)]]*(1+RANDBETWEEN(-15,25)/100)+RAND(),2),
"")</f>
        <v>30.75</v>
      </c>
      <c r="P349">
        <f ca="1">IF(IncidentTable[[#This Row],[Actual Impact ($)]]="","",ROUND(IncidentTable[[#This Row],[Actual Impact ($)]]-IncidentTable[[#This Row],[Estimated Impact ($)]],2))</f>
        <v>0.51</v>
      </c>
      <c r="Q349" s="2">
        <f ca="1">IF(IncidentTable[[#This Row],[Actual Impact ($)]]="","",(IncidentTable[[#This Row],[Actual Impact ($)]]-IncidentTable[[#This Row],[Estimated Impact ($)]]) / IncidentTable[[#This Row],[Estimated Impact ($)]])</f>
        <v>1.6865079365079416E-2</v>
      </c>
      <c r="R349" s="3">
        <f ca="1">IF(IncidentTable[[#This Row],[Priority]]="Critical",1,
IF(IncidentTable[[#This Row],[Priority]]="High",3,
IF(IncidentTable[[#This Row],[Priority]]="Medium",5,
IF(IncidentTable[[#This Row],[Priority]]="Low",10,""))))</f>
        <v>5</v>
      </c>
      <c r="S349" t="str">
        <f ca="1">IF(IncidentTable[[#This Row],[Resolution Time (Days)]]="","",
IF(IncidentTable[[#This Row],[Resolution Time (Days)]]&lt;=IncidentTable[[#This Row],[SLA Target (Days)]],"Yes","No"))</f>
        <v>No</v>
      </c>
    </row>
    <row r="350" spans="1:19" x14ac:dyDescent="0.25">
      <c r="A350" t="str">
        <f t="shared" ca="1" si="21"/>
        <v>INC484795</v>
      </c>
      <c r="B350" t="str" cm="1">
        <f t="array" aca="1" ref="B350" ca="1">INDEX(SystemList,RANDBETWEEN(1,ROWS(SystemList)))</f>
        <v>Customer Portal</v>
      </c>
      <c r="C350" t="str" cm="1">
        <f t="array" aca="1" ref="C350" ca="1">INDEX(IssueTypeList,RANDBETWEEN(1,ROWS(IssueTypeList)))</f>
        <v>Performance Issue</v>
      </c>
      <c r="D350" t="str" cm="1">
        <f t="array" aca="1" ref="D350" ca="1">INDEX(PriorityList,RANDBETWEEN(1,ROWS(PriorityList)))</f>
        <v>Medium</v>
      </c>
      <c r="E350" t="str" cm="1">
        <f t="array" aca="1" ref="E350" ca="1">INDEX(SeverityList,RANDBETWEEN(1,ROWS(SeverityList)))</f>
        <v>Minor</v>
      </c>
      <c r="F350" t="str" cm="1">
        <f t="array" aca="1" ref="F350" ca="1">INDEX(RegionList,RANDBETWEEN(1,ROWS(RegionList)))</f>
        <v>Midwest</v>
      </c>
      <c r="G350" t="str" cm="1">
        <f t="array" aca="1" ref="G350" ca="1">INDEX(DepartmentList,RANDBETWEEN(1,ROWS(DepartmentList)))</f>
        <v>Customer Service</v>
      </c>
      <c r="H350" s="1">
        <f t="shared" ca="1" si="22"/>
        <v>45206</v>
      </c>
      <c r="I350" s="4">
        <f ca="1">IF(IncidentTable[[#This Row],[Resolution Time (Days)]]="","",IncidentTable[[#This Row],[Created Date]]+IncidentTable[[#This Row],[Resolution Time (Days)]])</f>
        <v>45238</v>
      </c>
      <c r="J350">
        <f ca="1">IF(OR(IncidentTable[[#This Row],[Status]]="Resolved",IncidentTable[[#This Row],[Status]]="Closed"),RANDBETWEEN(1,120),"")</f>
        <v>32</v>
      </c>
      <c r="K350" t="str">
        <f t="shared" ca="1" si="20"/>
        <v>Closed</v>
      </c>
      <c r="L350" t="str" cm="1">
        <f t="array" aca="1" ref="L350" ca="1">INDEX(AnalystList,RANDBETWEEN(1,ROWS(AnalystList)))</f>
        <v>Morgan Davis</v>
      </c>
      <c r="M350" t="str" cm="1">
        <f t="array" aca="1" ref="M350" ca="1">INDEX(RootCauseList,RANDBETWEEN(1,ROWS(RootCauseList)))</f>
        <v>Unknown</v>
      </c>
      <c r="N350">
        <f t="shared" ca="1" si="23"/>
        <v>183.44</v>
      </c>
      <c r="O350">
        <f ca="1">IF(OR(IncidentTable[[#This Row],[Status]]="Resolved",IncidentTable[[#This Row],[Status]]="Closed"),
ROUND(IncidentTable[[#This Row],[Estimated Impact ($)]]*(1+RANDBETWEEN(-15,25)/100)+RAND(),2),
"")</f>
        <v>165.99</v>
      </c>
      <c r="P350">
        <f ca="1">IF(IncidentTable[[#This Row],[Actual Impact ($)]]="","",ROUND(IncidentTable[[#This Row],[Actual Impact ($)]]-IncidentTable[[#This Row],[Estimated Impact ($)]],2))</f>
        <v>-17.45</v>
      </c>
      <c r="Q350" s="2">
        <f ca="1">IF(IncidentTable[[#This Row],[Actual Impact ($)]]="","",(IncidentTable[[#This Row],[Actual Impact ($)]]-IncidentTable[[#This Row],[Estimated Impact ($)]]) / IncidentTable[[#This Row],[Estimated Impact ($)]])</f>
        <v>-9.5126471870911403E-2</v>
      </c>
      <c r="R350" s="3">
        <f ca="1">IF(IncidentTable[[#This Row],[Priority]]="Critical",1,
IF(IncidentTable[[#This Row],[Priority]]="High",3,
IF(IncidentTable[[#This Row],[Priority]]="Medium",5,
IF(IncidentTable[[#This Row],[Priority]]="Low",10,""))))</f>
        <v>5</v>
      </c>
      <c r="S350" t="str">
        <f ca="1">IF(IncidentTable[[#This Row],[Resolution Time (Days)]]="","",
IF(IncidentTable[[#This Row],[Resolution Time (Days)]]&lt;=IncidentTable[[#This Row],[SLA Target (Days)]],"Yes","No"))</f>
        <v>No</v>
      </c>
    </row>
    <row r="351" spans="1:19" x14ac:dyDescent="0.25">
      <c r="A351" t="str">
        <f t="shared" ca="1" si="21"/>
        <v>INC617563</v>
      </c>
      <c r="B351" t="str" cm="1">
        <f t="array" aca="1" ref="B351" ca="1">INDEX(SystemList,RANDBETWEEN(1,ROWS(SystemList)))</f>
        <v>Claims System</v>
      </c>
      <c r="C351" t="str" cm="1">
        <f t="array" aca="1" ref="C351" ca="1">INDEX(IssueTypeList,RANDBETWEEN(1,ROWS(IssueTypeList)))</f>
        <v>Payment Failure</v>
      </c>
      <c r="D351" t="str" cm="1">
        <f t="array" aca="1" ref="D351" ca="1">INDEX(PriorityList,RANDBETWEEN(1,ROWS(PriorityList)))</f>
        <v>Medium</v>
      </c>
      <c r="E351" t="str" cm="1">
        <f t="array" aca="1" ref="E351" ca="1">INDEX(SeverityList,RANDBETWEEN(1,ROWS(SeverityList)))</f>
        <v>Minor</v>
      </c>
      <c r="F351" t="str" cm="1">
        <f t="array" aca="1" ref="F351" ca="1">INDEX(RegionList,RANDBETWEEN(1,ROWS(RegionList)))</f>
        <v>Midwest</v>
      </c>
      <c r="G351" t="str" cm="1">
        <f t="array" aca="1" ref="G351" ca="1">INDEX(DepartmentList,RANDBETWEEN(1,ROWS(DepartmentList)))</f>
        <v>Billing</v>
      </c>
      <c r="H351" s="1">
        <f t="shared" ca="1" si="22"/>
        <v>45176</v>
      </c>
      <c r="I351" s="4" t="str">
        <f ca="1">IF(IncidentTable[[#This Row],[Resolution Time (Days)]]="","",IncidentTable[[#This Row],[Created Date]]+IncidentTable[[#This Row],[Resolution Time (Days)]])</f>
        <v/>
      </c>
      <c r="J351" t="str">
        <f ca="1">IF(OR(IncidentTable[[#This Row],[Status]]="Resolved",IncidentTable[[#This Row],[Status]]="Closed"),RANDBETWEEN(1,120),"")</f>
        <v/>
      </c>
      <c r="K351" t="str">
        <f t="shared" ca="1" si="20"/>
        <v>Open</v>
      </c>
      <c r="L351" t="str" cm="1">
        <f t="array" aca="1" ref="L351" ca="1">INDEX(AnalystList,RANDBETWEEN(1,ROWS(AnalystList)))</f>
        <v>Taylor Smith</v>
      </c>
      <c r="M351" t="str" cm="1">
        <f t="array" aca="1" ref="M351" ca="1">INDEX(RootCauseList,RANDBETWEEN(1,ROWS(RootCauseList)))</f>
        <v>Configuration Issue</v>
      </c>
      <c r="N351">
        <f t="shared" ca="1" si="23"/>
        <v>10791.58</v>
      </c>
      <c r="O351" t="str">
        <f ca="1">IF(OR(IncidentTable[[#This Row],[Status]]="Resolved",IncidentTable[[#This Row],[Status]]="Closed"),
ROUND(IncidentTable[[#This Row],[Estimated Impact ($)]]*(1+RANDBETWEEN(-15,25)/100)+RAND(),2),
"")</f>
        <v/>
      </c>
      <c r="P351" t="str">
        <f ca="1">IF(IncidentTable[[#This Row],[Actual Impact ($)]]="","",ROUND(IncidentTable[[#This Row],[Actual Impact ($)]]-IncidentTable[[#This Row],[Estimated Impact ($)]],2))</f>
        <v/>
      </c>
      <c r="Q351" s="2" t="str">
        <f ca="1">IF(IncidentTable[[#This Row],[Actual Impact ($)]]="","",(IncidentTable[[#This Row],[Actual Impact ($)]]-IncidentTable[[#This Row],[Estimated Impact ($)]]) / IncidentTable[[#This Row],[Estimated Impact ($)]])</f>
        <v/>
      </c>
      <c r="R351" s="3">
        <f ca="1">IF(IncidentTable[[#This Row],[Priority]]="Critical",1,
IF(IncidentTable[[#This Row],[Priority]]="High",3,
IF(IncidentTable[[#This Row],[Priority]]="Medium",5,
IF(IncidentTable[[#This Row],[Priority]]="Low",10,""))))</f>
        <v>5</v>
      </c>
      <c r="S351" t="str">
        <f ca="1">IF(IncidentTable[[#This Row],[Resolution Time (Days)]]="","",
IF(IncidentTable[[#This Row],[Resolution Time (Days)]]&lt;=IncidentTable[[#This Row],[SLA Target (Days)]],"Yes","No"))</f>
        <v/>
      </c>
    </row>
    <row r="352" spans="1:19" x14ac:dyDescent="0.25">
      <c r="A352" t="str">
        <f t="shared" ca="1" si="21"/>
        <v>INC126573</v>
      </c>
      <c r="B352" t="str" cm="1">
        <f t="array" aca="1" ref="B352" ca="1">INDEX(SystemList,RANDBETWEEN(1,ROWS(SystemList)))</f>
        <v>Claims System</v>
      </c>
      <c r="C352" t="str" cm="1">
        <f t="array" aca="1" ref="C352" ca="1">INDEX(IssueTypeList,RANDBETWEEN(1,ROWS(IssueTypeList)))</f>
        <v>Payment Failure</v>
      </c>
      <c r="D352" t="str" cm="1">
        <f t="array" aca="1" ref="D352" ca="1">INDEX(PriorityList,RANDBETWEEN(1,ROWS(PriorityList)))</f>
        <v>High</v>
      </c>
      <c r="E352" t="str" cm="1">
        <f t="array" aca="1" ref="E352" ca="1">INDEX(SeverityList,RANDBETWEEN(1,ROWS(SeverityList)))</f>
        <v>Critical</v>
      </c>
      <c r="F352" t="str" cm="1">
        <f t="array" aca="1" ref="F352" ca="1">INDEX(RegionList,RANDBETWEEN(1,ROWS(RegionList)))</f>
        <v>West</v>
      </c>
      <c r="G352" t="str" cm="1">
        <f t="array" aca="1" ref="G352" ca="1">INDEX(DepartmentList,RANDBETWEEN(1,ROWS(DepartmentList)))</f>
        <v>Customer Service</v>
      </c>
      <c r="H352" s="1">
        <f t="shared" ca="1" si="22"/>
        <v>45335</v>
      </c>
      <c r="I352" s="4" t="str">
        <f ca="1">IF(IncidentTable[[#This Row],[Resolution Time (Days)]]="","",IncidentTable[[#This Row],[Created Date]]+IncidentTable[[#This Row],[Resolution Time (Days)]])</f>
        <v/>
      </c>
      <c r="J352" t="str">
        <f ca="1">IF(OR(IncidentTable[[#This Row],[Status]]="Resolved",IncidentTable[[#This Row],[Status]]="Closed"),RANDBETWEEN(1,120),"")</f>
        <v/>
      </c>
      <c r="K352" t="str">
        <f t="shared" ca="1" si="20"/>
        <v>Pending</v>
      </c>
      <c r="L352" t="str" cm="1">
        <f t="array" aca="1" ref="L352" ca="1">INDEX(AnalystList,RANDBETWEEN(1,ROWS(AnalystList)))</f>
        <v>Alex Johnson</v>
      </c>
      <c r="M352" t="str" cm="1">
        <f t="array" aca="1" ref="M352" ca="1">INDEX(RootCauseList,RANDBETWEEN(1,ROWS(RootCauseList)))</f>
        <v>Configuration Issue</v>
      </c>
      <c r="N352">
        <f t="shared" ca="1" si="23"/>
        <v>310.06</v>
      </c>
      <c r="O352" t="str">
        <f ca="1">IF(OR(IncidentTable[[#This Row],[Status]]="Resolved",IncidentTable[[#This Row],[Status]]="Closed"),
ROUND(IncidentTable[[#This Row],[Estimated Impact ($)]]*(1+RANDBETWEEN(-15,25)/100)+RAND(),2),
"")</f>
        <v/>
      </c>
      <c r="P352" t="str">
        <f ca="1">IF(IncidentTable[[#This Row],[Actual Impact ($)]]="","",ROUND(IncidentTable[[#This Row],[Actual Impact ($)]]-IncidentTable[[#This Row],[Estimated Impact ($)]],2))</f>
        <v/>
      </c>
      <c r="Q352" s="2" t="str">
        <f ca="1">IF(IncidentTable[[#This Row],[Actual Impact ($)]]="","",(IncidentTable[[#This Row],[Actual Impact ($)]]-IncidentTable[[#This Row],[Estimated Impact ($)]]) / IncidentTable[[#This Row],[Estimated Impact ($)]])</f>
        <v/>
      </c>
      <c r="R352" s="3">
        <f ca="1">IF(IncidentTable[[#This Row],[Priority]]="Critical",1,
IF(IncidentTable[[#This Row],[Priority]]="High",3,
IF(IncidentTable[[#This Row],[Priority]]="Medium",5,
IF(IncidentTable[[#This Row],[Priority]]="Low",10,""))))</f>
        <v>3</v>
      </c>
      <c r="S352" t="str">
        <f ca="1">IF(IncidentTable[[#This Row],[Resolution Time (Days)]]="","",
IF(IncidentTable[[#This Row],[Resolution Time (Days)]]&lt;=IncidentTable[[#This Row],[SLA Target (Days)]],"Yes","No"))</f>
        <v/>
      </c>
    </row>
    <row r="353" spans="1:19" x14ac:dyDescent="0.25">
      <c r="A353" t="str">
        <f t="shared" ca="1" si="21"/>
        <v>INC479715</v>
      </c>
      <c r="B353" t="str" cm="1">
        <f t="array" aca="1" ref="B353" ca="1">INDEX(SystemList,RANDBETWEEN(1,ROWS(SystemList)))</f>
        <v>Billing System</v>
      </c>
      <c r="C353" t="str" cm="1">
        <f t="array" aca="1" ref="C353" ca="1">INDEX(IssueTypeList,RANDBETWEEN(1,ROWS(IssueTypeList)))</f>
        <v>Complaint</v>
      </c>
      <c r="D353" t="str" cm="1">
        <f t="array" aca="1" ref="D353" ca="1">INDEX(PriorityList,RANDBETWEEN(1,ROWS(PriorityList)))</f>
        <v>Medium</v>
      </c>
      <c r="E353" t="str" cm="1">
        <f t="array" aca="1" ref="E353" ca="1">INDEX(SeverityList,RANDBETWEEN(1,ROWS(SeverityList)))</f>
        <v>Minor</v>
      </c>
      <c r="F353" t="str" cm="1">
        <f t="array" aca="1" ref="F353" ca="1">INDEX(RegionList,RANDBETWEEN(1,ROWS(RegionList)))</f>
        <v>Central</v>
      </c>
      <c r="G353" t="str" cm="1">
        <f t="array" aca="1" ref="G353" ca="1">INDEX(DepartmentList,RANDBETWEEN(1,ROWS(DepartmentList)))</f>
        <v>IT</v>
      </c>
      <c r="H353" s="1">
        <f t="shared" ca="1" si="22"/>
        <v>45167</v>
      </c>
      <c r="I353" s="4" t="str">
        <f ca="1">IF(IncidentTable[[#This Row],[Resolution Time (Days)]]="","",IncidentTable[[#This Row],[Created Date]]+IncidentTable[[#This Row],[Resolution Time (Days)]])</f>
        <v/>
      </c>
      <c r="J353" t="str">
        <f ca="1">IF(OR(IncidentTable[[#This Row],[Status]]="Resolved",IncidentTable[[#This Row],[Status]]="Closed"),RANDBETWEEN(1,120),"")</f>
        <v/>
      </c>
      <c r="K353" t="str">
        <f t="shared" ca="1" si="20"/>
        <v>Pending</v>
      </c>
      <c r="L353" t="str" cm="1">
        <f t="array" aca="1" ref="L353" ca="1">INDEX(AnalystList,RANDBETWEEN(1,ROWS(AnalystList)))</f>
        <v>Riley Wilson</v>
      </c>
      <c r="M353" t="str" cm="1">
        <f t="array" aca="1" ref="M353" ca="1">INDEX(RootCauseList,RANDBETWEEN(1,ROWS(RootCauseList)))</f>
        <v>System Bug</v>
      </c>
      <c r="N353">
        <f t="shared" ca="1" si="23"/>
        <v>2266.4299999999998</v>
      </c>
      <c r="O353" t="str">
        <f ca="1">IF(OR(IncidentTable[[#This Row],[Status]]="Resolved",IncidentTable[[#This Row],[Status]]="Closed"),
ROUND(IncidentTable[[#This Row],[Estimated Impact ($)]]*(1+RANDBETWEEN(-15,25)/100)+RAND(),2),
"")</f>
        <v/>
      </c>
      <c r="P353" t="str">
        <f ca="1">IF(IncidentTable[[#This Row],[Actual Impact ($)]]="","",ROUND(IncidentTable[[#This Row],[Actual Impact ($)]]-IncidentTable[[#This Row],[Estimated Impact ($)]],2))</f>
        <v/>
      </c>
      <c r="Q353" s="2" t="str">
        <f ca="1">IF(IncidentTable[[#This Row],[Actual Impact ($)]]="","",(IncidentTable[[#This Row],[Actual Impact ($)]]-IncidentTable[[#This Row],[Estimated Impact ($)]]) / IncidentTable[[#This Row],[Estimated Impact ($)]])</f>
        <v/>
      </c>
      <c r="R353" s="3">
        <f ca="1">IF(IncidentTable[[#This Row],[Priority]]="Critical",1,
IF(IncidentTable[[#This Row],[Priority]]="High",3,
IF(IncidentTable[[#This Row],[Priority]]="Medium",5,
IF(IncidentTable[[#This Row],[Priority]]="Low",10,""))))</f>
        <v>5</v>
      </c>
      <c r="S353" t="str">
        <f ca="1">IF(IncidentTable[[#This Row],[Resolution Time (Days)]]="","",
IF(IncidentTable[[#This Row],[Resolution Time (Days)]]&lt;=IncidentTable[[#This Row],[SLA Target (Days)]],"Yes","No"))</f>
        <v/>
      </c>
    </row>
    <row r="354" spans="1:19" x14ac:dyDescent="0.25">
      <c r="A354" t="str">
        <f t="shared" ca="1" si="21"/>
        <v>INC512987</v>
      </c>
      <c r="B354" t="str" cm="1">
        <f t="array" aca="1" ref="B354" ca="1">INDEX(SystemList,RANDBETWEEN(1,ROWS(SystemList)))</f>
        <v>Reporting System</v>
      </c>
      <c r="C354" t="str" cm="1">
        <f t="array" aca="1" ref="C354" ca="1">INDEX(IssueTypeList,RANDBETWEEN(1,ROWS(IssueTypeList)))</f>
        <v>Integration Failure</v>
      </c>
      <c r="D354" t="str" cm="1">
        <f t="array" aca="1" ref="D354" ca="1">INDEX(PriorityList,RANDBETWEEN(1,ROWS(PriorityList)))</f>
        <v>Critical</v>
      </c>
      <c r="E354" t="str" cm="1">
        <f t="array" aca="1" ref="E354" ca="1">INDEX(SeverityList,RANDBETWEEN(1,ROWS(SeverityList)))</f>
        <v>Moderate</v>
      </c>
      <c r="F354" t="str" cm="1">
        <f t="array" aca="1" ref="F354" ca="1">INDEX(RegionList,RANDBETWEEN(1,ROWS(RegionList)))</f>
        <v>Southeast</v>
      </c>
      <c r="G354" t="str" cm="1">
        <f t="array" aca="1" ref="G354" ca="1">INDEX(DepartmentList,RANDBETWEEN(1,ROWS(DepartmentList)))</f>
        <v>Billing</v>
      </c>
      <c r="H354" s="1">
        <f t="shared" ca="1" si="22"/>
        <v>45319</v>
      </c>
      <c r="I354" s="4" t="str">
        <f ca="1">IF(IncidentTable[[#This Row],[Resolution Time (Days)]]="","",IncidentTable[[#This Row],[Created Date]]+IncidentTable[[#This Row],[Resolution Time (Days)]])</f>
        <v/>
      </c>
      <c r="J354" t="str">
        <f ca="1">IF(OR(IncidentTable[[#This Row],[Status]]="Resolved",IncidentTable[[#This Row],[Status]]="Closed"),RANDBETWEEN(1,120),"")</f>
        <v/>
      </c>
      <c r="K354" t="str">
        <f t="shared" ca="1" si="20"/>
        <v>Pending</v>
      </c>
      <c r="L354" t="str" cm="1">
        <f t="array" aca="1" ref="L354" ca="1">INDEX(AnalystList,RANDBETWEEN(1,ROWS(AnalystList)))</f>
        <v>Jordan Lee</v>
      </c>
      <c r="M354" t="str" cm="1">
        <f t="array" aca="1" ref="M354" ca="1">INDEX(RootCauseList,RANDBETWEEN(1,ROWS(RootCauseList)))</f>
        <v>Data Error</v>
      </c>
      <c r="N354">
        <f t="shared" ca="1" si="23"/>
        <v>248.08</v>
      </c>
      <c r="O354" t="str">
        <f ca="1">IF(OR(IncidentTable[[#This Row],[Status]]="Resolved",IncidentTable[[#This Row],[Status]]="Closed"),
ROUND(IncidentTable[[#This Row],[Estimated Impact ($)]]*(1+RANDBETWEEN(-15,25)/100)+RAND(),2),
"")</f>
        <v/>
      </c>
      <c r="P354" t="str">
        <f ca="1">IF(IncidentTable[[#This Row],[Actual Impact ($)]]="","",ROUND(IncidentTable[[#This Row],[Actual Impact ($)]]-IncidentTable[[#This Row],[Estimated Impact ($)]],2))</f>
        <v/>
      </c>
      <c r="Q354" s="2" t="str">
        <f ca="1">IF(IncidentTable[[#This Row],[Actual Impact ($)]]="","",(IncidentTable[[#This Row],[Actual Impact ($)]]-IncidentTable[[#This Row],[Estimated Impact ($)]]) / IncidentTable[[#This Row],[Estimated Impact ($)]])</f>
        <v/>
      </c>
      <c r="R354" s="3">
        <f ca="1">IF(IncidentTable[[#This Row],[Priority]]="Critical",1,
IF(IncidentTable[[#This Row],[Priority]]="High",3,
IF(IncidentTable[[#This Row],[Priority]]="Medium",5,
IF(IncidentTable[[#This Row],[Priority]]="Low",10,""))))</f>
        <v>1</v>
      </c>
      <c r="S354" t="str">
        <f ca="1">IF(IncidentTable[[#This Row],[Resolution Time (Days)]]="","",
IF(IncidentTable[[#This Row],[Resolution Time (Days)]]&lt;=IncidentTable[[#This Row],[SLA Target (Days)]],"Yes","No"))</f>
        <v/>
      </c>
    </row>
    <row r="355" spans="1:19" x14ac:dyDescent="0.25">
      <c r="A355" t="str">
        <f t="shared" ca="1" si="21"/>
        <v>INC924631</v>
      </c>
      <c r="B355" t="str" cm="1">
        <f t="array" aca="1" ref="B355" ca="1">INDEX(SystemList,RANDBETWEEN(1,ROWS(SystemList)))</f>
        <v>Regulatory System</v>
      </c>
      <c r="C355" t="str" cm="1">
        <f t="array" aca="1" ref="C355" ca="1">INDEX(IssueTypeList,RANDBETWEEN(1,ROWS(IssueTypeList)))</f>
        <v>Payment Failure</v>
      </c>
      <c r="D355" t="str" cm="1">
        <f t="array" aca="1" ref="D355" ca="1">INDEX(PriorityList,RANDBETWEEN(1,ROWS(PriorityList)))</f>
        <v>Medium</v>
      </c>
      <c r="E355" t="str" cm="1">
        <f t="array" aca="1" ref="E355" ca="1">INDEX(SeverityList,RANDBETWEEN(1,ROWS(SeverityList)))</f>
        <v>Critical</v>
      </c>
      <c r="F355" t="str" cm="1">
        <f t="array" aca="1" ref="F355" ca="1">INDEX(RegionList,RANDBETWEEN(1,ROWS(RegionList)))</f>
        <v>West</v>
      </c>
      <c r="G355" t="str" cm="1">
        <f t="array" aca="1" ref="G355" ca="1">INDEX(DepartmentList,RANDBETWEEN(1,ROWS(DepartmentList)))</f>
        <v>Claims</v>
      </c>
      <c r="H355" s="1">
        <f t="shared" ca="1" si="22"/>
        <v>45168</v>
      </c>
      <c r="I355" s="4" t="str">
        <f ca="1">IF(IncidentTable[[#This Row],[Resolution Time (Days)]]="","",IncidentTable[[#This Row],[Created Date]]+IncidentTable[[#This Row],[Resolution Time (Days)]])</f>
        <v/>
      </c>
      <c r="J355" t="str">
        <f ca="1">IF(OR(IncidentTable[[#This Row],[Status]]="Resolved",IncidentTable[[#This Row],[Status]]="Closed"),RANDBETWEEN(1,120),"")</f>
        <v/>
      </c>
      <c r="K355" t="str">
        <f t="shared" ca="1" si="20"/>
        <v>Open</v>
      </c>
      <c r="L355" t="str" cm="1">
        <f t="array" aca="1" ref="L355" ca="1">INDEX(AnalystList,RANDBETWEEN(1,ROWS(AnalystList)))</f>
        <v>Taylor Smith</v>
      </c>
      <c r="M355" t="str" cm="1">
        <f t="array" aca="1" ref="M355" ca="1">INDEX(RootCauseList,RANDBETWEEN(1,ROWS(RootCauseList)))</f>
        <v>Network Failure</v>
      </c>
      <c r="N355">
        <f t="shared" ca="1" si="23"/>
        <v>4726.87</v>
      </c>
      <c r="O355" t="str">
        <f ca="1">IF(OR(IncidentTable[[#This Row],[Status]]="Resolved",IncidentTable[[#This Row],[Status]]="Closed"),
ROUND(IncidentTable[[#This Row],[Estimated Impact ($)]]*(1+RANDBETWEEN(-15,25)/100)+RAND(),2),
"")</f>
        <v/>
      </c>
      <c r="P355" t="str">
        <f ca="1">IF(IncidentTable[[#This Row],[Actual Impact ($)]]="","",ROUND(IncidentTable[[#This Row],[Actual Impact ($)]]-IncidentTable[[#This Row],[Estimated Impact ($)]],2))</f>
        <v/>
      </c>
      <c r="Q355" s="2" t="str">
        <f ca="1">IF(IncidentTable[[#This Row],[Actual Impact ($)]]="","",(IncidentTable[[#This Row],[Actual Impact ($)]]-IncidentTable[[#This Row],[Estimated Impact ($)]]) / IncidentTable[[#This Row],[Estimated Impact ($)]])</f>
        <v/>
      </c>
      <c r="R355" s="3">
        <f ca="1">IF(IncidentTable[[#This Row],[Priority]]="Critical",1,
IF(IncidentTable[[#This Row],[Priority]]="High",3,
IF(IncidentTable[[#This Row],[Priority]]="Medium",5,
IF(IncidentTable[[#This Row],[Priority]]="Low",10,""))))</f>
        <v>5</v>
      </c>
      <c r="S355" t="str">
        <f ca="1">IF(IncidentTable[[#This Row],[Resolution Time (Days)]]="","",
IF(IncidentTable[[#This Row],[Resolution Time (Days)]]&lt;=IncidentTable[[#This Row],[SLA Target (Days)]],"Yes","No"))</f>
        <v/>
      </c>
    </row>
    <row r="356" spans="1:19" x14ac:dyDescent="0.25">
      <c r="A356" t="str">
        <f t="shared" ca="1" si="21"/>
        <v>INC642833</v>
      </c>
      <c r="B356" t="str" cm="1">
        <f t="array" aca="1" ref="B356" ca="1">INDEX(SystemList,RANDBETWEEN(1,ROWS(SystemList)))</f>
        <v>Policy Admin System</v>
      </c>
      <c r="C356" t="str" cm="1">
        <f t="array" aca="1" ref="C356" ca="1">INDEX(IssueTypeList,RANDBETWEEN(1,ROWS(IssueTypeList)))</f>
        <v>Processing Delay</v>
      </c>
      <c r="D356" t="str" cm="1">
        <f t="array" aca="1" ref="D356" ca="1">INDEX(PriorityList,RANDBETWEEN(1,ROWS(PriorityList)))</f>
        <v>Critical</v>
      </c>
      <c r="E356" t="str" cm="1">
        <f t="array" aca="1" ref="E356" ca="1">INDEX(SeverityList,RANDBETWEEN(1,ROWS(SeverityList)))</f>
        <v>Moderate</v>
      </c>
      <c r="F356" t="str" cm="1">
        <f t="array" aca="1" ref="F356" ca="1">INDEX(RegionList,RANDBETWEEN(1,ROWS(RegionList)))</f>
        <v>Midwest</v>
      </c>
      <c r="G356" t="str" cm="1">
        <f t="array" aca="1" ref="G356" ca="1">INDEX(DepartmentList,RANDBETWEEN(1,ROWS(DepartmentList)))</f>
        <v>Finance</v>
      </c>
      <c r="H356" s="1">
        <f t="shared" ca="1" si="22"/>
        <v>45201</v>
      </c>
      <c r="I356" s="4" t="str">
        <f ca="1">IF(IncidentTable[[#This Row],[Resolution Time (Days)]]="","",IncidentTable[[#This Row],[Created Date]]+IncidentTable[[#This Row],[Resolution Time (Days)]])</f>
        <v/>
      </c>
      <c r="J356" t="str">
        <f ca="1">IF(OR(IncidentTable[[#This Row],[Status]]="Resolved",IncidentTable[[#This Row],[Status]]="Closed"),RANDBETWEEN(1,120),"")</f>
        <v/>
      </c>
      <c r="K356" t="str">
        <f t="shared" ca="1" si="20"/>
        <v>In Progress</v>
      </c>
      <c r="L356" t="str" cm="1">
        <f t="array" aca="1" ref="L356" ca="1">INDEX(AnalystList,RANDBETWEEN(1,ROWS(AnalystList)))</f>
        <v>Casey Brown</v>
      </c>
      <c r="M356" t="str" cm="1">
        <f t="array" aca="1" ref="M356" ca="1">INDEX(RootCauseList,RANDBETWEEN(1,ROWS(RootCauseList)))</f>
        <v>Integration Failure</v>
      </c>
      <c r="N356">
        <f t="shared" ca="1" si="23"/>
        <v>3904.47</v>
      </c>
      <c r="O356" t="str">
        <f ca="1">IF(OR(IncidentTable[[#This Row],[Status]]="Resolved",IncidentTable[[#This Row],[Status]]="Closed"),
ROUND(IncidentTable[[#This Row],[Estimated Impact ($)]]*(1+RANDBETWEEN(-15,25)/100)+RAND(),2),
"")</f>
        <v/>
      </c>
      <c r="P356" t="str">
        <f ca="1">IF(IncidentTable[[#This Row],[Actual Impact ($)]]="","",ROUND(IncidentTable[[#This Row],[Actual Impact ($)]]-IncidentTable[[#This Row],[Estimated Impact ($)]],2))</f>
        <v/>
      </c>
      <c r="Q356" s="2" t="str">
        <f ca="1">IF(IncidentTable[[#This Row],[Actual Impact ($)]]="","",(IncidentTable[[#This Row],[Actual Impact ($)]]-IncidentTable[[#This Row],[Estimated Impact ($)]]) / IncidentTable[[#This Row],[Estimated Impact ($)]])</f>
        <v/>
      </c>
      <c r="R356" s="3">
        <f ca="1">IF(IncidentTable[[#This Row],[Priority]]="Critical",1,
IF(IncidentTable[[#This Row],[Priority]]="High",3,
IF(IncidentTable[[#This Row],[Priority]]="Medium",5,
IF(IncidentTable[[#This Row],[Priority]]="Low",10,""))))</f>
        <v>1</v>
      </c>
      <c r="S356" t="str">
        <f ca="1">IF(IncidentTable[[#This Row],[Resolution Time (Days)]]="","",
IF(IncidentTable[[#This Row],[Resolution Time (Days)]]&lt;=IncidentTable[[#This Row],[SLA Target (Days)]],"Yes","No"))</f>
        <v/>
      </c>
    </row>
    <row r="357" spans="1:19" x14ac:dyDescent="0.25">
      <c r="A357" t="str">
        <f t="shared" ca="1" si="21"/>
        <v>INC423800</v>
      </c>
      <c r="B357" t="str" cm="1">
        <f t="array" aca="1" ref="B357" ca="1">INDEX(SystemList,RANDBETWEEN(1,ROWS(SystemList)))</f>
        <v>Reporting System</v>
      </c>
      <c r="C357" t="str" cm="1">
        <f t="array" aca="1" ref="C357" ca="1">INDEX(IssueTypeList,RANDBETWEEN(1,ROWS(IssueTypeList)))</f>
        <v>Performance Issue</v>
      </c>
      <c r="D357" t="str" cm="1">
        <f t="array" aca="1" ref="D357" ca="1">INDEX(PriorityList,RANDBETWEEN(1,ROWS(PriorityList)))</f>
        <v>High</v>
      </c>
      <c r="E357" t="str" cm="1">
        <f t="array" aca="1" ref="E357" ca="1">INDEX(SeverityList,RANDBETWEEN(1,ROWS(SeverityList)))</f>
        <v>Major</v>
      </c>
      <c r="F357" t="str" cm="1">
        <f t="array" aca="1" ref="F357" ca="1">INDEX(RegionList,RANDBETWEEN(1,ROWS(RegionList)))</f>
        <v>East</v>
      </c>
      <c r="G357" t="str" cm="1">
        <f t="array" aca="1" ref="G357" ca="1">INDEX(DepartmentList,RANDBETWEEN(1,ROWS(DepartmentList)))</f>
        <v>IT</v>
      </c>
      <c r="H357" s="1">
        <f t="shared" ca="1" si="22"/>
        <v>45131</v>
      </c>
      <c r="I357" s="4">
        <f ca="1">IF(IncidentTable[[#This Row],[Resolution Time (Days)]]="","",IncidentTable[[#This Row],[Created Date]]+IncidentTable[[#This Row],[Resolution Time (Days)]])</f>
        <v>45241</v>
      </c>
      <c r="J357">
        <f ca="1">IF(OR(IncidentTable[[#This Row],[Status]]="Resolved",IncidentTable[[#This Row],[Status]]="Closed"),RANDBETWEEN(1,120),"")</f>
        <v>110</v>
      </c>
      <c r="K357" t="str">
        <f t="shared" ca="1" si="20"/>
        <v>Resolved</v>
      </c>
      <c r="L357" t="str" cm="1">
        <f t="array" aca="1" ref="L357" ca="1">INDEX(AnalystList,RANDBETWEEN(1,ROWS(AnalystList)))</f>
        <v>Taylor Smith</v>
      </c>
      <c r="M357" t="str" cm="1">
        <f t="array" aca="1" ref="M357" ca="1">INDEX(RootCauseList,RANDBETWEEN(1,ROWS(RootCauseList)))</f>
        <v>User Error</v>
      </c>
      <c r="N357">
        <f t="shared" ca="1" si="23"/>
        <v>31586.36</v>
      </c>
      <c r="O357">
        <f ca="1">IF(OR(IncidentTable[[#This Row],[Status]]="Resolved",IncidentTable[[#This Row],[Status]]="Closed"),
ROUND(IncidentTable[[#This Row],[Estimated Impact ($)]]*(1+RANDBETWEEN(-15,25)/100)+RAND(),2),
"")</f>
        <v>29375.79</v>
      </c>
      <c r="P357">
        <f ca="1">IF(IncidentTable[[#This Row],[Actual Impact ($)]]="","",ROUND(IncidentTable[[#This Row],[Actual Impact ($)]]-IncidentTable[[#This Row],[Estimated Impact ($)]],2))</f>
        <v>-2210.5700000000002</v>
      </c>
      <c r="Q357" s="2">
        <f ca="1">IF(IncidentTable[[#This Row],[Actual Impact ($)]]="","",(IncidentTable[[#This Row],[Actual Impact ($)]]-IncidentTable[[#This Row],[Estimated Impact ($)]]) / IncidentTable[[#This Row],[Estimated Impact ($)]])</f>
        <v>-6.9984955531438242E-2</v>
      </c>
      <c r="R357" s="3">
        <f ca="1">IF(IncidentTable[[#This Row],[Priority]]="Critical",1,
IF(IncidentTable[[#This Row],[Priority]]="High",3,
IF(IncidentTable[[#This Row],[Priority]]="Medium",5,
IF(IncidentTable[[#This Row],[Priority]]="Low",10,""))))</f>
        <v>3</v>
      </c>
      <c r="S357" t="str">
        <f ca="1">IF(IncidentTable[[#This Row],[Resolution Time (Days)]]="","",
IF(IncidentTable[[#This Row],[Resolution Time (Days)]]&lt;=IncidentTable[[#This Row],[SLA Target (Days)]],"Yes","No"))</f>
        <v>No</v>
      </c>
    </row>
    <row r="358" spans="1:19" x14ac:dyDescent="0.25">
      <c r="A358" t="str">
        <f t="shared" ca="1" si="21"/>
        <v>INC677909</v>
      </c>
      <c r="B358" t="str" cm="1">
        <f t="array" aca="1" ref="B358" ca="1">INDEX(SystemList,RANDBETWEEN(1,ROWS(SystemList)))</f>
        <v>Claims System</v>
      </c>
      <c r="C358" t="str" cm="1">
        <f t="array" aca="1" ref="C358" ca="1">INDEX(IssueTypeList,RANDBETWEEN(1,ROWS(IssueTypeList)))</f>
        <v>Payment Failure</v>
      </c>
      <c r="D358" t="str" cm="1">
        <f t="array" aca="1" ref="D358" ca="1">INDEX(PriorityList,RANDBETWEEN(1,ROWS(PriorityList)))</f>
        <v>Medium</v>
      </c>
      <c r="E358" t="str" cm="1">
        <f t="array" aca="1" ref="E358" ca="1">INDEX(SeverityList,RANDBETWEEN(1,ROWS(SeverityList)))</f>
        <v>Critical</v>
      </c>
      <c r="F358" t="str" cm="1">
        <f t="array" aca="1" ref="F358" ca="1">INDEX(RegionList,RANDBETWEEN(1,ROWS(RegionList)))</f>
        <v>Central</v>
      </c>
      <c r="G358" t="str" cm="1">
        <f t="array" aca="1" ref="G358" ca="1">INDEX(DepartmentList,RANDBETWEEN(1,ROWS(DepartmentList)))</f>
        <v>Billing</v>
      </c>
      <c r="H358" s="1">
        <f t="shared" ca="1" si="22"/>
        <v>45423</v>
      </c>
      <c r="I358" s="4">
        <f ca="1">IF(IncidentTable[[#This Row],[Resolution Time (Days)]]="","",IncidentTable[[#This Row],[Created Date]]+IncidentTable[[#This Row],[Resolution Time (Days)]])</f>
        <v>45445</v>
      </c>
      <c r="J358">
        <f ca="1">IF(OR(IncidentTable[[#This Row],[Status]]="Resolved",IncidentTable[[#This Row],[Status]]="Closed"),RANDBETWEEN(1,120),"")</f>
        <v>22</v>
      </c>
      <c r="K358" t="str">
        <f t="shared" ca="1" si="20"/>
        <v>Closed</v>
      </c>
      <c r="L358" t="str" cm="1">
        <f t="array" aca="1" ref="L358" ca="1">INDEX(AnalystList,RANDBETWEEN(1,ROWS(AnalystList)))</f>
        <v>Riley Wilson</v>
      </c>
      <c r="M358" t="str" cm="1">
        <f t="array" aca="1" ref="M358" ca="1">INDEX(RootCauseList,RANDBETWEEN(1,ROWS(RootCauseList)))</f>
        <v>System Bug</v>
      </c>
      <c r="N358">
        <f t="shared" ca="1" si="23"/>
        <v>0.38</v>
      </c>
      <c r="O358">
        <f ca="1">IF(OR(IncidentTable[[#This Row],[Status]]="Resolved",IncidentTable[[#This Row],[Status]]="Closed"),
ROUND(IncidentTable[[#This Row],[Estimated Impact ($)]]*(1+RANDBETWEEN(-15,25)/100)+RAND(),2),
"")</f>
        <v>1</v>
      </c>
      <c r="P358">
        <f ca="1">IF(IncidentTable[[#This Row],[Actual Impact ($)]]="","",ROUND(IncidentTable[[#This Row],[Actual Impact ($)]]-IncidentTable[[#This Row],[Estimated Impact ($)]],2))</f>
        <v>0.62</v>
      </c>
      <c r="Q358" s="2">
        <f ca="1">IF(IncidentTable[[#This Row],[Actual Impact ($)]]="","",(IncidentTable[[#This Row],[Actual Impact ($)]]-IncidentTable[[#This Row],[Estimated Impact ($)]]) / IncidentTable[[#This Row],[Estimated Impact ($)]])</f>
        <v>1.631578947368421</v>
      </c>
      <c r="R358" s="3">
        <f ca="1">IF(IncidentTable[[#This Row],[Priority]]="Critical",1,
IF(IncidentTable[[#This Row],[Priority]]="High",3,
IF(IncidentTable[[#This Row],[Priority]]="Medium",5,
IF(IncidentTable[[#This Row],[Priority]]="Low",10,""))))</f>
        <v>5</v>
      </c>
      <c r="S358" t="str">
        <f ca="1">IF(IncidentTable[[#This Row],[Resolution Time (Days)]]="","",
IF(IncidentTable[[#This Row],[Resolution Time (Days)]]&lt;=IncidentTable[[#This Row],[SLA Target (Days)]],"Yes","No"))</f>
        <v>No</v>
      </c>
    </row>
    <row r="359" spans="1:19" x14ac:dyDescent="0.25">
      <c r="A359" t="str">
        <f t="shared" ca="1" si="21"/>
        <v>INC931834</v>
      </c>
      <c r="B359" t="str" cm="1">
        <f t="array" aca="1" ref="B359" ca="1">INDEX(SystemList,RANDBETWEEN(1,ROWS(SystemList)))</f>
        <v>Claims System</v>
      </c>
      <c r="C359" t="str" cm="1">
        <f t="array" aca="1" ref="C359" ca="1">INDEX(IssueTypeList,RANDBETWEEN(1,ROWS(IssueTypeList)))</f>
        <v>User Access Issue</v>
      </c>
      <c r="D359" t="str" cm="1">
        <f t="array" aca="1" ref="D359" ca="1">INDEX(PriorityList,RANDBETWEEN(1,ROWS(PriorityList)))</f>
        <v>High</v>
      </c>
      <c r="E359" t="str" cm="1">
        <f t="array" aca="1" ref="E359" ca="1">INDEX(SeverityList,RANDBETWEEN(1,ROWS(SeverityList)))</f>
        <v>Major</v>
      </c>
      <c r="F359" t="str" cm="1">
        <f t="array" aca="1" ref="F359" ca="1">INDEX(RegionList,RANDBETWEEN(1,ROWS(RegionList)))</f>
        <v>Southeast</v>
      </c>
      <c r="G359" t="str" cm="1">
        <f t="array" aca="1" ref="G359" ca="1">INDEX(DepartmentList,RANDBETWEEN(1,ROWS(DepartmentList)))</f>
        <v>Claims</v>
      </c>
      <c r="H359" s="1">
        <f t="shared" ca="1" si="22"/>
        <v>45082</v>
      </c>
      <c r="I359" s="4">
        <f ca="1">IF(IncidentTable[[#This Row],[Resolution Time (Days)]]="","",IncidentTable[[#This Row],[Created Date]]+IncidentTable[[#This Row],[Resolution Time (Days)]])</f>
        <v>45140</v>
      </c>
      <c r="J359">
        <f ca="1">IF(OR(IncidentTable[[#This Row],[Status]]="Resolved",IncidentTable[[#This Row],[Status]]="Closed"),RANDBETWEEN(1,120),"")</f>
        <v>58</v>
      </c>
      <c r="K359" t="str">
        <f t="shared" ca="1" si="20"/>
        <v>Resolved</v>
      </c>
      <c r="L359" t="str" cm="1">
        <f t="array" aca="1" ref="L359" ca="1">INDEX(AnalystList,RANDBETWEEN(1,ROWS(AnalystList)))</f>
        <v>Jordan Lee</v>
      </c>
      <c r="M359" t="str" cm="1">
        <f t="array" aca="1" ref="M359" ca="1">INDEX(RootCauseList,RANDBETWEEN(1,ROWS(RootCauseList)))</f>
        <v>Data Error</v>
      </c>
      <c r="N359">
        <f t="shared" ca="1" si="23"/>
        <v>9236.8700000000008</v>
      </c>
      <c r="O359">
        <f ca="1">IF(OR(IncidentTable[[#This Row],[Status]]="Resolved",IncidentTable[[#This Row],[Status]]="Closed"),
ROUND(IncidentTable[[#This Row],[Estimated Impact ($)]]*(1+RANDBETWEEN(-15,25)/100)+RAND(),2),
"")</f>
        <v>10253.81</v>
      </c>
      <c r="P359">
        <f ca="1">IF(IncidentTable[[#This Row],[Actual Impact ($)]]="","",ROUND(IncidentTable[[#This Row],[Actual Impact ($)]]-IncidentTable[[#This Row],[Estimated Impact ($)]],2))</f>
        <v>1016.94</v>
      </c>
      <c r="Q359" s="2">
        <f ca="1">IF(IncidentTable[[#This Row],[Actual Impact ($)]]="","",(IncidentTable[[#This Row],[Actual Impact ($)]]-IncidentTable[[#This Row],[Estimated Impact ($)]]) / IncidentTable[[#This Row],[Estimated Impact ($)]])</f>
        <v>0.11009573589321908</v>
      </c>
      <c r="R359" s="3">
        <f ca="1">IF(IncidentTable[[#This Row],[Priority]]="Critical",1,
IF(IncidentTable[[#This Row],[Priority]]="High",3,
IF(IncidentTable[[#This Row],[Priority]]="Medium",5,
IF(IncidentTable[[#This Row],[Priority]]="Low",10,""))))</f>
        <v>3</v>
      </c>
      <c r="S359" t="str">
        <f ca="1">IF(IncidentTable[[#This Row],[Resolution Time (Days)]]="","",
IF(IncidentTable[[#This Row],[Resolution Time (Days)]]&lt;=IncidentTable[[#This Row],[SLA Target (Days)]],"Yes","No"))</f>
        <v>No</v>
      </c>
    </row>
    <row r="360" spans="1:19" x14ac:dyDescent="0.25">
      <c r="A360" t="str">
        <f t="shared" ca="1" si="21"/>
        <v>INC493853</v>
      </c>
      <c r="B360" t="str" cm="1">
        <f t="array" aca="1" ref="B360" ca="1">INDEX(SystemList,RANDBETWEEN(1,ROWS(SystemList)))</f>
        <v>Reporting System</v>
      </c>
      <c r="C360" t="str" cm="1">
        <f t="array" aca="1" ref="C360" ca="1">INDEX(IssueTypeList,RANDBETWEEN(1,ROWS(IssueTypeList)))</f>
        <v>Payment Failure</v>
      </c>
      <c r="D360" t="str" cm="1">
        <f t="array" aca="1" ref="D360" ca="1">INDEX(PriorityList,RANDBETWEEN(1,ROWS(PriorityList)))</f>
        <v>Medium</v>
      </c>
      <c r="E360" t="str" cm="1">
        <f t="array" aca="1" ref="E360" ca="1">INDEX(SeverityList,RANDBETWEEN(1,ROWS(SeverityList)))</f>
        <v>Minor</v>
      </c>
      <c r="F360" t="str" cm="1">
        <f t="array" aca="1" ref="F360" ca="1">INDEX(RegionList,RANDBETWEEN(1,ROWS(RegionList)))</f>
        <v>Central</v>
      </c>
      <c r="G360" t="str" cm="1">
        <f t="array" aca="1" ref="G360" ca="1">INDEX(DepartmentList,RANDBETWEEN(1,ROWS(DepartmentList)))</f>
        <v>Compliance</v>
      </c>
      <c r="H360" s="1">
        <f t="shared" ca="1" si="22"/>
        <v>45255</v>
      </c>
      <c r="I360" s="4" t="str">
        <f ca="1">IF(IncidentTable[[#This Row],[Resolution Time (Days)]]="","",IncidentTable[[#This Row],[Created Date]]+IncidentTable[[#This Row],[Resolution Time (Days)]])</f>
        <v/>
      </c>
      <c r="J360" t="str">
        <f ca="1">IF(OR(IncidentTable[[#This Row],[Status]]="Resolved",IncidentTable[[#This Row],[Status]]="Closed"),RANDBETWEEN(1,120),"")</f>
        <v/>
      </c>
      <c r="K360" t="str">
        <f t="shared" ca="1" si="20"/>
        <v>Pending</v>
      </c>
      <c r="L360" t="str" cm="1">
        <f t="array" aca="1" ref="L360" ca="1">INDEX(AnalystList,RANDBETWEEN(1,ROWS(AnalystList)))</f>
        <v>Morgan Davis</v>
      </c>
      <c r="M360" t="str" cm="1">
        <f t="array" aca="1" ref="M360" ca="1">INDEX(RootCauseList,RANDBETWEEN(1,ROWS(RootCauseList)))</f>
        <v>Unknown</v>
      </c>
      <c r="N360">
        <f t="shared" ca="1" si="23"/>
        <v>4483.6400000000003</v>
      </c>
      <c r="O360" t="str">
        <f ca="1">IF(OR(IncidentTable[[#This Row],[Status]]="Resolved",IncidentTable[[#This Row],[Status]]="Closed"),
ROUND(IncidentTable[[#This Row],[Estimated Impact ($)]]*(1+RANDBETWEEN(-15,25)/100)+RAND(),2),
"")</f>
        <v/>
      </c>
      <c r="P360" t="str">
        <f ca="1">IF(IncidentTable[[#This Row],[Actual Impact ($)]]="","",ROUND(IncidentTable[[#This Row],[Actual Impact ($)]]-IncidentTable[[#This Row],[Estimated Impact ($)]],2))</f>
        <v/>
      </c>
      <c r="Q360" s="2" t="str">
        <f ca="1">IF(IncidentTable[[#This Row],[Actual Impact ($)]]="","",(IncidentTable[[#This Row],[Actual Impact ($)]]-IncidentTable[[#This Row],[Estimated Impact ($)]]) / IncidentTable[[#This Row],[Estimated Impact ($)]])</f>
        <v/>
      </c>
      <c r="R360" s="3">
        <f ca="1">IF(IncidentTable[[#This Row],[Priority]]="Critical",1,
IF(IncidentTable[[#This Row],[Priority]]="High",3,
IF(IncidentTable[[#This Row],[Priority]]="Medium",5,
IF(IncidentTable[[#This Row],[Priority]]="Low",10,""))))</f>
        <v>5</v>
      </c>
      <c r="S360" t="str">
        <f ca="1">IF(IncidentTable[[#This Row],[Resolution Time (Days)]]="","",
IF(IncidentTable[[#This Row],[Resolution Time (Days)]]&lt;=IncidentTable[[#This Row],[SLA Target (Days)]],"Yes","No"))</f>
        <v/>
      </c>
    </row>
    <row r="361" spans="1:19" x14ac:dyDescent="0.25">
      <c r="A361" t="str">
        <f t="shared" ca="1" si="21"/>
        <v>INC106907</v>
      </c>
      <c r="B361" t="str" cm="1">
        <f t="array" aca="1" ref="B361" ca="1">INDEX(SystemList,RANDBETWEEN(1,ROWS(SystemList)))</f>
        <v>Policy Admin System</v>
      </c>
      <c r="C361" t="str" cm="1">
        <f t="array" aca="1" ref="C361" ca="1">INDEX(IssueTypeList,RANDBETWEEN(1,ROWS(IssueTypeList)))</f>
        <v>Integration Failure</v>
      </c>
      <c r="D361" t="str" cm="1">
        <f t="array" aca="1" ref="D361" ca="1">INDEX(PriorityList,RANDBETWEEN(1,ROWS(PriorityList)))</f>
        <v>High</v>
      </c>
      <c r="E361" t="str" cm="1">
        <f t="array" aca="1" ref="E361" ca="1">INDEX(SeverityList,RANDBETWEEN(1,ROWS(SeverityList)))</f>
        <v>Critical</v>
      </c>
      <c r="F361" t="str" cm="1">
        <f t="array" aca="1" ref="F361" ca="1">INDEX(RegionList,RANDBETWEEN(1,ROWS(RegionList)))</f>
        <v>East</v>
      </c>
      <c r="G361" t="str" cm="1">
        <f t="array" aca="1" ref="G361" ca="1">INDEX(DepartmentList,RANDBETWEEN(1,ROWS(DepartmentList)))</f>
        <v>Compliance</v>
      </c>
      <c r="H361" s="1">
        <f t="shared" ca="1" si="22"/>
        <v>45417</v>
      </c>
      <c r="I361" s="4">
        <f ca="1">IF(IncidentTable[[#This Row],[Resolution Time (Days)]]="","",IncidentTable[[#This Row],[Created Date]]+IncidentTable[[#This Row],[Resolution Time (Days)]])</f>
        <v>45471</v>
      </c>
      <c r="J361">
        <f ca="1">IF(OR(IncidentTable[[#This Row],[Status]]="Resolved",IncidentTable[[#This Row],[Status]]="Closed"),RANDBETWEEN(1,120),"")</f>
        <v>54</v>
      </c>
      <c r="K361" t="str">
        <f t="shared" ca="1" si="20"/>
        <v>Resolved</v>
      </c>
      <c r="L361" t="str" cm="1">
        <f t="array" aca="1" ref="L361" ca="1">INDEX(AnalystList,RANDBETWEEN(1,ROWS(AnalystList)))</f>
        <v>Riley Wilson</v>
      </c>
      <c r="M361" t="str" cm="1">
        <f t="array" aca="1" ref="M361" ca="1">INDEX(RootCauseList,RANDBETWEEN(1,ROWS(RootCauseList)))</f>
        <v>Data Error</v>
      </c>
      <c r="N361">
        <f t="shared" ca="1" si="23"/>
        <v>66.83</v>
      </c>
      <c r="O361">
        <f ca="1">IF(OR(IncidentTable[[#This Row],[Status]]="Resolved",IncidentTable[[#This Row],[Status]]="Closed"),
ROUND(IncidentTable[[#This Row],[Estimated Impact ($)]]*(1+RANDBETWEEN(-15,25)/100)+RAND(),2),
"")</f>
        <v>77.23</v>
      </c>
      <c r="P361">
        <f ca="1">IF(IncidentTable[[#This Row],[Actual Impact ($)]]="","",ROUND(IncidentTable[[#This Row],[Actual Impact ($)]]-IncidentTable[[#This Row],[Estimated Impact ($)]],2))</f>
        <v>10.4</v>
      </c>
      <c r="Q361" s="2">
        <f ca="1">IF(IncidentTable[[#This Row],[Actual Impact ($)]]="","",(IncidentTable[[#This Row],[Actual Impact ($)]]-IncidentTable[[#This Row],[Estimated Impact ($)]]) / IncidentTable[[#This Row],[Estimated Impact ($)]])</f>
        <v>0.15561873410145152</v>
      </c>
      <c r="R361" s="3">
        <f ca="1">IF(IncidentTable[[#This Row],[Priority]]="Critical",1,
IF(IncidentTable[[#This Row],[Priority]]="High",3,
IF(IncidentTable[[#This Row],[Priority]]="Medium",5,
IF(IncidentTable[[#This Row],[Priority]]="Low",10,""))))</f>
        <v>3</v>
      </c>
      <c r="S361" t="str">
        <f ca="1">IF(IncidentTable[[#This Row],[Resolution Time (Days)]]="","",
IF(IncidentTable[[#This Row],[Resolution Time (Days)]]&lt;=IncidentTable[[#This Row],[SLA Target (Days)]],"Yes","No"))</f>
        <v>No</v>
      </c>
    </row>
    <row r="362" spans="1:19" x14ac:dyDescent="0.25">
      <c r="A362" t="str">
        <f t="shared" ca="1" si="21"/>
        <v>INC603255</v>
      </c>
      <c r="B362" t="str" cm="1">
        <f t="array" aca="1" ref="B362" ca="1">INDEX(SystemList,RANDBETWEEN(1,ROWS(SystemList)))</f>
        <v>Claims System</v>
      </c>
      <c r="C362" t="str" cm="1">
        <f t="array" aca="1" ref="C362" ca="1">INDEX(IssueTypeList,RANDBETWEEN(1,ROWS(IssueTypeList)))</f>
        <v>Integration Failure</v>
      </c>
      <c r="D362" t="str" cm="1">
        <f t="array" aca="1" ref="D362" ca="1">INDEX(PriorityList,RANDBETWEEN(1,ROWS(PriorityList)))</f>
        <v>Critical</v>
      </c>
      <c r="E362" t="str" cm="1">
        <f t="array" aca="1" ref="E362" ca="1">INDEX(SeverityList,RANDBETWEEN(1,ROWS(SeverityList)))</f>
        <v>Moderate</v>
      </c>
      <c r="F362" t="str" cm="1">
        <f t="array" aca="1" ref="F362" ca="1">INDEX(RegionList,RANDBETWEEN(1,ROWS(RegionList)))</f>
        <v>Central</v>
      </c>
      <c r="G362" t="str" cm="1">
        <f t="array" aca="1" ref="G362" ca="1">INDEX(DepartmentList,RANDBETWEEN(1,ROWS(DepartmentList)))</f>
        <v>Finance</v>
      </c>
      <c r="H362" s="1">
        <f t="shared" ca="1" si="22"/>
        <v>45146</v>
      </c>
      <c r="I362" s="4" t="str">
        <f ca="1">IF(IncidentTable[[#This Row],[Resolution Time (Days)]]="","",IncidentTable[[#This Row],[Created Date]]+IncidentTable[[#This Row],[Resolution Time (Days)]])</f>
        <v/>
      </c>
      <c r="J362" t="str">
        <f ca="1">IF(OR(IncidentTable[[#This Row],[Status]]="Resolved",IncidentTable[[#This Row],[Status]]="Closed"),RANDBETWEEN(1,120),"")</f>
        <v/>
      </c>
      <c r="K362" t="str">
        <f t="shared" ca="1" si="20"/>
        <v>Open</v>
      </c>
      <c r="L362" t="str" cm="1">
        <f t="array" aca="1" ref="L362" ca="1">INDEX(AnalystList,RANDBETWEEN(1,ROWS(AnalystList)))</f>
        <v>Alex Johnson</v>
      </c>
      <c r="M362" t="str" cm="1">
        <f t="array" aca="1" ref="M362" ca="1">INDEX(RootCauseList,RANDBETWEEN(1,ROWS(RootCauseList)))</f>
        <v>Integration Failure</v>
      </c>
      <c r="N362">
        <f t="shared" ca="1" si="23"/>
        <v>2418.13</v>
      </c>
      <c r="O362" t="str">
        <f ca="1">IF(OR(IncidentTable[[#This Row],[Status]]="Resolved",IncidentTable[[#This Row],[Status]]="Closed"),
ROUND(IncidentTable[[#This Row],[Estimated Impact ($)]]*(1+RANDBETWEEN(-15,25)/100)+RAND(),2),
"")</f>
        <v/>
      </c>
      <c r="P362" t="str">
        <f ca="1">IF(IncidentTable[[#This Row],[Actual Impact ($)]]="","",ROUND(IncidentTable[[#This Row],[Actual Impact ($)]]-IncidentTable[[#This Row],[Estimated Impact ($)]],2))</f>
        <v/>
      </c>
      <c r="Q362" s="2" t="str">
        <f ca="1">IF(IncidentTable[[#This Row],[Actual Impact ($)]]="","",(IncidentTable[[#This Row],[Actual Impact ($)]]-IncidentTable[[#This Row],[Estimated Impact ($)]]) / IncidentTable[[#This Row],[Estimated Impact ($)]])</f>
        <v/>
      </c>
      <c r="R362" s="3">
        <f ca="1">IF(IncidentTable[[#This Row],[Priority]]="Critical",1,
IF(IncidentTable[[#This Row],[Priority]]="High",3,
IF(IncidentTable[[#This Row],[Priority]]="Medium",5,
IF(IncidentTable[[#This Row],[Priority]]="Low",10,""))))</f>
        <v>1</v>
      </c>
      <c r="S362" t="str">
        <f ca="1">IF(IncidentTable[[#This Row],[Resolution Time (Days)]]="","",
IF(IncidentTable[[#This Row],[Resolution Time (Days)]]&lt;=IncidentTable[[#This Row],[SLA Target (Days)]],"Yes","No"))</f>
        <v/>
      </c>
    </row>
    <row r="363" spans="1:19" x14ac:dyDescent="0.25">
      <c r="A363" t="str">
        <f t="shared" ca="1" si="21"/>
        <v>INC190915</v>
      </c>
      <c r="B363" t="str" cm="1">
        <f t="array" aca="1" ref="B363" ca="1">INDEX(SystemList,RANDBETWEEN(1,ROWS(SystemList)))</f>
        <v>Reporting System</v>
      </c>
      <c r="C363" t="str" cm="1">
        <f t="array" aca="1" ref="C363" ca="1">INDEX(IssueTypeList,RANDBETWEEN(1,ROWS(IssueTypeList)))</f>
        <v>Payment Failure</v>
      </c>
      <c r="D363" t="str" cm="1">
        <f t="array" aca="1" ref="D363" ca="1">INDEX(PriorityList,RANDBETWEEN(1,ROWS(PriorityList)))</f>
        <v>Low</v>
      </c>
      <c r="E363" t="str" cm="1">
        <f t="array" aca="1" ref="E363" ca="1">INDEX(SeverityList,RANDBETWEEN(1,ROWS(SeverityList)))</f>
        <v>Major</v>
      </c>
      <c r="F363" t="str" cm="1">
        <f t="array" aca="1" ref="F363" ca="1">INDEX(RegionList,RANDBETWEEN(1,ROWS(RegionList)))</f>
        <v>West</v>
      </c>
      <c r="G363" t="str" cm="1">
        <f t="array" aca="1" ref="G363" ca="1">INDEX(DepartmentList,RANDBETWEEN(1,ROWS(DepartmentList)))</f>
        <v>Finance</v>
      </c>
      <c r="H363" s="1">
        <f t="shared" ca="1" si="22"/>
        <v>45230</v>
      </c>
      <c r="I363" s="4" t="str">
        <f ca="1">IF(IncidentTable[[#This Row],[Resolution Time (Days)]]="","",IncidentTable[[#This Row],[Created Date]]+IncidentTable[[#This Row],[Resolution Time (Days)]])</f>
        <v/>
      </c>
      <c r="J363" t="str">
        <f ca="1">IF(OR(IncidentTable[[#This Row],[Status]]="Resolved",IncidentTable[[#This Row],[Status]]="Closed"),RANDBETWEEN(1,120),"")</f>
        <v/>
      </c>
      <c r="K363" t="str">
        <f t="shared" ca="1" si="20"/>
        <v>In Progress</v>
      </c>
      <c r="L363" t="str" cm="1">
        <f t="array" aca="1" ref="L363" ca="1">INDEX(AnalystList,RANDBETWEEN(1,ROWS(AnalystList)))</f>
        <v>Morgan Davis</v>
      </c>
      <c r="M363" t="str" cm="1">
        <f t="array" aca="1" ref="M363" ca="1">INDEX(RootCauseList,RANDBETWEEN(1,ROWS(RootCauseList)))</f>
        <v>Network Failure</v>
      </c>
      <c r="N363">
        <f t="shared" ca="1" si="23"/>
        <v>13995.4</v>
      </c>
      <c r="O363" t="str">
        <f ca="1">IF(OR(IncidentTable[[#This Row],[Status]]="Resolved",IncidentTable[[#This Row],[Status]]="Closed"),
ROUND(IncidentTable[[#This Row],[Estimated Impact ($)]]*(1+RANDBETWEEN(-15,25)/100)+RAND(),2),
"")</f>
        <v/>
      </c>
      <c r="P363" t="str">
        <f ca="1">IF(IncidentTable[[#This Row],[Actual Impact ($)]]="","",ROUND(IncidentTable[[#This Row],[Actual Impact ($)]]-IncidentTable[[#This Row],[Estimated Impact ($)]],2))</f>
        <v/>
      </c>
      <c r="Q363" s="2" t="str">
        <f ca="1">IF(IncidentTable[[#This Row],[Actual Impact ($)]]="","",(IncidentTable[[#This Row],[Actual Impact ($)]]-IncidentTable[[#This Row],[Estimated Impact ($)]]) / IncidentTable[[#This Row],[Estimated Impact ($)]])</f>
        <v/>
      </c>
      <c r="R363" s="3">
        <f ca="1">IF(IncidentTable[[#This Row],[Priority]]="Critical",1,
IF(IncidentTable[[#This Row],[Priority]]="High",3,
IF(IncidentTable[[#This Row],[Priority]]="Medium",5,
IF(IncidentTable[[#This Row],[Priority]]="Low",10,""))))</f>
        <v>10</v>
      </c>
      <c r="S363" t="str">
        <f ca="1">IF(IncidentTable[[#This Row],[Resolution Time (Days)]]="","",
IF(IncidentTable[[#This Row],[Resolution Time (Days)]]&lt;=IncidentTable[[#This Row],[SLA Target (Days)]],"Yes","No"))</f>
        <v/>
      </c>
    </row>
    <row r="364" spans="1:19" x14ac:dyDescent="0.25">
      <c r="A364" t="str">
        <f t="shared" ca="1" si="21"/>
        <v>INC215576</v>
      </c>
      <c r="B364" t="str" cm="1">
        <f t="array" aca="1" ref="B364" ca="1">INDEX(SystemList,RANDBETWEEN(1,ROWS(SystemList)))</f>
        <v>Billing System</v>
      </c>
      <c r="C364" t="str" cm="1">
        <f t="array" aca="1" ref="C364" ca="1">INDEX(IssueTypeList,RANDBETWEEN(1,ROWS(IssueTypeList)))</f>
        <v>Integration Failure</v>
      </c>
      <c r="D364" t="str" cm="1">
        <f t="array" aca="1" ref="D364" ca="1">INDEX(PriorityList,RANDBETWEEN(1,ROWS(PriorityList)))</f>
        <v>Low</v>
      </c>
      <c r="E364" t="str" cm="1">
        <f t="array" aca="1" ref="E364" ca="1">INDEX(SeverityList,RANDBETWEEN(1,ROWS(SeverityList)))</f>
        <v>Critical</v>
      </c>
      <c r="F364" t="str" cm="1">
        <f t="array" aca="1" ref="F364" ca="1">INDEX(RegionList,RANDBETWEEN(1,ROWS(RegionList)))</f>
        <v>Southeast</v>
      </c>
      <c r="G364" t="str" cm="1">
        <f t="array" aca="1" ref="G364" ca="1">INDEX(DepartmentList,RANDBETWEEN(1,ROWS(DepartmentList)))</f>
        <v>Customer Service</v>
      </c>
      <c r="H364" s="1">
        <f t="shared" ca="1" si="22"/>
        <v>45216</v>
      </c>
      <c r="I364" s="4">
        <f ca="1">IF(IncidentTable[[#This Row],[Resolution Time (Days)]]="","",IncidentTable[[#This Row],[Created Date]]+IncidentTable[[#This Row],[Resolution Time (Days)]])</f>
        <v>45238</v>
      </c>
      <c r="J364">
        <f ca="1">IF(OR(IncidentTable[[#This Row],[Status]]="Resolved",IncidentTable[[#This Row],[Status]]="Closed"),RANDBETWEEN(1,120),"")</f>
        <v>22</v>
      </c>
      <c r="K364" t="str">
        <f t="shared" ca="1" si="20"/>
        <v>Closed</v>
      </c>
      <c r="L364" t="str" cm="1">
        <f t="array" aca="1" ref="L364" ca="1">INDEX(AnalystList,RANDBETWEEN(1,ROWS(AnalystList)))</f>
        <v>Alex Johnson</v>
      </c>
      <c r="M364" t="str" cm="1">
        <f t="array" aca="1" ref="M364" ca="1">INDEX(RootCauseList,RANDBETWEEN(1,ROWS(RootCauseList)))</f>
        <v>Configuration Issue</v>
      </c>
      <c r="N364">
        <f t="shared" ca="1" si="23"/>
        <v>74.239999999999995</v>
      </c>
      <c r="O364">
        <f ca="1">IF(OR(IncidentTable[[#This Row],[Status]]="Resolved",IncidentTable[[#This Row],[Status]]="Closed"),
ROUND(IncidentTable[[#This Row],[Estimated Impact ($)]]*(1+RANDBETWEEN(-15,25)/100)+RAND(),2),
"")</f>
        <v>89.94</v>
      </c>
      <c r="P364">
        <f ca="1">IF(IncidentTable[[#This Row],[Actual Impact ($)]]="","",ROUND(IncidentTable[[#This Row],[Actual Impact ($)]]-IncidentTable[[#This Row],[Estimated Impact ($)]],2))</f>
        <v>15.7</v>
      </c>
      <c r="Q364" s="2">
        <f ca="1">IF(IncidentTable[[#This Row],[Actual Impact ($)]]="","",(IncidentTable[[#This Row],[Actual Impact ($)]]-IncidentTable[[#This Row],[Estimated Impact ($)]]) / IncidentTable[[#This Row],[Estimated Impact ($)]])</f>
        <v>0.21147629310344832</v>
      </c>
      <c r="R364" s="3">
        <f ca="1">IF(IncidentTable[[#This Row],[Priority]]="Critical",1,
IF(IncidentTable[[#This Row],[Priority]]="High",3,
IF(IncidentTable[[#This Row],[Priority]]="Medium",5,
IF(IncidentTable[[#This Row],[Priority]]="Low",10,""))))</f>
        <v>10</v>
      </c>
      <c r="S364" t="str">
        <f ca="1">IF(IncidentTable[[#This Row],[Resolution Time (Days)]]="","",
IF(IncidentTable[[#This Row],[Resolution Time (Days)]]&lt;=IncidentTable[[#This Row],[SLA Target (Days)]],"Yes","No"))</f>
        <v>No</v>
      </c>
    </row>
    <row r="365" spans="1:19" x14ac:dyDescent="0.25">
      <c r="A365" t="str">
        <f t="shared" ca="1" si="21"/>
        <v>INC215256</v>
      </c>
      <c r="B365" t="str" cm="1">
        <f t="array" aca="1" ref="B365" ca="1">INDEX(SystemList,RANDBETWEEN(1,ROWS(SystemList)))</f>
        <v>Regulatory System</v>
      </c>
      <c r="C365" t="str" cm="1">
        <f t="array" aca="1" ref="C365" ca="1">INDEX(IssueTypeList,RANDBETWEEN(1,ROWS(IssueTypeList)))</f>
        <v>Performance Issue</v>
      </c>
      <c r="D365" t="str" cm="1">
        <f t="array" aca="1" ref="D365" ca="1">INDEX(PriorityList,RANDBETWEEN(1,ROWS(PriorityList)))</f>
        <v>Medium</v>
      </c>
      <c r="E365" t="str" cm="1">
        <f t="array" aca="1" ref="E365" ca="1">INDEX(SeverityList,RANDBETWEEN(1,ROWS(SeverityList)))</f>
        <v>Moderate</v>
      </c>
      <c r="F365" t="str" cm="1">
        <f t="array" aca="1" ref="F365" ca="1">INDEX(RegionList,RANDBETWEEN(1,ROWS(RegionList)))</f>
        <v>Central</v>
      </c>
      <c r="G365" t="str" cm="1">
        <f t="array" aca="1" ref="G365" ca="1">INDEX(DepartmentList,RANDBETWEEN(1,ROWS(DepartmentList)))</f>
        <v>IT</v>
      </c>
      <c r="H365" s="1">
        <f t="shared" ca="1" si="22"/>
        <v>45430</v>
      </c>
      <c r="I365" s="4">
        <f ca="1">IF(IncidentTable[[#This Row],[Resolution Time (Days)]]="","",IncidentTable[[#This Row],[Created Date]]+IncidentTable[[#This Row],[Resolution Time (Days)]])</f>
        <v>45442</v>
      </c>
      <c r="J365">
        <f ca="1">IF(OR(IncidentTable[[#This Row],[Status]]="Resolved",IncidentTable[[#This Row],[Status]]="Closed"),RANDBETWEEN(1,120),"")</f>
        <v>12</v>
      </c>
      <c r="K365" t="str">
        <f t="shared" ca="1" si="20"/>
        <v>Closed</v>
      </c>
      <c r="L365" t="str" cm="1">
        <f t="array" aca="1" ref="L365" ca="1">INDEX(AnalystList,RANDBETWEEN(1,ROWS(AnalystList)))</f>
        <v>Jordan Lee</v>
      </c>
      <c r="M365" t="str" cm="1">
        <f t="array" aca="1" ref="M365" ca="1">INDEX(RootCauseList,RANDBETWEEN(1,ROWS(RootCauseList)))</f>
        <v>Unknown</v>
      </c>
      <c r="N365">
        <f t="shared" ca="1" si="23"/>
        <v>20055.79</v>
      </c>
      <c r="O365">
        <f ca="1">IF(OR(IncidentTable[[#This Row],[Status]]="Resolved",IncidentTable[[#This Row],[Status]]="Closed"),
ROUND(IncidentTable[[#This Row],[Estimated Impact ($)]]*(1+RANDBETWEEN(-15,25)/100)+RAND(),2),
"")</f>
        <v>23666.240000000002</v>
      </c>
      <c r="P365">
        <f ca="1">IF(IncidentTable[[#This Row],[Actual Impact ($)]]="","",ROUND(IncidentTable[[#This Row],[Actual Impact ($)]]-IncidentTable[[#This Row],[Estimated Impact ($)]],2))</f>
        <v>3610.45</v>
      </c>
      <c r="Q365" s="2">
        <f ca="1">IF(IncidentTable[[#This Row],[Actual Impact ($)]]="","",(IncidentTable[[#This Row],[Actual Impact ($)]]-IncidentTable[[#This Row],[Estimated Impact ($)]]) / IncidentTable[[#This Row],[Estimated Impact ($)]])</f>
        <v>0.18002033328031458</v>
      </c>
      <c r="R365" s="3">
        <f ca="1">IF(IncidentTable[[#This Row],[Priority]]="Critical",1,
IF(IncidentTable[[#This Row],[Priority]]="High",3,
IF(IncidentTable[[#This Row],[Priority]]="Medium",5,
IF(IncidentTable[[#This Row],[Priority]]="Low",10,""))))</f>
        <v>5</v>
      </c>
      <c r="S365" t="str">
        <f ca="1">IF(IncidentTable[[#This Row],[Resolution Time (Days)]]="","",
IF(IncidentTable[[#This Row],[Resolution Time (Days)]]&lt;=IncidentTable[[#This Row],[SLA Target (Days)]],"Yes","No"))</f>
        <v>No</v>
      </c>
    </row>
    <row r="366" spans="1:19" x14ac:dyDescent="0.25">
      <c r="A366" t="str">
        <f t="shared" ca="1" si="21"/>
        <v>INC609885</v>
      </c>
      <c r="B366" t="str" cm="1">
        <f t="array" aca="1" ref="B366" ca="1">INDEX(SystemList,RANDBETWEEN(1,ROWS(SystemList)))</f>
        <v>Policy Admin System</v>
      </c>
      <c r="C366" t="str" cm="1">
        <f t="array" aca="1" ref="C366" ca="1">INDEX(IssueTypeList,RANDBETWEEN(1,ROWS(IssueTypeList)))</f>
        <v>Payment Failure</v>
      </c>
      <c r="D366" t="str" cm="1">
        <f t="array" aca="1" ref="D366" ca="1">INDEX(PriorityList,RANDBETWEEN(1,ROWS(PriorityList)))</f>
        <v>Medium</v>
      </c>
      <c r="E366" t="str" cm="1">
        <f t="array" aca="1" ref="E366" ca="1">INDEX(SeverityList,RANDBETWEEN(1,ROWS(SeverityList)))</f>
        <v>Critical</v>
      </c>
      <c r="F366" t="str" cm="1">
        <f t="array" aca="1" ref="F366" ca="1">INDEX(RegionList,RANDBETWEEN(1,ROWS(RegionList)))</f>
        <v>Southeast</v>
      </c>
      <c r="G366" t="str" cm="1">
        <f t="array" aca="1" ref="G366" ca="1">INDEX(DepartmentList,RANDBETWEEN(1,ROWS(DepartmentList)))</f>
        <v>Finance</v>
      </c>
      <c r="H366" s="1">
        <f t="shared" ca="1" si="22"/>
        <v>45207</v>
      </c>
      <c r="I366" s="4" t="str">
        <f ca="1">IF(IncidentTable[[#This Row],[Resolution Time (Days)]]="","",IncidentTable[[#This Row],[Created Date]]+IncidentTable[[#This Row],[Resolution Time (Days)]])</f>
        <v/>
      </c>
      <c r="J366" t="str">
        <f ca="1">IF(OR(IncidentTable[[#This Row],[Status]]="Resolved",IncidentTable[[#This Row],[Status]]="Closed"),RANDBETWEEN(1,120),"")</f>
        <v/>
      </c>
      <c r="K366" t="str">
        <f t="shared" ca="1" si="20"/>
        <v>In Progress</v>
      </c>
      <c r="L366" t="str" cm="1">
        <f t="array" aca="1" ref="L366" ca="1">INDEX(AnalystList,RANDBETWEEN(1,ROWS(AnalystList)))</f>
        <v>Alex Johnson</v>
      </c>
      <c r="M366" t="str" cm="1">
        <f t="array" aca="1" ref="M366" ca="1">INDEX(RootCauseList,RANDBETWEEN(1,ROWS(RootCauseList)))</f>
        <v>User Error</v>
      </c>
      <c r="N366">
        <f t="shared" ca="1" si="23"/>
        <v>68.53</v>
      </c>
      <c r="O366" t="str">
        <f ca="1">IF(OR(IncidentTable[[#This Row],[Status]]="Resolved",IncidentTable[[#This Row],[Status]]="Closed"),
ROUND(IncidentTable[[#This Row],[Estimated Impact ($)]]*(1+RANDBETWEEN(-15,25)/100)+RAND(),2),
"")</f>
        <v/>
      </c>
      <c r="P366" t="str">
        <f ca="1">IF(IncidentTable[[#This Row],[Actual Impact ($)]]="","",ROUND(IncidentTable[[#This Row],[Actual Impact ($)]]-IncidentTable[[#This Row],[Estimated Impact ($)]],2))</f>
        <v/>
      </c>
      <c r="Q366" s="2" t="str">
        <f ca="1">IF(IncidentTable[[#This Row],[Actual Impact ($)]]="","",(IncidentTable[[#This Row],[Actual Impact ($)]]-IncidentTable[[#This Row],[Estimated Impact ($)]]) / IncidentTable[[#This Row],[Estimated Impact ($)]])</f>
        <v/>
      </c>
      <c r="R366" s="3">
        <f ca="1">IF(IncidentTable[[#This Row],[Priority]]="Critical",1,
IF(IncidentTable[[#This Row],[Priority]]="High",3,
IF(IncidentTable[[#This Row],[Priority]]="Medium",5,
IF(IncidentTable[[#This Row],[Priority]]="Low",10,""))))</f>
        <v>5</v>
      </c>
      <c r="S366" t="str">
        <f ca="1">IF(IncidentTable[[#This Row],[Resolution Time (Days)]]="","",
IF(IncidentTable[[#This Row],[Resolution Time (Days)]]&lt;=IncidentTable[[#This Row],[SLA Target (Days)]],"Yes","No"))</f>
        <v/>
      </c>
    </row>
    <row r="367" spans="1:19" x14ac:dyDescent="0.25">
      <c r="A367" t="str">
        <f t="shared" ca="1" si="21"/>
        <v>INC231873</v>
      </c>
      <c r="B367" t="str" cm="1">
        <f t="array" aca="1" ref="B367" ca="1">INDEX(SystemList,RANDBETWEEN(1,ROWS(SystemList)))</f>
        <v>Regulatory System</v>
      </c>
      <c r="C367" t="str" cm="1">
        <f t="array" aca="1" ref="C367" ca="1">INDEX(IssueTypeList,RANDBETWEEN(1,ROWS(IssueTypeList)))</f>
        <v>Performance Issue</v>
      </c>
      <c r="D367" t="str" cm="1">
        <f t="array" aca="1" ref="D367" ca="1">INDEX(PriorityList,RANDBETWEEN(1,ROWS(PriorityList)))</f>
        <v>Low</v>
      </c>
      <c r="E367" t="str" cm="1">
        <f t="array" aca="1" ref="E367" ca="1">INDEX(SeverityList,RANDBETWEEN(1,ROWS(SeverityList)))</f>
        <v>Minor</v>
      </c>
      <c r="F367" t="str" cm="1">
        <f t="array" aca="1" ref="F367" ca="1">INDEX(RegionList,RANDBETWEEN(1,ROWS(RegionList)))</f>
        <v>Southeast</v>
      </c>
      <c r="G367" t="str" cm="1">
        <f t="array" aca="1" ref="G367" ca="1">INDEX(DepartmentList,RANDBETWEEN(1,ROWS(DepartmentList)))</f>
        <v>IT</v>
      </c>
      <c r="H367" s="1">
        <f t="shared" ca="1" si="22"/>
        <v>45038</v>
      </c>
      <c r="I367" s="4">
        <f ca="1">IF(IncidentTable[[#This Row],[Resolution Time (Days)]]="","",IncidentTable[[#This Row],[Created Date]]+IncidentTable[[#This Row],[Resolution Time (Days)]])</f>
        <v>45065</v>
      </c>
      <c r="J367">
        <f ca="1">IF(OR(IncidentTable[[#This Row],[Status]]="Resolved",IncidentTable[[#This Row],[Status]]="Closed"),RANDBETWEEN(1,120),"")</f>
        <v>27</v>
      </c>
      <c r="K367" t="str">
        <f t="shared" ca="1" si="20"/>
        <v>Closed</v>
      </c>
      <c r="L367" t="str" cm="1">
        <f t="array" aca="1" ref="L367" ca="1">INDEX(AnalystList,RANDBETWEEN(1,ROWS(AnalystList)))</f>
        <v>Morgan Davis</v>
      </c>
      <c r="M367" t="str" cm="1">
        <f t="array" aca="1" ref="M367" ca="1">INDEX(RootCauseList,RANDBETWEEN(1,ROWS(RootCauseList)))</f>
        <v>Process Gap</v>
      </c>
      <c r="N367">
        <f t="shared" ca="1" si="23"/>
        <v>164.2</v>
      </c>
      <c r="O367">
        <f ca="1">IF(OR(IncidentTable[[#This Row],[Status]]="Resolved",IncidentTable[[#This Row],[Status]]="Closed"),
ROUND(IncidentTable[[#This Row],[Estimated Impact ($)]]*(1+RANDBETWEEN(-15,25)/100)+RAND(),2),
"")</f>
        <v>198.03</v>
      </c>
      <c r="P367">
        <f ca="1">IF(IncidentTable[[#This Row],[Actual Impact ($)]]="","",ROUND(IncidentTable[[#This Row],[Actual Impact ($)]]-IncidentTable[[#This Row],[Estimated Impact ($)]],2))</f>
        <v>33.83</v>
      </c>
      <c r="Q367" s="2">
        <f ca="1">IF(IncidentTable[[#This Row],[Actual Impact ($)]]="","",(IncidentTable[[#This Row],[Actual Impact ($)]]-IncidentTable[[#This Row],[Estimated Impact ($)]]) / IncidentTable[[#This Row],[Estimated Impact ($)]])</f>
        <v>0.20602923264311823</v>
      </c>
      <c r="R367" s="3">
        <f ca="1">IF(IncidentTable[[#This Row],[Priority]]="Critical",1,
IF(IncidentTable[[#This Row],[Priority]]="High",3,
IF(IncidentTable[[#This Row],[Priority]]="Medium",5,
IF(IncidentTable[[#This Row],[Priority]]="Low",10,""))))</f>
        <v>10</v>
      </c>
      <c r="S367" t="str">
        <f ca="1">IF(IncidentTable[[#This Row],[Resolution Time (Days)]]="","",
IF(IncidentTable[[#This Row],[Resolution Time (Days)]]&lt;=IncidentTable[[#This Row],[SLA Target (Days)]],"Yes","No"))</f>
        <v>No</v>
      </c>
    </row>
    <row r="368" spans="1:19" x14ac:dyDescent="0.25">
      <c r="A368" t="str">
        <f t="shared" ca="1" si="21"/>
        <v>INC374965</v>
      </c>
      <c r="B368" t="str" cm="1">
        <f t="array" aca="1" ref="B368" ca="1">INDEX(SystemList,RANDBETWEEN(1,ROWS(SystemList)))</f>
        <v>Policy Admin System</v>
      </c>
      <c r="C368" t="str" cm="1">
        <f t="array" aca="1" ref="C368" ca="1">INDEX(IssueTypeList,RANDBETWEEN(1,ROWS(IssueTypeList)))</f>
        <v>Integration Failure</v>
      </c>
      <c r="D368" t="str" cm="1">
        <f t="array" aca="1" ref="D368" ca="1">INDEX(PriorityList,RANDBETWEEN(1,ROWS(PriorityList)))</f>
        <v>Medium</v>
      </c>
      <c r="E368" t="str" cm="1">
        <f t="array" aca="1" ref="E368" ca="1">INDEX(SeverityList,RANDBETWEEN(1,ROWS(SeverityList)))</f>
        <v>Minor</v>
      </c>
      <c r="F368" t="str" cm="1">
        <f t="array" aca="1" ref="F368" ca="1">INDEX(RegionList,RANDBETWEEN(1,ROWS(RegionList)))</f>
        <v>Central</v>
      </c>
      <c r="G368" t="str" cm="1">
        <f t="array" aca="1" ref="G368" ca="1">INDEX(DepartmentList,RANDBETWEEN(1,ROWS(DepartmentList)))</f>
        <v>IT</v>
      </c>
      <c r="H368" s="1">
        <f t="shared" ca="1" si="22"/>
        <v>45367</v>
      </c>
      <c r="I368" s="4" t="str">
        <f ca="1">IF(IncidentTable[[#This Row],[Resolution Time (Days)]]="","",IncidentTable[[#This Row],[Created Date]]+IncidentTable[[#This Row],[Resolution Time (Days)]])</f>
        <v/>
      </c>
      <c r="J368" t="str">
        <f ca="1">IF(OR(IncidentTable[[#This Row],[Status]]="Resolved",IncidentTable[[#This Row],[Status]]="Closed"),RANDBETWEEN(1,120),"")</f>
        <v/>
      </c>
      <c r="K368" t="str">
        <f t="shared" ca="1" si="20"/>
        <v>In Progress</v>
      </c>
      <c r="L368" t="str" cm="1">
        <f t="array" aca="1" ref="L368" ca="1">INDEX(AnalystList,RANDBETWEEN(1,ROWS(AnalystList)))</f>
        <v>Alex Johnson</v>
      </c>
      <c r="M368" t="str" cm="1">
        <f t="array" aca="1" ref="M368" ca="1">INDEX(RootCauseList,RANDBETWEEN(1,ROWS(RootCauseList)))</f>
        <v>Process Gap</v>
      </c>
      <c r="N368">
        <f t="shared" ca="1" si="23"/>
        <v>5511.62</v>
      </c>
      <c r="O368" t="str">
        <f ca="1">IF(OR(IncidentTable[[#This Row],[Status]]="Resolved",IncidentTable[[#This Row],[Status]]="Closed"),
ROUND(IncidentTable[[#This Row],[Estimated Impact ($)]]*(1+RANDBETWEEN(-15,25)/100)+RAND(),2),
"")</f>
        <v/>
      </c>
      <c r="P368" t="str">
        <f ca="1">IF(IncidentTable[[#This Row],[Actual Impact ($)]]="","",ROUND(IncidentTable[[#This Row],[Actual Impact ($)]]-IncidentTable[[#This Row],[Estimated Impact ($)]],2))</f>
        <v/>
      </c>
      <c r="Q368" s="2" t="str">
        <f ca="1">IF(IncidentTable[[#This Row],[Actual Impact ($)]]="","",(IncidentTable[[#This Row],[Actual Impact ($)]]-IncidentTable[[#This Row],[Estimated Impact ($)]]) / IncidentTable[[#This Row],[Estimated Impact ($)]])</f>
        <v/>
      </c>
      <c r="R368" s="3">
        <f ca="1">IF(IncidentTable[[#This Row],[Priority]]="Critical",1,
IF(IncidentTable[[#This Row],[Priority]]="High",3,
IF(IncidentTable[[#This Row],[Priority]]="Medium",5,
IF(IncidentTable[[#This Row],[Priority]]="Low",10,""))))</f>
        <v>5</v>
      </c>
      <c r="S368" t="str">
        <f ca="1">IF(IncidentTable[[#This Row],[Resolution Time (Days)]]="","",
IF(IncidentTable[[#This Row],[Resolution Time (Days)]]&lt;=IncidentTable[[#This Row],[SLA Target (Days)]],"Yes","No"))</f>
        <v/>
      </c>
    </row>
    <row r="369" spans="1:19" x14ac:dyDescent="0.25">
      <c r="A369" t="str">
        <f t="shared" ca="1" si="21"/>
        <v>INC339990</v>
      </c>
      <c r="B369" t="str" cm="1">
        <f t="array" aca="1" ref="B369" ca="1">INDEX(SystemList,RANDBETWEEN(1,ROWS(SystemList)))</f>
        <v>Reporting System</v>
      </c>
      <c r="C369" t="str" cm="1">
        <f t="array" aca="1" ref="C369" ca="1">INDEX(IssueTypeList,RANDBETWEEN(1,ROWS(IssueTypeList)))</f>
        <v>Data Issue</v>
      </c>
      <c r="D369" t="str" cm="1">
        <f t="array" aca="1" ref="D369" ca="1">INDEX(PriorityList,RANDBETWEEN(1,ROWS(PriorityList)))</f>
        <v>Low</v>
      </c>
      <c r="E369" t="str" cm="1">
        <f t="array" aca="1" ref="E369" ca="1">INDEX(SeverityList,RANDBETWEEN(1,ROWS(SeverityList)))</f>
        <v>Critical</v>
      </c>
      <c r="F369" t="str" cm="1">
        <f t="array" aca="1" ref="F369" ca="1">INDEX(RegionList,RANDBETWEEN(1,ROWS(RegionList)))</f>
        <v>West</v>
      </c>
      <c r="G369" t="str" cm="1">
        <f t="array" aca="1" ref="G369" ca="1">INDEX(DepartmentList,RANDBETWEEN(1,ROWS(DepartmentList)))</f>
        <v>Customer Service</v>
      </c>
      <c r="H369" s="1">
        <f t="shared" ca="1" si="22"/>
        <v>45306</v>
      </c>
      <c r="I369" s="4">
        <f ca="1">IF(IncidentTable[[#This Row],[Resolution Time (Days)]]="","",IncidentTable[[#This Row],[Created Date]]+IncidentTable[[#This Row],[Resolution Time (Days)]])</f>
        <v>45343</v>
      </c>
      <c r="J369">
        <f ca="1">IF(OR(IncidentTable[[#This Row],[Status]]="Resolved",IncidentTable[[#This Row],[Status]]="Closed"),RANDBETWEEN(1,120),"")</f>
        <v>37</v>
      </c>
      <c r="K369" t="str">
        <f t="shared" ca="1" si="20"/>
        <v>Resolved</v>
      </c>
      <c r="L369" t="str" cm="1">
        <f t="array" aca="1" ref="L369" ca="1">INDEX(AnalystList,RANDBETWEEN(1,ROWS(AnalystList)))</f>
        <v>Casey Brown</v>
      </c>
      <c r="M369" t="str" cm="1">
        <f t="array" aca="1" ref="M369" ca="1">INDEX(RootCauseList,RANDBETWEEN(1,ROWS(RootCauseList)))</f>
        <v>Network Failure</v>
      </c>
      <c r="N369">
        <f t="shared" ca="1" si="23"/>
        <v>5.67</v>
      </c>
      <c r="O369">
        <f ca="1">IF(OR(IncidentTable[[#This Row],[Status]]="Resolved",IncidentTable[[#This Row],[Status]]="Closed"),
ROUND(IncidentTable[[#This Row],[Estimated Impact ($)]]*(1+RANDBETWEEN(-15,25)/100)+RAND(),2),
"")</f>
        <v>5.87</v>
      </c>
      <c r="P369">
        <f ca="1">IF(IncidentTable[[#This Row],[Actual Impact ($)]]="","",ROUND(IncidentTable[[#This Row],[Actual Impact ($)]]-IncidentTable[[#This Row],[Estimated Impact ($)]],2))</f>
        <v>0.2</v>
      </c>
      <c r="Q369" s="2">
        <f ca="1">IF(IncidentTable[[#This Row],[Actual Impact ($)]]="","",(IncidentTable[[#This Row],[Actual Impact ($)]]-IncidentTable[[#This Row],[Estimated Impact ($)]]) / IncidentTable[[#This Row],[Estimated Impact ($)]])</f>
        <v>3.5273368606701973E-2</v>
      </c>
      <c r="R369" s="3">
        <f ca="1">IF(IncidentTable[[#This Row],[Priority]]="Critical",1,
IF(IncidentTable[[#This Row],[Priority]]="High",3,
IF(IncidentTable[[#This Row],[Priority]]="Medium",5,
IF(IncidentTable[[#This Row],[Priority]]="Low",10,""))))</f>
        <v>10</v>
      </c>
      <c r="S369" t="str">
        <f ca="1">IF(IncidentTable[[#This Row],[Resolution Time (Days)]]="","",
IF(IncidentTable[[#This Row],[Resolution Time (Days)]]&lt;=IncidentTable[[#This Row],[SLA Target (Days)]],"Yes","No"))</f>
        <v>No</v>
      </c>
    </row>
    <row r="370" spans="1:19" x14ac:dyDescent="0.25">
      <c r="A370" t="str">
        <f t="shared" ca="1" si="21"/>
        <v>INC156069</v>
      </c>
      <c r="B370" t="str" cm="1">
        <f t="array" aca="1" ref="B370" ca="1">INDEX(SystemList,RANDBETWEEN(1,ROWS(SystemList)))</f>
        <v>Reporting System</v>
      </c>
      <c r="C370" t="str" cm="1">
        <f t="array" aca="1" ref="C370" ca="1">INDEX(IssueTypeList,RANDBETWEEN(1,ROWS(IssueTypeList)))</f>
        <v>Complaint</v>
      </c>
      <c r="D370" t="str" cm="1">
        <f t="array" aca="1" ref="D370" ca="1">INDEX(PriorityList,RANDBETWEEN(1,ROWS(PriorityList)))</f>
        <v>Low</v>
      </c>
      <c r="E370" t="str" cm="1">
        <f t="array" aca="1" ref="E370" ca="1">INDEX(SeverityList,RANDBETWEEN(1,ROWS(SeverityList)))</f>
        <v>Critical</v>
      </c>
      <c r="F370" t="str" cm="1">
        <f t="array" aca="1" ref="F370" ca="1">INDEX(RegionList,RANDBETWEEN(1,ROWS(RegionList)))</f>
        <v>East</v>
      </c>
      <c r="G370" t="str" cm="1">
        <f t="array" aca="1" ref="G370" ca="1">INDEX(DepartmentList,RANDBETWEEN(1,ROWS(DepartmentList)))</f>
        <v>Claims</v>
      </c>
      <c r="H370" s="1">
        <f t="shared" ca="1" si="22"/>
        <v>45092</v>
      </c>
      <c r="I370" s="4" t="str">
        <f ca="1">IF(IncidentTable[[#This Row],[Resolution Time (Days)]]="","",IncidentTable[[#This Row],[Created Date]]+IncidentTable[[#This Row],[Resolution Time (Days)]])</f>
        <v/>
      </c>
      <c r="J370" t="str">
        <f ca="1">IF(OR(IncidentTable[[#This Row],[Status]]="Resolved",IncidentTable[[#This Row],[Status]]="Closed"),RANDBETWEEN(1,120),"")</f>
        <v/>
      </c>
      <c r="K370" t="str">
        <f t="shared" ca="1" si="20"/>
        <v>Open</v>
      </c>
      <c r="L370" t="str" cm="1">
        <f t="array" aca="1" ref="L370" ca="1">INDEX(AnalystList,RANDBETWEEN(1,ROWS(AnalystList)))</f>
        <v>Riley Wilson</v>
      </c>
      <c r="M370" t="str" cm="1">
        <f t="array" aca="1" ref="M370" ca="1">INDEX(RootCauseList,RANDBETWEEN(1,ROWS(RootCauseList)))</f>
        <v>Process Gap</v>
      </c>
      <c r="N370">
        <f t="shared" ca="1" si="23"/>
        <v>7.68</v>
      </c>
      <c r="O370" t="str">
        <f ca="1">IF(OR(IncidentTable[[#This Row],[Status]]="Resolved",IncidentTable[[#This Row],[Status]]="Closed"),
ROUND(IncidentTable[[#This Row],[Estimated Impact ($)]]*(1+RANDBETWEEN(-15,25)/100)+RAND(),2),
"")</f>
        <v/>
      </c>
      <c r="P370" t="str">
        <f ca="1">IF(IncidentTable[[#This Row],[Actual Impact ($)]]="","",ROUND(IncidentTable[[#This Row],[Actual Impact ($)]]-IncidentTable[[#This Row],[Estimated Impact ($)]],2))</f>
        <v/>
      </c>
      <c r="Q370" s="2" t="str">
        <f ca="1">IF(IncidentTable[[#This Row],[Actual Impact ($)]]="","",(IncidentTable[[#This Row],[Actual Impact ($)]]-IncidentTable[[#This Row],[Estimated Impact ($)]]) / IncidentTable[[#This Row],[Estimated Impact ($)]])</f>
        <v/>
      </c>
      <c r="R370" s="3">
        <f ca="1">IF(IncidentTable[[#This Row],[Priority]]="Critical",1,
IF(IncidentTable[[#This Row],[Priority]]="High",3,
IF(IncidentTable[[#This Row],[Priority]]="Medium",5,
IF(IncidentTable[[#This Row],[Priority]]="Low",10,""))))</f>
        <v>10</v>
      </c>
      <c r="S370" t="str">
        <f ca="1">IF(IncidentTable[[#This Row],[Resolution Time (Days)]]="","",
IF(IncidentTable[[#This Row],[Resolution Time (Days)]]&lt;=IncidentTable[[#This Row],[SLA Target (Days)]],"Yes","No"))</f>
        <v/>
      </c>
    </row>
    <row r="371" spans="1:19" x14ac:dyDescent="0.25">
      <c r="A371" t="str">
        <f t="shared" ca="1" si="21"/>
        <v>INC752063</v>
      </c>
      <c r="B371" t="str" cm="1">
        <f t="array" aca="1" ref="B371" ca="1">INDEX(SystemList,RANDBETWEEN(1,ROWS(SystemList)))</f>
        <v>Payment Processing</v>
      </c>
      <c r="C371" t="str" cm="1">
        <f t="array" aca="1" ref="C371" ca="1">INDEX(IssueTypeList,RANDBETWEEN(1,ROWS(IssueTypeList)))</f>
        <v>Processing Delay</v>
      </c>
      <c r="D371" t="str" cm="1">
        <f t="array" aca="1" ref="D371" ca="1">INDEX(PriorityList,RANDBETWEEN(1,ROWS(PriorityList)))</f>
        <v>High</v>
      </c>
      <c r="E371" t="str" cm="1">
        <f t="array" aca="1" ref="E371" ca="1">INDEX(SeverityList,RANDBETWEEN(1,ROWS(SeverityList)))</f>
        <v>Critical</v>
      </c>
      <c r="F371" t="str" cm="1">
        <f t="array" aca="1" ref="F371" ca="1">INDEX(RegionList,RANDBETWEEN(1,ROWS(RegionList)))</f>
        <v>East</v>
      </c>
      <c r="G371" t="str" cm="1">
        <f t="array" aca="1" ref="G371" ca="1">INDEX(DepartmentList,RANDBETWEEN(1,ROWS(DepartmentList)))</f>
        <v>Compliance</v>
      </c>
      <c r="H371" s="1">
        <f t="shared" ca="1" si="22"/>
        <v>45184</v>
      </c>
      <c r="I371" s="4">
        <f ca="1">IF(IncidentTable[[#This Row],[Resolution Time (Days)]]="","",IncidentTable[[#This Row],[Created Date]]+IncidentTable[[#This Row],[Resolution Time (Days)]])</f>
        <v>45304</v>
      </c>
      <c r="J371">
        <f ca="1">IF(OR(IncidentTable[[#This Row],[Status]]="Resolved",IncidentTable[[#This Row],[Status]]="Closed"),RANDBETWEEN(1,120),"")</f>
        <v>120</v>
      </c>
      <c r="K371" t="str">
        <f t="shared" ca="1" si="20"/>
        <v>Closed</v>
      </c>
      <c r="L371" t="str" cm="1">
        <f t="array" aca="1" ref="L371" ca="1">INDEX(AnalystList,RANDBETWEEN(1,ROWS(AnalystList)))</f>
        <v>Morgan Davis</v>
      </c>
      <c r="M371" t="str" cm="1">
        <f t="array" aca="1" ref="M371" ca="1">INDEX(RootCauseList,RANDBETWEEN(1,ROWS(RootCauseList)))</f>
        <v>User Error</v>
      </c>
      <c r="N371">
        <f t="shared" ca="1" si="23"/>
        <v>5965.95</v>
      </c>
      <c r="O371">
        <f ca="1">IF(OR(IncidentTable[[#This Row],[Status]]="Resolved",IncidentTable[[#This Row],[Status]]="Closed"),
ROUND(IncidentTable[[#This Row],[Estimated Impact ($)]]*(1+RANDBETWEEN(-15,25)/100)+RAND(),2),
"")</f>
        <v>7099.71</v>
      </c>
      <c r="P371">
        <f ca="1">IF(IncidentTable[[#This Row],[Actual Impact ($)]]="","",ROUND(IncidentTable[[#This Row],[Actual Impact ($)]]-IncidentTable[[#This Row],[Estimated Impact ($)]],2))</f>
        <v>1133.76</v>
      </c>
      <c r="Q371" s="2">
        <f ca="1">IF(IncidentTable[[#This Row],[Actual Impact ($)]]="","",(IncidentTable[[#This Row],[Actual Impact ($)]]-IncidentTable[[#This Row],[Estimated Impact ($)]]) / IncidentTable[[#This Row],[Estimated Impact ($)]])</f>
        <v>0.19003846830764592</v>
      </c>
      <c r="R371" s="3">
        <f ca="1">IF(IncidentTable[[#This Row],[Priority]]="Critical",1,
IF(IncidentTable[[#This Row],[Priority]]="High",3,
IF(IncidentTable[[#This Row],[Priority]]="Medium",5,
IF(IncidentTable[[#This Row],[Priority]]="Low",10,""))))</f>
        <v>3</v>
      </c>
      <c r="S371" t="str">
        <f ca="1">IF(IncidentTable[[#This Row],[Resolution Time (Days)]]="","",
IF(IncidentTable[[#This Row],[Resolution Time (Days)]]&lt;=IncidentTable[[#This Row],[SLA Target (Days)]],"Yes","No"))</f>
        <v>No</v>
      </c>
    </row>
    <row r="372" spans="1:19" x14ac:dyDescent="0.25">
      <c r="A372" t="str">
        <f t="shared" ca="1" si="21"/>
        <v>INC596448</v>
      </c>
      <c r="B372" t="str" cm="1">
        <f t="array" aca="1" ref="B372" ca="1">INDEX(SystemList,RANDBETWEEN(1,ROWS(SystemList)))</f>
        <v>Claims System</v>
      </c>
      <c r="C372" t="str" cm="1">
        <f t="array" aca="1" ref="C372" ca="1">INDEX(IssueTypeList,RANDBETWEEN(1,ROWS(IssueTypeList)))</f>
        <v>Data Issue</v>
      </c>
      <c r="D372" t="str" cm="1">
        <f t="array" aca="1" ref="D372" ca="1">INDEX(PriorityList,RANDBETWEEN(1,ROWS(PriorityList)))</f>
        <v>High</v>
      </c>
      <c r="E372" t="str" cm="1">
        <f t="array" aca="1" ref="E372" ca="1">INDEX(SeverityList,RANDBETWEEN(1,ROWS(SeverityList)))</f>
        <v>Major</v>
      </c>
      <c r="F372" t="str" cm="1">
        <f t="array" aca="1" ref="F372" ca="1">INDEX(RegionList,RANDBETWEEN(1,ROWS(RegionList)))</f>
        <v>Central</v>
      </c>
      <c r="G372" t="str" cm="1">
        <f t="array" aca="1" ref="G372" ca="1">INDEX(DepartmentList,RANDBETWEEN(1,ROWS(DepartmentList)))</f>
        <v>Finance</v>
      </c>
      <c r="H372" s="1">
        <f t="shared" ca="1" si="22"/>
        <v>45344</v>
      </c>
      <c r="I372" s="4">
        <f ca="1">IF(IncidentTable[[#This Row],[Resolution Time (Days)]]="","",IncidentTable[[#This Row],[Created Date]]+IncidentTable[[#This Row],[Resolution Time (Days)]])</f>
        <v>45443</v>
      </c>
      <c r="J372">
        <f ca="1">IF(OR(IncidentTable[[#This Row],[Status]]="Resolved",IncidentTable[[#This Row],[Status]]="Closed"),RANDBETWEEN(1,120),"")</f>
        <v>99</v>
      </c>
      <c r="K372" t="str">
        <f t="shared" ca="1" si="20"/>
        <v>Closed</v>
      </c>
      <c r="L372" t="str" cm="1">
        <f t="array" aca="1" ref="L372" ca="1">INDEX(AnalystList,RANDBETWEEN(1,ROWS(AnalystList)))</f>
        <v>Alex Johnson</v>
      </c>
      <c r="M372" t="str" cm="1">
        <f t="array" aca="1" ref="M372" ca="1">INDEX(RootCauseList,RANDBETWEEN(1,ROWS(RootCauseList)))</f>
        <v>Network Failure</v>
      </c>
      <c r="N372">
        <f t="shared" ca="1" si="23"/>
        <v>18.760000000000002</v>
      </c>
      <c r="O372">
        <f ca="1">IF(OR(IncidentTable[[#This Row],[Status]]="Resolved",IncidentTable[[#This Row],[Status]]="Closed"),
ROUND(IncidentTable[[#This Row],[Estimated Impact ($)]]*(1+RANDBETWEEN(-15,25)/100)+RAND(),2),
"")</f>
        <v>17.149999999999999</v>
      </c>
      <c r="P372">
        <f ca="1">IF(IncidentTable[[#This Row],[Actual Impact ($)]]="","",ROUND(IncidentTable[[#This Row],[Actual Impact ($)]]-IncidentTable[[#This Row],[Estimated Impact ($)]],2))</f>
        <v>-1.61</v>
      </c>
      <c r="Q372" s="2">
        <f ca="1">IF(IncidentTable[[#This Row],[Actual Impact ($)]]="","",(IncidentTable[[#This Row],[Actual Impact ($)]]-IncidentTable[[#This Row],[Estimated Impact ($)]]) / IncidentTable[[#This Row],[Estimated Impact ($)]])</f>
        <v>-8.582089552238821E-2</v>
      </c>
      <c r="R372" s="3">
        <f ca="1">IF(IncidentTable[[#This Row],[Priority]]="Critical",1,
IF(IncidentTable[[#This Row],[Priority]]="High",3,
IF(IncidentTable[[#This Row],[Priority]]="Medium",5,
IF(IncidentTable[[#This Row],[Priority]]="Low",10,""))))</f>
        <v>3</v>
      </c>
      <c r="S372" t="str">
        <f ca="1">IF(IncidentTable[[#This Row],[Resolution Time (Days)]]="","",
IF(IncidentTable[[#This Row],[Resolution Time (Days)]]&lt;=IncidentTable[[#This Row],[SLA Target (Days)]],"Yes","No"))</f>
        <v>No</v>
      </c>
    </row>
    <row r="373" spans="1:19" x14ac:dyDescent="0.25">
      <c r="A373" t="str">
        <f t="shared" ca="1" si="21"/>
        <v>INC518801</v>
      </c>
      <c r="B373" t="str" cm="1">
        <f t="array" aca="1" ref="B373" ca="1">INDEX(SystemList,RANDBETWEEN(1,ROWS(SystemList)))</f>
        <v>Claims System</v>
      </c>
      <c r="C373" t="str" cm="1">
        <f t="array" aca="1" ref="C373" ca="1">INDEX(IssueTypeList,RANDBETWEEN(1,ROWS(IssueTypeList)))</f>
        <v>Performance Issue</v>
      </c>
      <c r="D373" t="str" cm="1">
        <f t="array" aca="1" ref="D373" ca="1">INDEX(PriorityList,RANDBETWEEN(1,ROWS(PriorityList)))</f>
        <v>Low</v>
      </c>
      <c r="E373" t="str" cm="1">
        <f t="array" aca="1" ref="E373" ca="1">INDEX(SeverityList,RANDBETWEEN(1,ROWS(SeverityList)))</f>
        <v>Moderate</v>
      </c>
      <c r="F373" t="str" cm="1">
        <f t="array" aca="1" ref="F373" ca="1">INDEX(RegionList,RANDBETWEEN(1,ROWS(RegionList)))</f>
        <v>West</v>
      </c>
      <c r="G373" t="str" cm="1">
        <f t="array" aca="1" ref="G373" ca="1">INDEX(DepartmentList,RANDBETWEEN(1,ROWS(DepartmentList)))</f>
        <v>Customer Service</v>
      </c>
      <c r="H373" s="1">
        <f t="shared" ca="1" si="22"/>
        <v>45383</v>
      </c>
      <c r="I373" s="4">
        <f ca="1">IF(IncidentTable[[#This Row],[Resolution Time (Days)]]="","",IncidentTable[[#This Row],[Created Date]]+IncidentTable[[#This Row],[Resolution Time (Days)]])</f>
        <v>45433</v>
      </c>
      <c r="J373">
        <f ca="1">IF(OR(IncidentTable[[#This Row],[Status]]="Resolved",IncidentTable[[#This Row],[Status]]="Closed"),RANDBETWEEN(1,120),"")</f>
        <v>50</v>
      </c>
      <c r="K373" t="str">
        <f t="shared" ca="1" si="20"/>
        <v>Resolved</v>
      </c>
      <c r="L373" t="str" cm="1">
        <f t="array" aca="1" ref="L373" ca="1">INDEX(AnalystList,RANDBETWEEN(1,ROWS(AnalystList)))</f>
        <v>Taylor Smith</v>
      </c>
      <c r="M373" t="str" cm="1">
        <f t="array" aca="1" ref="M373" ca="1">INDEX(RootCauseList,RANDBETWEEN(1,ROWS(RootCauseList)))</f>
        <v>Integration Failure</v>
      </c>
      <c r="N373">
        <f t="shared" ca="1" si="23"/>
        <v>6.62</v>
      </c>
      <c r="O373">
        <f ca="1">IF(OR(IncidentTable[[#This Row],[Status]]="Resolved",IncidentTable[[#This Row],[Status]]="Closed"),
ROUND(IncidentTable[[#This Row],[Estimated Impact ($)]]*(1+RANDBETWEEN(-15,25)/100)+RAND(),2),
"")</f>
        <v>6.75</v>
      </c>
      <c r="P373">
        <f ca="1">IF(IncidentTable[[#This Row],[Actual Impact ($)]]="","",ROUND(IncidentTable[[#This Row],[Actual Impact ($)]]-IncidentTable[[#This Row],[Estimated Impact ($)]],2))</f>
        <v>0.13</v>
      </c>
      <c r="Q373" s="2">
        <f ca="1">IF(IncidentTable[[#This Row],[Actual Impact ($)]]="","",(IncidentTable[[#This Row],[Actual Impact ($)]]-IncidentTable[[#This Row],[Estimated Impact ($)]]) / IncidentTable[[#This Row],[Estimated Impact ($)]])</f>
        <v>1.9637462235649529E-2</v>
      </c>
      <c r="R373" s="3">
        <f ca="1">IF(IncidentTable[[#This Row],[Priority]]="Critical",1,
IF(IncidentTable[[#This Row],[Priority]]="High",3,
IF(IncidentTable[[#This Row],[Priority]]="Medium",5,
IF(IncidentTable[[#This Row],[Priority]]="Low",10,""))))</f>
        <v>10</v>
      </c>
      <c r="S373" t="str">
        <f ca="1">IF(IncidentTable[[#This Row],[Resolution Time (Days)]]="","",
IF(IncidentTable[[#This Row],[Resolution Time (Days)]]&lt;=IncidentTable[[#This Row],[SLA Target (Days)]],"Yes","No"))</f>
        <v>No</v>
      </c>
    </row>
    <row r="374" spans="1:19" x14ac:dyDescent="0.25">
      <c r="A374" t="str">
        <f t="shared" ca="1" si="21"/>
        <v>INC163900</v>
      </c>
      <c r="B374" t="str" cm="1">
        <f t="array" aca="1" ref="B374" ca="1">INDEX(SystemList,RANDBETWEEN(1,ROWS(SystemList)))</f>
        <v>Claims System</v>
      </c>
      <c r="C374" t="str" cm="1">
        <f t="array" aca="1" ref="C374" ca="1">INDEX(IssueTypeList,RANDBETWEEN(1,ROWS(IssueTypeList)))</f>
        <v>Complaint</v>
      </c>
      <c r="D374" t="str" cm="1">
        <f t="array" aca="1" ref="D374" ca="1">INDEX(PriorityList,RANDBETWEEN(1,ROWS(PriorityList)))</f>
        <v>Critical</v>
      </c>
      <c r="E374" t="str" cm="1">
        <f t="array" aca="1" ref="E374" ca="1">INDEX(SeverityList,RANDBETWEEN(1,ROWS(SeverityList)))</f>
        <v>Moderate</v>
      </c>
      <c r="F374" t="str" cm="1">
        <f t="array" aca="1" ref="F374" ca="1">INDEX(RegionList,RANDBETWEEN(1,ROWS(RegionList)))</f>
        <v>West</v>
      </c>
      <c r="G374" t="str" cm="1">
        <f t="array" aca="1" ref="G374" ca="1">INDEX(DepartmentList,RANDBETWEEN(1,ROWS(DepartmentList)))</f>
        <v>Customer Service</v>
      </c>
      <c r="H374" s="1">
        <f t="shared" ca="1" si="22"/>
        <v>45292</v>
      </c>
      <c r="I374" s="4" t="str">
        <f ca="1">IF(IncidentTable[[#This Row],[Resolution Time (Days)]]="","",IncidentTable[[#This Row],[Created Date]]+IncidentTable[[#This Row],[Resolution Time (Days)]])</f>
        <v/>
      </c>
      <c r="J374" t="str">
        <f ca="1">IF(OR(IncidentTable[[#This Row],[Status]]="Resolved",IncidentTable[[#This Row],[Status]]="Closed"),RANDBETWEEN(1,120),"")</f>
        <v/>
      </c>
      <c r="K374" t="str">
        <f t="shared" ca="1" si="20"/>
        <v>Pending</v>
      </c>
      <c r="L374" t="str" cm="1">
        <f t="array" aca="1" ref="L374" ca="1">INDEX(AnalystList,RANDBETWEEN(1,ROWS(AnalystList)))</f>
        <v>Riley Wilson</v>
      </c>
      <c r="M374" t="str" cm="1">
        <f t="array" aca="1" ref="M374" ca="1">INDEX(RootCauseList,RANDBETWEEN(1,ROWS(RootCauseList)))</f>
        <v>Configuration Issue</v>
      </c>
      <c r="N374">
        <f t="shared" ca="1" si="23"/>
        <v>4215.08</v>
      </c>
      <c r="O374" t="str">
        <f ca="1">IF(OR(IncidentTable[[#This Row],[Status]]="Resolved",IncidentTable[[#This Row],[Status]]="Closed"),
ROUND(IncidentTable[[#This Row],[Estimated Impact ($)]]*(1+RANDBETWEEN(-15,25)/100)+RAND(),2),
"")</f>
        <v/>
      </c>
      <c r="P374" t="str">
        <f ca="1">IF(IncidentTable[[#This Row],[Actual Impact ($)]]="","",ROUND(IncidentTable[[#This Row],[Actual Impact ($)]]-IncidentTable[[#This Row],[Estimated Impact ($)]],2))</f>
        <v/>
      </c>
      <c r="Q374" s="2" t="str">
        <f ca="1">IF(IncidentTable[[#This Row],[Actual Impact ($)]]="","",(IncidentTable[[#This Row],[Actual Impact ($)]]-IncidentTable[[#This Row],[Estimated Impact ($)]]) / IncidentTable[[#This Row],[Estimated Impact ($)]])</f>
        <v/>
      </c>
      <c r="R374" s="3">
        <f ca="1">IF(IncidentTable[[#This Row],[Priority]]="Critical",1,
IF(IncidentTable[[#This Row],[Priority]]="High",3,
IF(IncidentTable[[#This Row],[Priority]]="Medium",5,
IF(IncidentTable[[#This Row],[Priority]]="Low",10,""))))</f>
        <v>1</v>
      </c>
      <c r="S374" t="str">
        <f ca="1">IF(IncidentTable[[#This Row],[Resolution Time (Days)]]="","",
IF(IncidentTable[[#This Row],[Resolution Time (Days)]]&lt;=IncidentTable[[#This Row],[SLA Target (Days)]],"Yes","No"))</f>
        <v/>
      </c>
    </row>
    <row r="375" spans="1:19" x14ac:dyDescent="0.25">
      <c r="A375" t="str">
        <f t="shared" ca="1" si="21"/>
        <v>INC810860</v>
      </c>
      <c r="B375" t="str" cm="1">
        <f t="array" aca="1" ref="B375" ca="1">INDEX(SystemList,RANDBETWEEN(1,ROWS(SystemList)))</f>
        <v>Payment Processing</v>
      </c>
      <c r="C375" t="str" cm="1">
        <f t="array" aca="1" ref="C375" ca="1">INDEX(IssueTypeList,RANDBETWEEN(1,ROWS(IssueTypeList)))</f>
        <v>Data Issue</v>
      </c>
      <c r="D375" t="str" cm="1">
        <f t="array" aca="1" ref="D375" ca="1">INDEX(PriorityList,RANDBETWEEN(1,ROWS(PriorityList)))</f>
        <v>High</v>
      </c>
      <c r="E375" t="str" cm="1">
        <f t="array" aca="1" ref="E375" ca="1">INDEX(SeverityList,RANDBETWEEN(1,ROWS(SeverityList)))</f>
        <v>Major</v>
      </c>
      <c r="F375" t="str" cm="1">
        <f t="array" aca="1" ref="F375" ca="1">INDEX(RegionList,RANDBETWEEN(1,ROWS(RegionList)))</f>
        <v>West</v>
      </c>
      <c r="G375" t="str" cm="1">
        <f t="array" aca="1" ref="G375" ca="1">INDEX(DepartmentList,RANDBETWEEN(1,ROWS(DepartmentList)))</f>
        <v>Claims</v>
      </c>
      <c r="H375" s="1">
        <f t="shared" ca="1" si="22"/>
        <v>45154</v>
      </c>
      <c r="I375" s="4">
        <f ca="1">IF(IncidentTable[[#This Row],[Resolution Time (Days)]]="","",IncidentTable[[#This Row],[Created Date]]+IncidentTable[[#This Row],[Resolution Time (Days)]])</f>
        <v>45216</v>
      </c>
      <c r="J375">
        <f ca="1">IF(OR(IncidentTable[[#This Row],[Status]]="Resolved",IncidentTable[[#This Row],[Status]]="Closed"),RANDBETWEEN(1,120),"")</f>
        <v>62</v>
      </c>
      <c r="K375" t="str">
        <f t="shared" ca="1" si="20"/>
        <v>Resolved</v>
      </c>
      <c r="L375" t="str" cm="1">
        <f t="array" aca="1" ref="L375" ca="1">INDEX(AnalystList,RANDBETWEEN(1,ROWS(AnalystList)))</f>
        <v>Morgan Davis</v>
      </c>
      <c r="M375" t="str" cm="1">
        <f t="array" aca="1" ref="M375" ca="1">INDEX(RootCauseList,RANDBETWEEN(1,ROWS(RootCauseList)))</f>
        <v>Process Gap</v>
      </c>
      <c r="N375">
        <f t="shared" ca="1" si="23"/>
        <v>50.1</v>
      </c>
      <c r="O375">
        <f ca="1">IF(OR(IncidentTable[[#This Row],[Status]]="Resolved",IncidentTable[[#This Row],[Status]]="Closed"),
ROUND(IncidentTable[[#This Row],[Estimated Impact ($)]]*(1+RANDBETWEEN(-15,25)/100)+RAND(),2),
"")</f>
        <v>61.21</v>
      </c>
      <c r="P375">
        <f ca="1">IF(IncidentTable[[#This Row],[Actual Impact ($)]]="","",ROUND(IncidentTable[[#This Row],[Actual Impact ($)]]-IncidentTable[[#This Row],[Estimated Impact ($)]],2))</f>
        <v>11.11</v>
      </c>
      <c r="Q375" s="2">
        <f ca="1">IF(IncidentTable[[#This Row],[Actual Impact ($)]]="","",(IncidentTable[[#This Row],[Actual Impact ($)]]-IncidentTable[[#This Row],[Estimated Impact ($)]]) / IncidentTable[[#This Row],[Estimated Impact ($)]])</f>
        <v>0.22175648702594808</v>
      </c>
      <c r="R375" s="3">
        <f ca="1">IF(IncidentTable[[#This Row],[Priority]]="Critical",1,
IF(IncidentTable[[#This Row],[Priority]]="High",3,
IF(IncidentTable[[#This Row],[Priority]]="Medium",5,
IF(IncidentTable[[#This Row],[Priority]]="Low",10,""))))</f>
        <v>3</v>
      </c>
      <c r="S375" t="str">
        <f ca="1">IF(IncidentTable[[#This Row],[Resolution Time (Days)]]="","",
IF(IncidentTable[[#This Row],[Resolution Time (Days)]]&lt;=IncidentTable[[#This Row],[SLA Target (Days)]],"Yes","No"))</f>
        <v>No</v>
      </c>
    </row>
    <row r="376" spans="1:19" x14ac:dyDescent="0.25">
      <c r="A376" t="str">
        <f t="shared" ca="1" si="21"/>
        <v>INC831671</v>
      </c>
      <c r="B376" t="str" cm="1">
        <f t="array" aca="1" ref="B376" ca="1">INDEX(SystemList,RANDBETWEEN(1,ROWS(SystemList)))</f>
        <v>Policy Admin System</v>
      </c>
      <c r="C376" t="str" cm="1">
        <f t="array" aca="1" ref="C376" ca="1">INDEX(IssueTypeList,RANDBETWEEN(1,ROWS(IssueTypeList)))</f>
        <v>Payment Failure</v>
      </c>
      <c r="D376" t="str" cm="1">
        <f t="array" aca="1" ref="D376" ca="1">INDEX(PriorityList,RANDBETWEEN(1,ROWS(PriorityList)))</f>
        <v>Medium</v>
      </c>
      <c r="E376" t="str" cm="1">
        <f t="array" aca="1" ref="E376" ca="1">INDEX(SeverityList,RANDBETWEEN(1,ROWS(SeverityList)))</f>
        <v>Critical</v>
      </c>
      <c r="F376" t="str" cm="1">
        <f t="array" aca="1" ref="F376" ca="1">INDEX(RegionList,RANDBETWEEN(1,ROWS(RegionList)))</f>
        <v>East</v>
      </c>
      <c r="G376" t="str" cm="1">
        <f t="array" aca="1" ref="G376" ca="1">INDEX(DepartmentList,RANDBETWEEN(1,ROWS(DepartmentList)))</f>
        <v>Customer Service</v>
      </c>
      <c r="H376" s="1">
        <f t="shared" ca="1" si="22"/>
        <v>45055</v>
      </c>
      <c r="I376" s="4" t="str">
        <f ca="1">IF(IncidentTable[[#This Row],[Resolution Time (Days)]]="","",IncidentTable[[#This Row],[Created Date]]+IncidentTable[[#This Row],[Resolution Time (Days)]])</f>
        <v/>
      </c>
      <c r="J376" t="str">
        <f ca="1">IF(OR(IncidentTable[[#This Row],[Status]]="Resolved",IncidentTable[[#This Row],[Status]]="Closed"),RANDBETWEEN(1,120),"")</f>
        <v/>
      </c>
      <c r="K376" t="str">
        <f t="shared" ca="1" si="20"/>
        <v>Pending</v>
      </c>
      <c r="L376" t="str" cm="1">
        <f t="array" aca="1" ref="L376" ca="1">INDEX(AnalystList,RANDBETWEEN(1,ROWS(AnalystList)))</f>
        <v>Casey Brown</v>
      </c>
      <c r="M376" t="str" cm="1">
        <f t="array" aca="1" ref="M376" ca="1">INDEX(RootCauseList,RANDBETWEEN(1,ROWS(RootCauseList)))</f>
        <v>Configuration Issue</v>
      </c>
      <c r="N376">
        <f t="shared" ca="1" si="23"/>
        <v>546.48</v>
      </c>
      <c r="O376" t="str">
        <f ca="1">IF(OR(IncidentTable[[#This Row],[Status]]="Resolved",IncidentTable[[#This Row],[Status]]="Closed"),
ROUND(IncidentTable[[#This Row],[Estimated Impact ($)]]*(1+RANDBETWEEN(-15,25)/100)+RAND(),2),
"")</f>
        <v/>
      </c>
      <c r="P376" t="str">
        <f ca="1">IF(IncidentTable[[#This Row],[Actual Impact ($)]]="","",ROUND(IncidentTable[[#This Row],[Actual Impact ($)]]-IncidentTable[[#This Row],[Estimated Impact ($)]],2))</f>
        <v/>
      </c>
      <c r="Q376" s="2" t="str">
        <f ca="1">IF(IncidentTable[[#This Row],[Actual Impact ($)]]="","",(IncidentTable[[#This Row],[Actual Impact ($)]]-IncidentTable[[#This Row],[Estimated Impact ($)]]) / IncidentTable[[#This Row],[Estimated Impact ($)]])</f>
        <v/>
      </c>
      <c r="R376" s="3">
        <f ca="1">IF(IncidentTable[[#This Row],[Priority]]="Critical",1,
IF(IncidentTable[[#This Row],[Priority]]="High",3,
IF(IncidentTable[[#This Row],[Priority]]="Medium",5,
IF(IncidentTable[[#This Row],[Priority]]="Low",10,""))))</f>
        <v>5</v>
      </c>
      <c r="S376" t="str">
        <f ca="1">IF(IncidentTable[[#This Row],[Resolution Time (Days)]]="","",
IF(IncidentTable[[#This Row],[Resolution Time (Days)]]&lt;=IncidentTable[[#This Row],[SLA Target (Days)]],"Yes","No"))</f>
        <v/>
      </c>
    </row>
    <row r="377" spans="1:19" x14ac:dyDescent="0.25">
      <c r="A377" t="str">
        <f t="shared" ca="1" si="21"/>
        <v>INC565355</v>
      </c>
      <c r="B377" t="str" cm="1">
        <f t="array" aca="1" ref="B377" ca="1">INDEX(SystemList,RANDBETWEEN(1,ROWS(SystemList)))</f>
        <v>Reporting System</v>
      </c>
      <c r="C377" t="str" cm="1">
        <f t="array" aca="1" ref="C377" ca="1">INDEX(IssueTypeList,RANDBETWEEN(1,ROWS(IssueTypeList)))</f>
        <v>Payment Failure</v>
      </c>
      <c r="D377" t="str" cm="1">
        <f t="array" aca="1" ref="D377" ca="1">INDEX(PriorityList,RANDBETWEEN(1,ROWS(PriorityList)))</f>
        <v>High</v>
      </c>
      <c r="E377" t="str" cm="1">
        <f t="array" aca="1" ref="E377" ca="1">INDEX(SeverityList,RANDBETWEEN(1,ROWS(SeverityList)))</f>
        <v>Minor</v>
      </c>
      <c r="F377" t="str" cm="1">
        <f t="array" aca="1" ref="F377" ca="1">INDEX(RegionList,RANDBETWEEN(1,ROWS(RegionList)))</f>
        <v>East</v>
      </c>
      <c r="G377" t="str" cm="1">
        <f t="array" aca="1" ref="G377" ca="1">INDEX(DepartmentList,RANDBETWEEN(1,ROWS(DepartmentList)))</f>
        <v>Finance</v>
      </c>
      <c r="H377" s="1">
        <f t="shared" ca="1" si="22"/>
        <v>45430</v>
      </c>
      <c r="I377" s="4">
        <f ca="1">IF(IncidentTable[[#This Row],[Resolution Time (Days)]]="","",IncidentTable[[#This Row],[Created Date]]+IncidentTable[[#This Row],[Resolution Time (Days)]])</f>
        <v>45500</v>
      </c>
      <c r="J377">
        <f ca="1">IF(OR(IncidentTable[[#This Row],[Status]]="Resolved",IncidentTable[[#This Row],[Status]]="Closed"),RANDBETWEEN(1,120),"")</f>
        <v>70</v>
      </c>
      <c r="K377" t="str">
        <f t="shared" ca="1" si="20"/>
        <v>Resolved</v>
      </c>
      <c r="L377" t="str" cm="1">
        <f t="array" aca="1" ref="L377" ca="1">INDEX(AnalystList,RANDBETWEEN(1,ROWS(AnalystList)))</f>
        <v>Morgan Davis</v>
      </c>
      <c r="M377" t="str" cm="1">
        <f t="array" aca="1" ref="M377" ca="1">INDEX(RootCauseList,RANDBETWEEN(1,ROWS(RootCauseList)))</f>
        <v>System Bug</v>
      </c>
      <c r="N377">
        <f t="shared" ca="1" si="23"/>
        <v>2660.29</v>
      </c>
      <c r="O377">
        <f ca="1">IF(OR(IncidentTable[[#This Row],[Status]]="Resolved",IncidentTable[[#This Row],[Status]]="Closed"),
ROUND(IncidentTable[[#This Row],[Estimated Impact ($)]]*(1+RANDBETWEEN(-15,25)/100)+RAND(),2),
"")</f>
        <v>3273.07</v>
      </c>
      <c r="P377">
        <f ca="1">IF(IncidentTable[[#This Row],[Actual Impact ($)]]="","",ROUND(IncidentTable[[#This Row],[Actual Impact ($)]]-IncidentTable[[#This Row],[Estimated Impact ($)]],2))</f>
        <v>612.78</v>
      </c>
      <c r="Q377" s="2">
        <f ca="1">IF(IncidentTable[[#This Row],[Actual Impact ($)]]="","",(IncidentTable[[#This Row],[Actual Impact ($)]]-IncidentTable[[#This Row],[Estimated Impact ($)]]) / IncidentTable[[#This Row],[Estimated Impact ($)]])</f>
        <v>0.23034330843629838</v>
      </c>
      <c r="R377" s="3">
        <f ca="1">IF(IncidentTable[[#This Row],[Priority]]="Critical",1,
IF(IncidentTable[[#This Row],[Priority]]="High",3,
IF(IncidentTable[[#This Row],[Priority]]="Medium",5,
IF(IncidentTable[[#This Row],[Priority]]="Low",10,""))))</f>
        <v>3</v>
      </c>
      <c r="S377" t="str">
        <f ca="1">IF(IncidentTable[[#This Row],[Resolution Time (Days)]]="","",
IF(IncidentTable[[#This Row],[Resolution Time (Days)]]&lt;=IncidentTable[[#This Row],[SLA Target (Days)]],"Yes","No"))</f>
        <v>No</v>
      </c>
    </row>
    <row r="378" spans="1:19" x14ac:dyDescent="0.25">
      <c r="A378" t="str">
        <f t="shared" ca="1" si="21"/>
        <v>INC245605</v>
      </c>
      <c r="B378" t="str" cm="1">
        <f t="array" aca="1" ref="B378" ca="1">INDEX(SystemList,RANDBETWEEN(1,ROWS(SystemList)))</f>
        <v>Payment Processing</v>
      </c>
      <c r="C378" t="str" cm="1">
        <f t="array" aca="1" ref="C378" ca="1">INDEX(IssueTypeList,RANDBETWEEN(1,ROWS(IssueTypeList)))</f>
        <v>Data Issue</v>
      </c>
      <c r="D378" t="str" cm="1">
        <f t="array" aca="1" ref="D378" ca="1">INDEX(PriorityList,RANDBETWEEN(1,ROWS(PriorityList)))</f>
        <v>High</v>
      </c>
      <c r="E378" t="str" cm="1">
        <f t="array" aca="1" ref="E378" ca="1">INDEX(SeverityList,RANDBETWEEN(1,ROWS(SeverityList)))</f>
        <v>Minor</v>
      </c>
      <c r="F378" t="str" cm="1">
        <f t="array" aca="1" ref="F378" ca="1">INDEX(RegionList,RANDBETWEEN(1,ROWS(RegionList)))</f>
        <v>Midwest</v>
      </c>
      <c r="G378" t="str" cm="1">
        <f t="array" aca="1" ref="G378" ca="1">INDEX(DepartmentList,RANDBETWEEN(1,ROWS(DepartmentList)))</f>
        <v>Customer Service</v>
      </c>
      <c r="H378" s="1">
        <f t="shared" ca="1" si="22"/>
        <v>45303</v>
      </c>
      <c r="I378" s="4" t="str">
        <f ca="1">IF(IncidentTable[[#This Row],[Resolution Time (Days)]]="","",IncidentTable[[#This Row],[Created Date]]+IncidentTable[[#This Row],[Resolution Time (Days)]])</f>
        <v/>
      </c>
      <c r="J378" t="str">
        <f ca="1">IF(OR(IncidentTable[[#This Row],[Status]]="Resolved",IncidentTable[[#This Row],[Status]]="Closed"),RANDBETWEEN(1,120),"")</f>
        <v/>
      </c>
      <c r="K378" t="str">
        <f t="shared" ca="1" si="20"/>
        <v>In Progress</v>
      </c>
      <c r="L378" t="str" cm="1">
        <f t="array" aca="1" ref="L378" ca="1">INDEX(AnalystList,RANDBETWEEN(1,ROWS(AnalystList)))</f>
        <v>Morgan Davis</v>
      </c>
      <c r="M378" t="str" cm="1">
        <f t="array" aca="1" ref="M378" ca="1">INDEX(RootCauseList,RANDBETWEEN(1,ROWS(RootCauseList)))</f>
        <v>Configuration Issue</v>
      </c>
      <c r="N378">
        <f t="shared" ca="1" si="23"/>
        <v>0</v>
      </c>
      <c r="O378" t="str">
        <f ca="1">IF(OR(IncidentTable[[#This Row],[Status]]="Resolved",IncidentTable[[#This Row],[Status]]="Closed"),
ROUND(IncidentTable[[#This Row],[Estimated Impact ($)]]*(1+RANDBETWEEN(-15,25)/100)+RAND(),2),
"")</f>
        <v/>
      </c>
      <c r="P378" t="str">
        <f ca="1">IF(IncidentTable[[#This Row],[Actual Impact ($)]]="","",ROUND(IncidentTable[[#This Row],[Actual Impact ($)]]-IncidentTable[[#This Row],[Estimated Impact ($)]],2))</f>
        <v/>
      </c>
      <c r="Q378" s="2" t="str">
        <f ca="1">IF(IncidentTable[[#This Row],[Actual Impact ($)]]="","",(IncidentTable[[#This Row],[Actual Impact ($)]]-IncidentTable[[#This Row],[Estimated Impact ($)]]) / IncidentTable[[#This Row],[Estimated Impact ($)]])</f>
        <v/>
      </c>
      <c r="R378" s="3">
        <f ca="1">IF(IncidentTable[[#This Row],[Priority]]="Critical",1,
IF(IncidentTable[[#This Row],[Priority]]="High",3,
IF(IncidentTable[[#This Row],[Priority]]="Medium",5,
IF(IncidentTable[[#This Row],[Priority]]="Low",10,""))))</f>
        <v>3</v>
      </c>
      <c r="S378" t="str">
        <f ca="1">IF(IncidentTable[[#This Row],[Resolution Time (Days)]]="","",
IF(IncidentTable[[#This Row],[Resolution Time (Days)]]&lt;=IncidentTable[[#This Row],[SLA Target (Days)]],"Yes","No"))</f>
        <v/>
      </c>
    </row>
    <row r="379" spans="1:19" x14ac:dyDescent="0.25">
      <c r="A379" t="str">
        <f t="shared" ca="1" si="21"/>
        <v>INC419803</v>
      </c>
      <c r="B379" t="str" cm="1">
        <f t="array" aca="1" ref="B379" ca="1">INDEX(SystemList,RANDBETWEEN(1,ROWS(SystemList)))</f>
        <v>Policy Admin System</v>
      </c>
      <c r="C379" t="str" cm="1">
        <f t="array" aca="1" ref="C379" ca="1">INDEX(IssueTypeList,RANDBETWEEN(1,ROWS(IssueTypeList)))</f>
        <v>User Access Issue</v>
      </c>
      <c r="D379" t="str" cm="1">
        <f t="array" aca="1" ref="D379" ca="1">INDEX(PriorityList,RANDBETWEEN(1,ROWS(PriorityList)))</f>
        <v>High</v>
      </c>
      <c r="E379" t="str" cm="1">
        <f t="array" aca="1" ref="E379" ca="1">INDEX(SeverityList,RANDBETWEEN(1,ROWS(SeverityList)))</f>
        <v>Critical</v>
      </c>
      <c r="F379" t="str" cm="1">
        <f t="array" aca="1" ref="F379" ca="1">INDEX(RegionList,RANDBETWEEN(1,ROWS(RegionList)))</f>
        <v>West</v>
      </c>
      <c r="G379" t="str" cm="1">
        <f t="array" aca="1" ref="G379" ca="1">INDEX(DepartmentList,RANDBETWEEN(1,ROWS(DepartmentList)))</f>
        <v>Billing</v>
      </c>
      <c r="H379" s="1">
        <f t="shared" ca="1" si="22"/>
        <v>45162</v>
      </c>
      <c r="I379" s="4" t="str">
        <f ca="1">IF(IncidentTable[[#This Row],[Resolution Time (Days)]]="","",IncidentTable[[#This Row],[Created Date]]+IncidentTable[[#This Row],[Resolution Time (Days)]])</f>
        <v/>
      </c>
      <c r="J379" t="str">
        <f ca="1">IF(OR(IncidentTable[[#This Row],[Status]]="Resolved",IncidentTable[[#This Row],[Status]]="Closed"),RANDBETWEEN(1,120),"")</f>
        <v/>
      </c>
      <c r="K379" t="str">
        <f t="shared" ca="1" si="20"/>
        <v>Pending</v>
      </c>
      <c r="L379" t="str" cm="1">
        <f t="array" aca="1" ref="L379" ca="1">INDEX(AnalystList,RANDBETWEEN(1,ROWS(AnalystList)))</f>
        <v>Taylor Smith</v>
      </c>
      <c r="M379" t="str" cm="1">
        <f t="array" aca="1" ref="M379" ca="1">INDEX(RootCauseList,RANDBETWEEN(1,ROWS(RootCauseList)))</f>
        <v>Process Gap</v>
      </c>
      <c r="N379">
        <f t="shared" ca="1" si="23"/>
        <v>363.53</v>
      </c>
      <c r="O379" t="str">
        <f ca="1">IF(OR(IncidentTable[[#This Row],[Status]]="Resolved",IncidentTable[[#This Row],[Status]]="Closed"),
ROUND(IncidentTable[[#This Row],[Estimated Impact ($)]]*(1+RANDBETWEEN(-15,25)/100)+RAND(),2),
"")</f>
        <v/>
      </c>
      <c r="P379" t="str">
        <f ca="1">IF(IncidentTable[[#This Row],[Actual Impact ($)]]="","",ROUND(IncidentTable[[#This Row],[Actual Impact ($)]]-IncidentTable[[#This Row],[Estimated Impact ($)]],2))</f>
        <v/>
      </c>
      <c r="Q379" s="2" t="str">
        <f ca="1">IF(IncidentTable[[#This Row],[Actual Impact ($)]]="","",(IncidentTable[[#This Row],[Actual Impact ($)]]-IncidentTable[[#This Row],[Estimated Impact ($)]]) / IncidentTable[[#This Row],[Estimated Impact ($)]])</f>
        <v/>
      </c>
      <c r="R379" s="3">
        <f ca="1">IF(IncidentTable[[#This Row],[Priority]]="Critical",1,
IF(IncidentTable[[#This Row],[Priority]]="High",3,
IF(IncidentTable[[#This Row],[Priority]]="Medium",5,
IF(IncidentTable[[#This Row],[Priority]]="Low",10,""))))</f>
        <v>3</v>
      </c>
      <c r="S379" t="str">
        <f ca="1">IF(IncidentTable[[#This Row],[Resolution Time (Days)]]="","",
IF(IncidentTable[[#This Row],[Resolution Time (Days)]]&lt;=IncidentTable[[#This Row],[SLA Target (Days)]],"Yes","No"))</f>
        <v/>
      </c>
    </row>
    <row r="380" spans="1:19" x14ac:dyDescent="0.25">
      <c r="A380" t="str">
        <f t="shared" ca="1" si="21"/>
        <v>INC590532</v>
      </c>
      <c r="B380" t="str" cm="1">
        <f t="array" aca="1" ref="B380" ca="1">INDEX(SystemList,RANDBETWEEN(1,ROWS(SystemList)))</f>
        <v>Customer Portal</v>
      </c>
      <c r="C380" t="str" cm="1">
        <f t="array" aca="1" ref="C380" ca="1">INDEX(IssueTypeList,RANDBETWEEN(1,ROWS(IssueTypeList)))</f>
        <v>Complaint</v>
      </c>
      <c r="D380" t="str" cm="1">
        <f t="array" aca="1" ref="D380" ca="1">INDEX(PriorityList,RANDBETWEEN(1,ROWS(PriorityList)))</f>
        <v>Medium</v>
      </c>
      <c r="E380" t="str" cm="1">
        <f t="array" aca="1" ref="E380" ca="1">INDEX(SeverityList,RANDBETWEEN(1,ROWS(SeverityList)))</f>
        <v>Major</v>
      </c>
      <c r="F380" t="str" cm="1">
        <f t="array" aca="1" ref="F380" ca="1">INDEX(RegionList,RANDBETWEEN(1,ROWS(RegionList)))</f>
        <v>Central</v>
      </c>
      <c r="G380" t="str" cm="1">
        <f t="array" aca="1" ref="G380" ca="1">INDEX(DepartmentList,RANDBETWEEN(1,ROWS(DepartmentList)))</f>
        <v>Customer Service</v>
      </c>
      <c r="H380" s="1">
        <f t="shared" ca="1" si="22"/>
        <v>45074</v>
      </c>
      <c r="I380" s="4">
        <f ca="1">IF(IncidentTable[[#This Row],[Resolution Time (Days)]]="","",IncidentTable[[#This Row],[Created Date]]+IncidentTable[[#This Row],[Resolution Time (Days)]])</f>
        <v>45155</v>
      </c>
      <c r="J380">
        <f ca="1">IF(OR(IncidentTable[[#This Row],[Status]]="Resolved",IncidentTable[[#This Row],[Status]]="Closed"),RANDBETWEEN(1,120),"")</f>
        <v>81</v>
      </c>
      <c r="K380" t="str">
        <f t="shared" ca="1" si="20"/>
        <v>Closed</v>
      </c>
      <c r="L380" t="str" cm="1">
        <f t="array" aca="1" ref="L380" ca="1">INDEX(AnalystList,RANDBETWEEN(1,ROWS(AnalystList)))</f>
        <v>Alex Johnson</v>
      </c>
      <c r="M380" t="str" cm="1">
        <f t="array" aca="1" ref="M380" ca="1">INDEX(RootCauseList,RANDBETWEEN(1,ROWS(RootCauseList)))</f>
        <v>Integration Failure</v>
      </c>
      <c r="N380">
        <f t="shared" ca="1" si="23"/>
        <v>6620.29</v>
      </c>
      <c r="O380">
        <f ca="1">IF(OR(IncidentTable[[#This Row],[Status]]="Resolved",IncidentTable[[#This Row],[Status]]="Closed"),
ROUND(IncidentTable[[#This Row],[Estimated Impact ($)]]*(1+RANDBETWEEN(-15,25)/100)+RAND(),2),
"")</f>
        <v>6753.06</v>
      </c>
      <c r="P380">
        <f ca="1">IF(IncidentTable[[#This Row],[Actual Impact ($)]]="","",ROUND(IncidentTable[[#This Row],[Actual Impact ($)]]-IncidentTable[[#This Row],[Estimated Impact ($)]],2))</f>
        <v>132.77000000000001</v>
      </c>
      <c r="Q380" s="2">
        <f ca="1">IF(IncidentTable[[#This Row],[Actual Impact ($)]]="","",(IncidentTable[[#This Row],[Actual Impact ($)]]-IncidentTable[[#This Row],[Estimated Impact ($)]]) / IncidentTable[[#This Row],[Estimated Impact ($)]])</f>
        <v>2.0055012695818528E-2</v>
      </c>
      <c r="R380" s="3">
        <f ca="1">IF(IncidentTable[[#This Row],[Priority]]="Critical",1,
IF(IncidentTable[[#This Row],[Priority]]="High",3,
IF(IncidentTable[[#This Row],[Priority]]="Medium",5,
IF(IncidentTable[[#This Row],[Priority]]="Low",10,""))))</f>
        <v>5</v>
      </c>
      <c r="S380" t="str">
        <f ca="1">IF(IncidentTable[[#This Row],[Resolution Time (Days)]]="","",
IF(IncidentTable[[#This Row],[Resolution Time (Days)]]&lt;=IncidentTable[[#This Row],[SLA Target (Days)]],"Yes","No"))</f>
        <v>No</v>
      </c>
    </row>
    <row r="381" spans="1:19" x14ac:dyDescent="0.25">
      <c r="A381" t="str">
        <f t="shared" ca="1" si="21"/>
        <v>INC543227</v>
      </c>
      <c r="B381" t="str" cm="1">
        <f t="array" aca="1" ref="B381" ca="1">INDEX(SystemList,RANDBETWEEN(1,ROWS(SystemList)))</f>
        <v>Customer Portal</v>
      </c>
      <c r="C381" t="str" cm="1">
        <f t="array" aca="1" ref="C381" ca="1">INDEX(IssueTypeList,RANDBETWEEN(1,ROWS(IssueTypeList)))</f>
        <v>Processing Delay</v>
      </c>
      <c r="D381" t="str" cm="1">
        <f t="array" aca="1" ref="D381" ca="1">INDEX(PriorityList,RANDBETWEEN(1,ROWS(PriorityList)))</f>
        <v>Medium</v>
      </c>
      <c r="E381" t="str" cm="1">
        <f t="array" aca="1" ref="E381" ca="1">INDEX(SeverityList,RANDBETWEEN(1,ROWS(SeverityList)))</f>
        <v>Critical</v>
      </c>
      <c r="F381" t="str" cm="1">
        <f t="array" aca="1" ref="F381" ca="1">INDEX(RegionList,RANDBETWEEN(1,ROWS(RegionList)))</f>
        <v>Central</v>
      </c>
      <c r="G381" t="str" cm="1">
        <f t="array" aca="1" ref="G381" ca="1">INDEX(DepartmentList,RANDBETWEEN(1,ROWS(DepartmentList)))</f>
        <v>Customer Service</v>
      </c>
      <c r="H381" s="1">
        <f t="shared" ca="1" si="22"/>
        <v>45005</v>
      </c>
      <c r="I381" s="4">
        <f ca="1">IF(IncidentTable[[#This Row],[Resolution Time (Days)]]="","",IncidentTable[[#This Row],[Created Date]]+IncidentTable[[#This Row],[Resolution Time (Days)]])</f>
        <v>45071</v>
      </c>
      <c r="J381">
        <f ca="1">IF(OR(IncidentTable[[#This Row],[Status]]="Resolved",IncidentTable[[#This Row],[Status]]="Closed"),RANDBETWEEN(1,120),"")</f>
        <v>66</v>
      </c>
      <c r="K381" t="str">
        <f t="shared" ca="1" si="20"/>
        <v>Resolved</v>
      </c>
      <c r="L381" t="str" cm="1">
        <f t="array" aca="1" ref="L381" ca="1">INDEX(AnalystList,RANDBETWEEN(1,ROWS(AnalystList)))</f>
        <v>Casey Brown</v>
      </c>
      <c r="M381" t="str" cm="1">
        <f t="array" aca="1" ref="M381" ca="1">INDEX(RootCauseList,RANDBETWEEN(1,ROWS(RootCauseList)))</f>
        <v>Integration Failure</v>
      </c>
      <c r="N381">
        <f t="shared" ca="1" si="23"/>
        <v>1170.33</v>
      </c>
      <c r="O381">
        <f ca="1">IF(OR(IncidentTable[[#This Row],[Status]]="Resolved",IncidentTable[[#This Row],[Status]]="Closed"),
ROUND(IncidentTable[[#This Row],[Estimated Impact ($)]]*(1+RANDBETWEEN(-15,25)/100)+RAND(),2),
"")</f>
        <v>1264.27</v>
      </c>
      <c r="P381">
        <f ca="1">IF(IncidentTable[[#This Row],[Actual Impact ($)]]="","",ROUND(IncidentTable[[#This Row],[Actual Impact ($)]]-IncidentTable[[#This Row],[Estimated Impact ($)]],2))</f>
        <v>93.94</v>
      </c>
      <c r="Q381" s="2">
        <f ca="1">IF(IncidentTable[[#This Row],[Actual Impact ($)]]="","",(IncidentTable[[#This Row],[Actual Impact ($)]]-IncidentTable[[#This Row],[Estimated Impact ($)]]) / IncidentTable[[#This Row],[Estimated Impact ($)]])</f>
        <v>8.026795860996476E-2</v>
      </c>
      <c r="R381" s="3">
        <f ca="1">IF(IncidentTable[[#This Row],[Priority]]="Critical",1,
IF(IncidentTable[[#This Row],[Priority]]="High",3,
IF(IncidentTable[[#This Row],[Priority]]="Medium",5,
IF(IncidentTable[[#This Row],[Priority]]="Low",10,""))))</f>
        <v>5</v>
      </c>
      <c r="S381" t="str">
        <f ca="1">IF(IncidentTable[[#This Row],[Resolution Time (Days)]]="","",
IF(IncidentTable[[#This Row],[Resolution Time (Days)]]&lt;=IncidentTable[[#This Row],[SLA Target (Days)]],"Yes","No"))</f>
        <v>No</v>
      </c>
    </row>
    <row r="382" spans="1:19" x14ac:dyDescent="0.25">
      <c r="A382" t="str">
        <f t="shared" ca="1" si="21"/>
        <v>INC783793</v>
      </c>
      <c r="B382" t="str" cm="1">
        <f t="array" aca="1" ref="B382" ca="1">INDEX(SystemList,RANDBETWEEN(1,ROWS(SystemList)))</f>
        <v>Claims System</v>
      </c>
      <c r="C382" t="str" cm="1">
        <f t="array" aca="1" ref="C382" ca="1">INDEX(IssueTypeList,RANDBETWEEN(1,ROWS(IssueTypeList)))</f>
        <v>Integration Failure</v>
      </c>
      <c r="D382" t="str" cm="1">
        <f t="array" aca="1" ref="D382" ca="1">INDEX(PriorityList,RANDBETWEEN(1,ROWS(PriorityList)))</f>
        <v>Medium</v>
      </c>
      <c r="E382" t="str" cm="1">
        <f t="array" aca="1" ref="E382" ca="1">INDEX(SeverityList,RANDBETWEEN(1,ROWS(SeverityList)))</f>
        <v>Major</v>
      </c>
      <c r="F382" t="str" cm="1">
        <f t="array" aca="1" ref="F382" ca="1">INDEX(RegionList,RANDBETWEEN(1,ROWS(RegionList)))</f>
        <v>Midwest</v>
      </c>
      <c r="G382" t="str" cm="1">
        <f t="array" aca="1" ref="G382" ca="1">INDEX(DepartmentList,RANDBETWEEN(1,ROWS(DepartmentList)))</f>
        <v>Claims</v>
      </c>
      <c r="H382" s="1">
        <f t="shared" ca="1" si="22"/>
        <v>45208</v>
      </c>
      <c r="I382" s="4">
        <f ca="1">IF(IncidentTable[[#This Row],[Resolution Time (Days)]]="","",IncidentTable[[#This Row],[Created Date]]+IncidentTable[[#This Row],[Resolution Time (Days)]])</f>
        <v>45244</v>
      </c>
      <c r="J382">
        <f ca="1">IF(OR(IncidentTable[[#This Row],[Status]]="Resolved",IncidentTable[[#This Row],[Status]]="Closed"),RANDBETWEEN(1,120),"")</f>
        <v>36</v>
      </c>
      <c r="K382" t="str">
        <f t="shared" ca="1" si="20"/>
        <v>Resolved</v>
      </c>
      <c r="L382" t="str" cm="1">
        <f t="array" aca="1" ref="L382" ca="1">INDEX(AnalystList,RANDBETWEEN(1,ROWS(AnalystList)))</f>
        <v>Alex Johnson</v>
      </c>
      <c r="M382" t="str" cm="1">
        <f t="array" aca="1" ref="M382" ca="1">INDEX(RootCauseList,RANDBETWEEN(1,ROWS(RootCauseList)))</f>
        <v>Unknown</v>
      </c>
      <c r="N382">
        <f t="shared" ca="1" si="23"/>
        <v>267.62</v>
      </c>
      <c r="O382">
        <f ca="1">IF(OR(IncidentTable[[#This Row],[Status]]="Resolved",IncidentTable[[#This Row],[Status]]="Closed"),
ROUND(IncidentTable[[#This Row],[Estimated Impact ($)]]*(1+RANDBETWEEN(-15,25)/100)+RAND(),2),
"")</f>
        <v>256.95999999999998</v>
      </c>
      <c r="P382">
        <f ca="1">IF(IncidentTable[[#This Row],[Actual Impact ($)]]="","",ROUND(IncidentTable[[#This Row],[Actual Impact ($)]]-IncidentTable[[#This Row],[Estimated Impact ($)]],2))</f>
        <v>-10.66</v>
      </c>
      <c r="Q382" s="2">
        <f ca="1">IF(IncidentTable[[#This Row],[Actual Impact ($)]]="","",(IncidentTable[[#This Row],[Actual Impact ($)]]-IncidentTable[[#This Row],[Estimated Impact ($)]]) / IncidentTable[[#This Row],[Estimated Impact ($)]])</f>
        <v>-3.9832598460503792E-2</v>
      </c>
      <c r="R382" s="3">
        <f ca="1">IF(IncidentTable[[#This Row],[Priority]]="Critical",1,
IF(IncidentTable[[#This Row],[Priority]]="High",3,
IF(IncidentTable[[#This Row],[Priority]]="Medium",5,
IF(IncidentTable[[#This Row],[Priority]]="Low",10,""))))</f>
        <v>5</v>
      </c>
      <c r="S382" t="str">
        <f ca="1">IF(IncidentTable[[#This Row],[Resolution Time (Days)]]="","",
IF(IncidentTable[[#This Row],[Resolution Time (Days)]]&lt;=IncidentTable[[#This Row],[SLA Target (Days)]],"Yes","No"))</f>
        <v>No</v>
      </c>
    </row>
    <row r="383" spans="1:19" x14ac:dyDescent="0.25">
      <c r="A383" t="str">
        <f t="shared" ca="1" si="21"/>
        <v>INC119700</v>
      </c>
      <c r="B383" t="str" cm="1">
        <f t="array" aca="1" ref="B383" ca="1">INDEX(SystemList,RANDBETWEEN(1,ROWS(SystemList)))</f>
        <v>Reporting System</v>
      </c>
      <c r="C383" t="str" cm="1">
        <f t="array" aca="1" ref="C383" ca="1">INDEX(IssueTypeList,RANDBETWEEN(1,ROWS(IssueTypeList)))</f>
        <v>System Error</v>
      </c>
      <c r="D383" t="str" cm="1">
        <f t="array" aca="1" ref="D383" ca="1">INDEX(PriorityList,RANDBETWEEN(1,ROWS(PriorityList)))</f>
        <v>Medium</v>
      </c>
      <c r="E383" t="str" cm="1">
        <f t="array" aca="1" ref="E383" ca="1">INDEX(SeverityList,RANDBETWEEN(1,ROWS(SeverityList)))</f>
        <v>Minor</v>
      </c>
      <c r="F383" t="str" cm="1">
        <f t="array" aca="1" ref="F383" ca="1">INDEX(RegionList,RANDBETWEEN(1,ROWS(RegionList)))</f>
        <v>Midwest</v>
      </c>
      <c r="G383" t="str" cm="1">
        <f t="array" aca="1" ref="G383" ca="1">INDEX(DepartmentList,RANDBETWEEN(1,ROWS(DepartmentList)))</f>
        <v>Customer Service</v>
      </c>
      <c r="H383" s="1">
        <f t="shared" ca="1" si="22"/>
        <v>45422</v>
      </c>
      <c r="I383" s="4">
        <f ca="1">IF(IncidentTable[[#This Row],[Resolution Time (Days)]]="","",IncidentTable[[#This Row],[Created Date]]+IncidentTable[[#This Row],[Resolution Time (Days)]])</f>
        <v>45474</v>
      </c>
      <c r="J383">
        <f ca="1">IF(OR(IncidentTable[[#This Row],[Status]]="Resolved",IncidentTable[[#This Row],[Status]]="Closed"),RANDBETWEEN(1,120),"")</f>
        <v>52</v>
      </c>
      <c r="K383" t="str">
        <f t="shared" ca="1" si="20"/>
        <v>Resolved</v>
      </c>
      <c r="L383" t="str" cm="1">
        <f t="array" aca="1" ref="L383" ca="1">INDEX(AnalystList,RANDBETWEEN(1,ROWS(AnalystList)))</f>
        <v>Alex Johnson</v>
      </c>
      <c r="M383" t="str" cm="1">
        <f t="array" aca="1" ref="M383" ca="1">INDEX(RootCauseList,RANDBETWEEN(1,ROWS(RootCauseList)))</f>
        <v>User Error</v>
      </c>
      <c r="N383">
        <f t="shared" ca="1" si="23"/>
        <v>30.61</v>
      </c>
      <c r="O383">
        <f ca="1">IF(OR(IncidentTable[[#This Row],[Status]]="Resolved",IncidentTable[[#This Row],[Status]]="Closed"),
ROUND(IncidentTable[[#This Row],[Estimated Impact ($)]]*(1+RANDBETWEEN(-15,25)/100)+RAND(),2),
"")</f>
        <v>36.270000000000003</v>
      </c>
      <c r="P383">
        <f ca="1">IF(IncidentTable[[#This Row],[Actual Impact ($)]]="","",ROUND(IncidentTable[[#This Row],[Actual Impact ($)]]-IncidentTable[[#This Row],[Estimated Impact ($)]],2))</f>
        <v>5.66</v>
      </c>
      <c r="Q383" s="2">
        <f ca="1">IF(IncidentTable[[#This Row],[Actual Impact ($)]]="","",(IncidentTable[[#This Row],[Actual Impact ($)]]-IncidentTable[[#This Row],[Estimated Impact ($)]]) / IncidentTable[[#This Row],[Estimated Impact ($)]])</f>
        <v>0.18490689317216608</v>
      </c>
      <c r="R383" s="3">
        <f ca="1">IF(IncidentTable[[#This Row],[Priority]]="Critical",1,
IF(IncidentTable[[#This Row],[Priority]]="High",3,
IF(IncidentTable[[#This Row],[Priority]]="Medium",5,
IF(IncidentTable[[#This Row],[Priority]]="Low",10,""))))</f>
        <v>5</v>
      </c>
      <c r="S383" t="str">
        <f ca="1">IF(IncidentTable[[#This Row],[Resolution Time (Days)]]="","",
IF(IncidentTable[[#This Row],[Resolution Time (Days)]]&lt;=IncidentTable[[#This Row],[SLA Target (Days)]],"Yes","No"))</f>
        <v>No</v>
      </c>
    </row>
    <row r="384" spans="1:19" x14ac:dyDescent="0.25">
      <c r="A384" t="str">
        <f t="shared" ca="1" si="21"/>
        <v>INC602012</v>
      </c>
      <c r="B384" t="str" cm="1">
        <f t="array" aca="1" ref="B384" ca="1">INDEX(SystemList,RANDBETWEEN(1,ROWS(SystemList)))</f>
        <v>Billing System</v>
      </c>
      <c r="C384" t="str" cm="1">
        <f t="array" aca="1" ref="C384" ca="1">INDEX(IssueTypeList,RANDBETWEEN(1,ROWS(IssueTypeList)))</f>
        <v>Integration Failure</v>
      </c>
      <c r="D384" t="str" cm="1">
        <f t="array" aca="1" ref="D384" ca="1">INDEX(PriorityList,RANDBETWEEN(1,ROWS(PriorityList)))</f>
        <v>Low</v>
      </c>
      <c r="E384" t="str" cm="1">
        <f t="array" aca="1" ref="E384" ca="1">INDEX(SeverityList,RANDBETWEEN(1,ROWS(SeverityList)))</f>
        <v>Moderate</v>
      </c>
      <c r="F384" t="str" cm="1">
        <f t="array" aca="1" ref="F384" ca="1">INDEX(RegionList,RANDBETWEEN(1,ROWS(RegionList)))</f>
        <v>West</v>
      </c>
      <c r="G384" t="str" cm="1">
        <f t="array" aca="1" ref="G384" ca="1">INDEX(DepartmentList,RANDBETWEEN(1,ROWS(DepartmentList)))</f>
        <v>Claims</v>
      </c>
      <c r="H384" s="1">
        <f t="shared" ca="1" si="22"/>
        <v>44986</v>
      </c>
      <c r="I384" s="4">
        <f ca="1">IF(IncidentTable[[#This Row],[Resolution Time (Days)]]="","",IncidentTable[[#This Row],[Created Date]]+IncidentTable[[#This Row],[Resolution Time (Days)]])</f>
        <v>45065</v>
      </c>
      <c r="J384">
        <f ca="1">IF(OR(IncidentTable[[#This Row],[Status]]="Resolved",IncidentTable[[#This Row],[Status]]="Closed"),RANDBETWEEN(1,120),"")</f>
        <v>79</v>
      </c>
      <c r="K384" t="str">
        <f t="shared" ca="1" si="20"/>
        <v>Resolved</v>
      </c>
      <c r="L384" t="str" cm="1">
        <f t="array" aca="1" ref="L384" ca="1">INDEX(AnalystList,RANDBETWEEN(1,ROWS(AnalystList)))</f>
        <v>Morgan Davis</v>
      </c>
      <c r="M384" t="str" cm="1">
        <f t="array" aca="1" ref="M384" ca="1">INDEX(RootCauseList,RANDBETWEEN(1,ROWS(RootCauseList)))</f>
        <v>Integration Failure</v>
      </c>
      <c r="N384">
        <f t="shared" ca="1" si="23"/>
        <v>7913.9</v>
      </c>
      <c r="O384">
        <f ca="1">IF(OR(IncidentTable[[#This Row],[Status]]="Resolved",IncidentTable[[#This Row],[Status]]="Closed"),
ROUND(IncidentTable[[#This Row],[Estimated Impact ($)]]*(1+RANDBETWEEN(-15,25)/100)+RAND(),2),
"")</f>
        <v>7123.14</v>
      </c>
      <c r="P384">
        <f ca="1">IF(IncidentTable[[#This Row],[Actual Impact ($)]]="","",ROUND(IncidentTable[[#This Row],[Actual Impact ($)]]-IncidentTable[[#This Row],[Estimated Impact ($)]],2))</f>
        <v>-790.76</v>
      </c>
      <c r="Q384" s="2">
        <f ca="1">IF(IncidentTable[[#This Row],[Actual Impact ($)]]="","",(IncidentTable[[#This Row],[Actual Impact ($)]]-IncidentTable[[#This Row],[Estimated Impact ($)]]) / IncidentTable[[#This Row],[Estimated Impact ($)]])</f>
        <v>-9.9920393232161051E-2</v>
      </c>
      <c r="R384" s="3">
        <f ca="1">IF(IncidentTable[[#This Row],[Priority]]="Critical",1,
IF(IncidentTable[[#This Row],[Priority]]="High",3,
IF(IncidentTable[[#This Row],[Priority]]="Medium",5,
IF(IncidentTable[[#This Row],[Priority]]="Low",10,""))))</f>
        <v>10</v>
      </c>
      <c r="S384" t="str">
        <f ca="1">IF(IncidentTable[[#This Row],[Resolution Time (Days)]]="","",
IF(IncidentTable[[#This Row],[Resolution Time (Days)]]&lt;=IncidentTable[[#This Row],[SLA Target (Days)]],"Yes","No"))</f>
        <v>No</v>
      </c>
    </row>
    <row r="385" spans="1:19" x14ac:dyDescent="0.25">
      <c r="A385" t="str">
        <f t="shared" ca="1" si="21"/>
        <v>INC904512</v>
      </c>
      <c r="B385" t="str" cm="1">
        <f t="array" aca="1" ref="B385" ca="1">INDEX(SystemList,RANDBETWEEN(1,ROWS(SystemList)))</f>
        <v>Policy Admin System</v>
      </c>
      <c r="C385" t="str" cm="1">
        <f t="array" aca="1" ref="C385" ca="1">INDEX(IssueTypeList,RANDBETWEEN(1,ROWS(IssueTypeList)))</f>
        <v>System Error</v>
      </c>
      <c r="D385" t="str" cm="1">
        <f t="array" aca="1" ref="D385" ca="1">INDEX(PriorityList,RANDBETWEEN(1,ROWS(PriorityList)))</f>
        <v>High</v>
      </c>
      <c r="E385" t="str" cm="1">
        <f t="array" aca="1" ref="E385" ca="1">INDEX(SeverityList,RANDBETWEEN(1,ROWS(SeverityList)))</f>
        <v>Major</v>
      </c>
      <c r="F385" t="str" cm="1">
        <f t="array" aca="1" ref="F385" ca="1">INDEX(RegionList,RANDBETWEEN(1,ROWS(RegionList)))</f>
        <v>East</v>
      </c>
      <c r="G385" t="str" cm="1">
        <f t="array" aca="1" ref="G385" ca="1">INDEX(DepartmentList,RANDBETWEEN(1,ROWS(DepartmentList)))</f>
        <v>Finance</v>
      </c>
      <c r="H385" s="1">
        <f t="shared" ca="1" si="22"/>
        <v>45226</v>
      </c>
      <c r="I385" s="4" t="str">
        <f ca="1">IF(IncidentTable[[#This Row],[Resolution Time (Days)]]="","",IncidentTable[[#This Row],[Created Date]]+IncidentTable[[#This Row],[Resolution Time (Days)]])</f>
        <v/>
      </c>
      <c r="J385" t="str">
        <f ca="1">IF(OR(IncidentTable[[#This Row],[Status]]="Resolved",IncidentTable[[#This Row],[Status]]="Closed"),RANDBETWEEN(1,120),"")</f>
        <v/>
      </c>
      <c r="K385" t="str">
        <f t="shared" ca="1" si="20"/>
        <v>In Progress</v>
      </c>
      <c r="L385" t="str" cm="1">
        <f t="array" aca="1" ref="L385" ca="1">INDEX(AnalystList,RANDBETWEEN(1,ROWS(AnalystList)))</f>
        <v>Taylor Smith</v>
      </c>
      <c r="M385" t="str" cm="1">
        <f t="array" aca="1" ref="M385" ca="1">INDEX(RootCauseList,RANDBETWEEN(1,ROWS(RootCauseList)))</f>
        <v>Data Error</v>
      </c>
      <c r="N385">
        <f t="shared" ca="1" si="23"/>
        <v>278.10000000000002</v>
      </c>
      <c r="O385" t="str">
        <f ca="1">IF(OR(IncidentTable[[#This Row],[Status]]="Resolved",IncidentTable[[#This Row],[Status]]="Closed"),
ROUND(IncidentTable[[#This Row],[Estimated Impact ($)]]*(1+RANDBETWEEN(-15,25)/100)+RAND(),2),
"")</f>
        <v/>
      </c>
      <c r="P385" t="str">
        <f ca="1">IF(IncidentTable[[#This Row],[Actual Impact ($)]]="","",ROUND(IncidentTable[[#This Row],[Actual Impact ($)]]-IncidentTable[[#This Row],[Estimated Impact ($)]],2))</f>
        <v/>
      </c>
      <c r="Q385" s="2" t="str">
        <f ca="1">IF(IncidentTable[[#This Row],[Actual Impact ($)]]="","",(IncidentTable[[#This Row],[Actual Impact ($)]]-IncidentTable[[#This Row],[Estimated Impact ($)]]) / IncidentTable[[#This Row],[Estimated Impact ($)]])</f>
        <v/>
      </c>
      <c r="R385" s="3">
        <f ca="1">IF(IncidentTable[[#This Row],[Priority]]="Critical",1,
IF(IncidentTable[[#This Row],[Priority]]="High",3,
IF(IncidentTable[[#This Row],[Priority]]="Medium",5,
IF(IncidentTable[[#This Row],[Priority]]="Low",10,""))))</f>
        <v>3</v>
      </c>
      <c r="S385" t="str">
        <f ca="1">IF(IncidentTable[[#This Row],[Resolution Time (Days)]]="","",
IF(IncidentTable[[#This Row],[Resolution Time (Days)]]&lt;=IncidentTable[[#This Row],[SLA Target (Days)]],"Yes","No"))</f>
        <v/>
      </c>
    </row>
    <row r="386" spans="1:19" x14ac:dyDescent="0.25">
      <c r="A386" t="str">
        <f t="shared" ca="1" si="21"/>
        <v>INC856603</v>
      </c>
      <c r="B386" t="str" cm="1">
        <f t="array" aca="1" ref="B386" ca="1">INDEX(SystemList,RANDBETWEEN(1,ROWS(SystemList)))</f>
        <v>Policy Admin System</v>
      </c>
      <c r="C386" t="str" cm="1">
        <f t="array" aca="1" ref="C386" ca="1">INDEX(IssueTypeList,RANDBETWEEN(1,ROWS(IssueTypeList)))</f>
        <v>Integration Failure</v>
      </c>
      <c r="D386" t="str" cm="1">
        <f t="array" aca="1" ref="D386" ca="1">INDEX(PriorityList,RANDBETWEEN(1,ROWS(PriorityList)))</f>
        <v>Medium</v>
      </c>
      <c r="E386" t="str" cm="1">
        <f t="array" aca="1" ref="E386" ca="1">INDEX(SeverityList,RANDBETWEEN(1,ROWS(SeverityList)))</f>
        <v>Critical</v>
      </c>
      <c r="F386" t="str" cm="1">
        <f t="array" aca="1" ref="F386" ca="1">INDEX(RegionList,RANDBETWEEN(1,ROWS(RegionList)))</f>
        <v>West</v>
      </c>
      <c r="G386" t="str" cm="1">
        <f t="array" aca="1" ref="G386" ca="1">INDEX(DepartmentList,RANDBETWEEN(1,ROWS(DepartmentList)))</f>
        <v>Compliance</v>
      </c>
      <c r="H386" s="1">
        <f t="shared" ca="1" si="22"/>
        <v>45256</v>
      </c>
      <c r="I386" s="4">
        <f ca="1">IF(IncidentTable[[#This Row],[Resolution Time (Days)]]="","",IncidentTable[[#This Row],[Created Date]]+IncidentTable[[#This Row],[Resolution Time (Days)]])</f>
        <v>45349</v>
      </c>
      <c r="J386">
        <f ca="1">IF(OR(IncidentTable[[#This Row],[Status]]="Resolved",IncidentTable[[#This Row],[Status]]="Closed"),RANDBETWEEN(1,120),"")</f>
        <v>93</v>
      </c>
      <c r="K386" t="str">
        <f t="shared" ref="K386:K449" ca="1" si="24">CHOOSE(RANDBETWEEN(1,5),"Open","In Progress","Pending","Resolved","Closed")</f>
        <v>Resolved</v>
      </c>
      <c r="L386" t="str" cm="1">
        <f t="array" aca="1" ref="L386" ca="1">INDEX(AnalystList,RANDBETWEEN(1,ROWS(AnalystList)))</f>
        <v>Taylor Smith</v>
      </c>
      <c r="M386" t="str" cm="1">
        <f t="array" aca="1" ref="M386" ca="1">INDEX(RootCauseList,RANDBETWEEN(1,ROWS(RootCauseList)))</f>
        <v>Process Gap</v>
      </c>
      <c r="N386">
        <f t="shared" ca="1" si="23"/>
        <v>5700.53</v>
      </c>
      <c r="O386">
        <f ca="1">IF(OR(IncidentTable[[#This Row],[Status]]="Resolved",IncidentTable[[#This Row],[Status]]="Closed"),
ROUND(IncidentTable[[#This Row],[Estimated Impact ($)]]*(1+RANDBETWEEN(-15,25)/100)+RAND(),2),
"")</f>
        <v>6612.72</v>
      </c>
      <c r="P386">
        <f ca="1">IF(IncidentTable[[#This Row],[Actual Impact ($)]]="","",ROUND(IncidentTable[[#This Row],[Actual Impact ($)]]-IncidentTable[[#This Row],[Estimated Impact ($)]],2))</f>
        <v>912.19</v>
      </c>
      <c r="Q386" s="2">
        <f ca="1">IF(IncidentTable[[#This Row],[Actual Impact ($)]]="","",(IncidentTable[[#This Row],[Actual Impact ($)]]-IncidentTable[[#This Row],[Estimated Impact ($)]]) / IncidentTable[[#This Row],[Estimated Impact ($)]])</f>
        <v>0.16001845442441326</v>
      </c>
      <c r="R386" s="3">
        <f ca="1">IF(IncidentTable[[#This Row],[Priority]]="Critical",1,
IF(IncidentTable[[#This Row],[Priority]]="High",3,
IF(IncidentTable[[#This Row],[Priority]]="Medium",5,
IF(IncidentTable[[#This Row],[Priority]]="Low",10,""))))</f>
        <v>5</v>
      </c>
      <c r="S386" t="str">
        <f ca="1">IF(IncidentTable[[#This Row],[Resolution Time (Days)]]="","",
IF(IncidentTable[[#This Row],[Resolution Time (Days)]]&lt;=IncidentTable[[#This Row],[SLA Target (Days)]],"Yes","No"))</f>
        <v>No</v>
      </c>
    </row>
    <row r="387" spans="1:19" x14ac:dyDescent="0.25">
      <c r="A387" t="str">
        <f t="shared" ref="A387:A450" ca="1" si="25">"INC"&amp;TEXT(RANDBETWEEN(100000,999999),"000000")</f>
        <v>INC863446</v>
      </c>
      <c r="B387" t="str" cm="1">
        <f t="array" aca="1" ref="B387" ca="1">INDEX(SystemList,RANDBETWEEN(1,ROWS(SystemList)))</f>
        <v>Regulatory System</v>
      </c>
      <c r="C387" t="str" cm="1">
        <f t="array" aca="1" ref="C387" ca="1">INDEX(IssueTypeList,RANDBETWEEN(1,ROWS(IssueTypeList)))</f>
        <v>Performance Issue</v>
      </c>
      <c r="D387" t="str" cm="1">
        <f t="array" aca="1" ref="D387" ca="1">INDEX(PriorityList,RANDBETWEEN(1,ROWS(PriorityList)))</f>
        <v>High</v>
      </c>
      <c r="E387" t="str" cm="1">
        <f t="array" aca="1" ref="E387" ca="1">INDEX(SeverityList,RANDBETWEEN(1,ROWS(SeverityList)))</f>
        <v>Critical</v>
      </c>
      <c r="F387" t="str" cm="1">
        <f t="array" aca="1" ref="F387" ca="1">INDEX(RegionList,RANDBETWEEN(1,ROWS(RegionList)))</f>
        <v>West</v>
      </c>
      <c r="G387" t="str" cm="1">
        <f t="array" aca="1" ref="G387" ca="1">INDEX(DepartmentList,RANDBETWEEN(1,ROWS(DepartmentList)))</f>
        <v>IT</v>
      </c>
      <c r="H387" s="1">
        <f t="shared" ref="H387:H450" ca="1" si="26">DATE(2023,1,1)+RANDBETWEEN(0,545)</f>
        <v>45124</v>
      </c>
      <c r="I387" s="4" t="str">
        <f ca="1">IF(IncidentTable[[#This Row],[Resolution Time (Days)]]="","",IncidentTable[[#This Row],[Created Date]]+IncidentTable[[#This Row],[Resolution Time (Days)]])</f>
        <v/>
      </c>
      <c r="J387" t="str">
        <f ca="1">IF(OR(IncidentTable[[#This Row],[Status]]="Resolved",IncidentTable[[#This Row],[Status]]="Closed"),RANDBETWEEN(1,120),"")</f>
        <v/>
      </c>
      <c r="K387" t="str">
        <f t="shared" ca="1" si="24"/>
        <v>In Progress</v>
      </c>
      <c r="L387" t="str" cm="1">
        <f t="array" aca="1" ref="L387" ca="1">INDEX(AnalystList,RANDBETWEEN(1,ROWS(AnalystList)))</f>
        <v>Taylor Smith</v>
      </c>
      <c r="M387" t="str" cm="1">
        <f t="array" aca="1" ref="M387" ca="1">INDEX(RootCauseList,RANDBETWEEN(1,ROWS(RootCauseList)))</f>
        <v>Data Error</v>
      </c>
      <c r="N387">
        <f t="shared" ref="N387:N450" ca="1" si="27">ROUND(RANDBETWEEN(500,50000)*(RAND()^3),2)</f>
        <v>4665.97</v>
      </c>
      <c r="O387" t="str">
        <f ca="1">IF(OR(IncidentTable[[#This Row],[Status]]="Resolved",IncidentTable[[#This Row],[Status]]="Closed"),
ROUND(IncidentTable[[#This Row],[Estimated Impact ($)]]*(1+RANDBETWEEN(-15,25)/100)+RAND(),2),
"")</f>
        <v/>
      </c>
      <c r="P387" t="str">
        <f ca="1">IF(IncidentTable[[#This Row],[Actual Impact ($)]]="","",ROUND(IncidentTable[[#This Row],[Actual Impact ($)]]-IncidentTable[[#This Row],[Estimated Impact ($)]],2))</f>
        <v/>
      </c>
      <c r="Q387" s="2" t="str">
        <f ca="1">IF(IncidentTable[[#This Row],[Actual Impact ($)]]="","",(IncidentTable[[#This Row],[Actual Impact ($)]]-IncidentTable[[#This Row],[Estimated Impact ($)]]) / IncidentTable[[#This Row],[Estimated Impact ($)]])</f>
        <v/>
      </c>
      <c r="R387" s="3">
        <f ca="1">IF(IncidentTable[[#This Row],[Priority]]="Critical",1,
IF(IncidentTable[[#This Row],[Priority]]="High",3,
IF(IncidentTable[[#This Row],[Priority]]="Medium",5,
IF(IncidentTable[[#This Row],[Priority]]="Low",10,""))))</f>
        <v>3</v>
      </c>
      <c r="S387" t="str">
        <f ca="1">IF(IncidentTable[[#This Row],[Resolution Time (Days)]]="","",
IF(IncidentTable[[#This Row],[Resolution Time (Days)]]&lt;=IncidentTable[[#This Row],[SLA Target (Days)]],"Yes","No"))</f>
        <v/>
      </c>
    </row>
    <row r="388" spans="1:19" x14ac:dyDescent="0.25">
      <c r="A388" t="str">
        <f t="shared" ca="1" si="25"/>
        <v>INC306090</v>
      </c>
      <c r="B388" t="str" cm="1">
        <f t="array" aca="1" ref="B388" ca="1">INDEX(SystemList,RANDBETWEEN(1,ROWS(SystemList)))</f>
        <v>Customer Portal</v>
      </c>
      <c r="C388" t="str" cm="1">
        <f t="array" aca="1" ref="C388" ca="1">INDEX(IssueTypeList,RANDBETWEEN(1,ROWS(IssueTypeList)))</f>
        <v>Complaint</v>
      </c>
      <c r="D388" t="str" cm="1">
        <f t="array" aca="1" ref="D388" ca="1">INDEX(PriorityList,RANDBETWEEN(1,ROWS(PriorityList)))</f>
        <v>High</v>
      </c>
      <c r="E388" t="str" cm="1">
        <f t="array" aca="1" ref="E388" ca="1">INDEX(SeverityList,RANDBETWEEN(1,ROWS(SeverityList)))</f>
        <v>Critical</v>
      </c>
      <c r="F388" t="str" cm="1">
        <f t="array" aca="1" ref="F388" ca="1">INDEX(RegionList,RANDBETWEEN(1,ROWS(RegionList)))</f>
        <v>East</v>
      </c>
      <c r="G388" t="str" cm="1">
        <f t="array" aca="1" ref="G388" ca="1">INDEX(DepartmentList,RANDBETWEEN(1,ROWS(DepartmentList)))</f>
        <v>Compliance</v>
      </c>
      <c r="H388" s="1">
        <f t="shared" ca="1" si="26"/>
        <v>45099</v>
      </c>
      <c r="I388" s="4" t="str">
        <f ca="1">IF(IncidentTable[[#This Row],[Resolution Time (Days)]]="","",IncidentTable[[#This Row],[Created Date]]+IncidentTable[[#This Row],[Resolution Time (Days)]])</f>
        <v/>
      </c>
      <c r="J388" t="str">
        <f ca="1">IF(OR(IncidentTable[[#This Row],[Status]]="Resolved",IncidentTable[[#This Row],[Status]]="Closed"),RANDBETWEEN(1,120),"")</f>
        <v/>
      </c>
      <c r="K388" t="str">
        <f t="shared" ca="1" si="24"/>
        <v>In Progress</v>
      </c>
      <c r="L388" t="str" cm="1">
        <f t="array" aca="1" ref="L388" ca="1">INDEX(AnalystList,RANDBETWEEN(1,ROWS(AnalystList)))</f>
        <v>Casey Brown</v>
      </c>
      <c r="M388" t="str" cm="1">
        <f t="array" aca="1" ref="M388" ca="1">INDEX(RootCauseList,RANDBETWEEN(1,ROWS(RootCauseList)))</f>
        <v>Data Error</v>
      </c>
      <c r="N388">
        <f t="shared" ca="1" si="27"/>
        <v>4989.3100000000004</v>
      </c>
      <c r="O388" t="str">
        <f ca="1">IF(OR(IncidentTable[[#This Row],[Status]]="Resolved",IncidentTable[[#This Row],[Status]]="Closed"),
ROUND(IncidentTable[[#This Row],[Estimated Impact ($)]]*(1+RANDBETWEEN(-15,25)/100)+RAND(),2),
"")</f>
        <v/>
      </c>
      <c r="P388" t="str">
        <f ca="1">IF(IncidentTable[[#This Row],[Actual Impact ($)]]="","",ROUND(IncidentTable[[#This Row],[Actual Impact ($)]]-IncidentTable[[#This Row],[Estimated Impact ($)]],2))</f>
        <v/>
      </c>
      <c r="Q388" s="2" t="str">
        <f ca="1">IF(IncidentTable[[#This Row],[Actual Impact ($)]]="","",(IncidentTable[[#This Row],[Actual Impact ($)]]-IncidentTable[[#This Row],[Estimated Impact ($)]]) / IncidentTable[[#This Row],[Estimated Impact ($)]])</f>
        <v/>
      </c>
      <c r="R388" s="3">
        <f ca="1">IF(IncidentTable[[#This Row],[Priority]]="Critical",1,
IF(IncidentTable[[#This Row],[Priority]]="High",3,
IF(IncidentTable[[#This Row],[Priority]]="Medium",5,
IF(IncidentTable[[#This Row],[Priority]]="Low",10,""))))</f>
        <v>3</v>
      </c>
      <c r="S388" t="str">
        <f ca="1">IF(IncidentTable[[#This Row],[Resolution Time (Days)]]="","",
IF(IncidentTable[[#This Row],[Resolution Time (Days)]]&lt;=IncidentTable[[#This Row],[SLA Target (Days)]],"Yes","No"))</f>
        <v/>
      </c>
    </row>
    <row r="389" spans="1:19" x14ac:dyDescent="0.25">
      <c r="A389" t="str">
        <f t="shared" ca="1" si="25"/>
        <v>INC481461</v>
      </c>
      <c r="B389" t="str" cm="1">
        <f t="array" aca="1" ref="B389" ca="1">INDEX(SystemList,RANDBETWEEN(1,ROWS(SystemList)))</f>
        <v>Payment Processing</v>
      </c>
      <c r="C389" t="str" cm="1">
        <f t="array" aca="1" ref="C389" ca="1">INDEX(IssueTypeList,RANDBETWEEN(1,ROWS(IssueTypeList)))</f>
        <v>Performance Issue</v>
      </c>
      <c r="D389" t="str" cm="1">
        <f t="array" aca="1" ref="D389" ca="1">INDEX(PriorityList,RANDBETWEEN(1,ROWS(PriorityList)))</f>
        <v>Medium</v>
      </c>
      <c r="E389" t="str" cm="1">
        <f t="array" aca="1" ref="E389" ca="1">INDEX(SeverityList,RANDBETWEEN(1,ROWS(SeverityList)))</f>
        <v>Major</v>
      </c>
      <c r="F389" t="str" cm="1">
        <f t="array" aca="1" ref="F389" ca="1">INDEX(RegionList,RANDBETWEEN(1,ROWS(RegionList)))</f>
        <v>Midwest</v>
      </c>
      <c r="G389" t="str" cm="1">
        <f t="array" aca="1" ref="G389" ca="1">INDEX(DepartmentList,RANDBETWEEN(1,ROWS(DepartmentList)))</f>
        <v>Billing</v>
      </c>
      <c r="H389" s="1">
        <f t="shared" ca="1" si="26"/>
        <v>45394</v>
      </c>
      <c r="I389" s="4" t="str">
        <f ca="1">IF(IncidentTable[[#This Row],[Resolution Time (Days)]]="","",IncidentTable[[#This Row],[Created Date]]+IncidentTable[[#This Row],[Resolution Time (Days)]])</f>
        <v/>
      </c>
      <c r="J389" t="str">
        <f ca="1">IF(OR(IncidentTable[[#This Row],[Status]]="Resolved",IncidentTable[[#This Row],[Status]]="Closed"),RANDBETWEEN(1,120),"")</f>
        <v/>
      </c>
      <c r="K389" t="str">
        <f t="shared" ca="1" si="24"/>
        <v>In Progress</v>
      </c>
      <c r="L389" t="str" cm="1">
        <f t="array" aca="1" ref="L389" ca="1">INDEX(AnalystList,RANDBETWEEN(1,ROWS(AnalystList)))</f>
        <v>Taylor Smith</v>
      </c>
      <c r="M389" t="str" cm="1">
        <f t="array" aca="1" ref="M389" ca="1">INDEX(RootCauseList,RANDBETWEEN(1,ROWS(RootCauseList)))</f>
        <v>Configuration Issue</v>
      </c>
      <c r="N389">
        <f t="shared" ca="1" si="27"/>
        <v>890.47</v>
      </c>
      <c r="O389" t="str">
        <f ca="1">IF(OR(IncidentTable[[#This Row],[Status]]="Resolved",IncidentTable[[#This Row],[Status]]="Closed"),
ROUND(IncidentTable[[#This Row],[Estimated Impact ($)]]*(1+RANDBETWEEN(-15,25)/100)+RAND(),2),
"")</f>
        <v/>
      </c>
      <c r="P389" t="str">
        <f ca="1">IF(IncidentTable[[#This Row],[Actual Impact ($)]]="","",ROUND(IncidentTable[[#This Row],[Actual Impact ($)]]-IncidentTable[[#This Row],[Estimated Impact ($)]],2))</f>
        <v/>
      </c>
      <c r="Q389" s="2" t="str">
        <f ca="1">IF(IncidentTable[[#This Row],[Actual Impact ($)]]="","",(IncidentTable[[#This Row],[Actual Impact ($)]]-IncidentTable[[#This Row],[Estimated Impact ($)]]) / IncidentTable[[#This Row],[Estimated Impact ($)]])</f>
        <v/>
      </c>
      <c r="R389" s="3">
        <f ca="1">IF(IncidentTable[[#This Row],[Priority]]="Critical",1,
IF(IncidentTable[[#This Row],[Priority]]="High",3,
IF(IncidentTable[[#This Row],[Priority]]="Medium",5,
IF(IncidentTable[[#This Row],[Priority]]="Low",10,""))))</f>
        <v>5</v>
      </c>
      <c r="S389" t="str">
        <f ca="1">IF(IncidentTable[[#This Row],[Resolution Time (Days)]]="","",
IF(IncidentTable[[#This Row],[Resolution Time (Days)]]&lt;=IncidentTable[[#This Row],[SLA Target (Days)]],"Yes","No"))</f>
        <v/>
      </c>
    </row>
    <row r="390" spans="1:19" x14ac:dyDescent="0.25">
      <c r="A390" t="str">
        <f t="shared" ca="1" si="25"/>
        <v>INC120385</v>
      </c>
      <c r="B390" t="str" cm="1">
        <f t="array" aca="1" ref="B390" ca="1">INDEX(SystemList,RANDBETWEEN(1,ROWS(SystemList)))</f>
        <v>Claims System</v>
      </c>
      <c r="C390" t="str" cm="1">
        <f t="array" aca="1" ref="C390" ca="1">INDEX(IssueTypeList,RANDBETWEEN(1,ROWS(IssueTypeList)))</f>
        <v>Performance Issue</v>
      </c>
      <c r="D390" t="str" cm="1">
        <f t="array" aca="1" ref="D390" ca="1">INDEX(PriorityList,RANDBETWEEN(1,ROWS(PriorityList)))</f>
        <v>High</v>
      </c>
      <c r="E390" t="str" cm="1">
        <f t="array" aca="1" ref="E390" ca="1">INDEX(SeverityList,RANDBETWEEN(1,ROWS(SeverityList)))</f>
        <v>Moderate</v>
      </c>
      <c r="F390" t="str" cm="1">
        <f t="array" aca="1" ref="F390" ca="1">INDEX(RegionList,RANDBETWEEN(1,ROWS(RegionList)))</f>
        <v>Central</v>
      </c>
      <c r="G390" t="str" cm="1">
        <f t="array" aca="1" ref="G390" ca="1">INDEX(DepartmentList,RANDBETWEEN(1,ROWS(DepartmentList)))</f>
        <v>Compliance</v>
      </c>
      <c r="H390" s="1">
        <f t="shared" ca="1" si="26"/>
        <v>45140</v>
      </c>
      <c r="I390" s="4" t="str">
        <f ca="1">IF(IncidentTable[[#This Row],[Resolution Time (Days)]]="","",IncidentTable[[#This Row],[Created Date]]+IncidentTable[[#This Row],[Resolution Time (Days)]])</f>
        <v/>
      </c>
      <c r="J390" t="str">
        <f ca="1">IF(OR(IncidentTable[[#This Row],[Status]]="Resolved",IncidentTable[[#This Row],[Status]]="Closed"),RANDBETWEEN(1,120),"")</f>
        <v/>
      </c>
      <c r="K390" t="str">
        <f t="shared" ca="1" si="24"/>
        <v>Open</v>
      </c>
      <c r="L390" t="str" cm="1">
        <f t="array" aca="1" ref="L390" ca="1">INDEX(AnalystList,RANDBETWEEN(1,ROWS(AnalystList)))</f>
        <v>Jordan Lee</v>
      </c>
      <c r="M390" t="str" cm="1">
        <f t="array" aca="1" ref="M390" ca="1">INDEX(RootCauseList,RANDBETWEEN(1,ROWS(RootCauseList)))</f>
        <v>System Bug</v>
      </c>
      <c r="N390">
        <f t="shared" ca="1" si="27"/>
        <v>1072.71</v>
      </c>
      <c r="O390" t="str">
        <f ca="1">IF(OR(IncidentTable[[#This Row],[Status]]="Resolved",IncidentTable[[#This Row],[Status]]="Closed"),
ROUND(IncidentTable[[#This Row],[Estimated Impact ($)]]*(1+RANDBETWEEN(-15,25)/100)+RAND(),2),
"")</f>
        <v/>
      </c>
      <c r="P390" t="str">
        <f ca="1">IF(IncidentTable[[#This Row],[Actual Impact ($)]]="","",ROUND(IncidentTable[[#This Row],[Actual Impact ($)]]-IncidentTable[[#This Row],[Estimated Impact ($)]],2))</f>
        <v/>
      </c>
      <c r="Q390" s="2" t="str">
        <f ca="1">IF(IncidentTable[[#This Row],[Actual Impact ($)]]="","",(IncidentTable[[#This Row],[Actual Impact ($)]]-IncidentTable[[#This Row],[Estimated Impact ($)]]) / IncidentTable[[#This Row],[Estimated Impact ($)]])</f>
        <v/>
      </c>
      <c r="R390" s="3">
        <f ca="1">IF(IncidentTable[[#This Row],[Priority]]="Critical",1,
IF(IncidentTable[[#This Row],[Priority]]="High",3,
IF(IncidentTable[[#This Row],[Priority]]="Medium",5,
IF(IncidentTable[[#This Row],[Priority]]="Low",10,""))))</f>
        <v>3</v>
      </c>
      <c r="S390" t="str">
        <f ca="1">IF(IncidentTable[[#This Row],[Resolution Time (Days)]]="","",
IF(IncidentTable[[#This Row],[Resolution Time (Days)]]&lt;=IncidentTable[[#This Row],[SLA Target (Days)]],"Yes","No"))</f>
        <v/>
      </c>
    </row>
    <row r="391" spans="1:19" x14ac:dyDescent="0.25">
      <c r="A391" t="str">
        <f t="shared" ca="1" si="25"/>
        <v>INC159080</v>
      </c>
      <c r="B391" t="str" cm="1">
        <f t="array" aca="1" ref="B391" ca="1">INDEX(SystemList,RANDBETWEEN(1,ROWS(SystemList)))</f>
        <v>Policy Admin System</v>
      </c>
      <c r="C391" t="str" cm="1">
        <f t="array" aca="1" ref="C391" ca="1">INDEX(IssueTypeList,RANDBETWEEN(1,ROWS(IssueTypeList)))</f>
        <v>System Error</v>
      </c>
      <c r="D391" t="str" cm="1">
        <f t="array" aca="1" ref="D391" ca="1">INDEX(PriorityList,RANDBETWEEN(1,ROWS(PriorityList)))</f>
        <v>Medium</v>
      </c>
      <c r="E391" t="str" cm="1">
        <f t="array" aca="1" ref="E391" ca="1">INDEX(SeverityList,RANDBETWEEN(1,ROWS(SeverityList)))</f>
        <v>Critical</v>
      </c>
      <c r="F391" t="str" cm="1">
        <f t="array" aca="1" ref="F391" ca="1">INDEX(RegionList,RANDBETWEEN(1,ROWS(RegionList)))</f>
        <v>Central</v>
      </c>
      <c r="G391" t="str" cm="1">
        <f t="array" aca="1" ref="G391" ca="1">INDEX(DepartmentList,RANDBETWEEN(1,ROWS(DepartmentList)))</f>
        <v>Claims</v>
      </c>
      <c r="H391" s="1">
        <f t="shared" ca="1" si="26"/>
        <v>45409</v>
      </c>
      <c r="I391" s="4">
        <f ca="1">IF(IncidentTable[[#This Row],[Resolution Time (Days)]]="","",IncidentTable[[#This Row],[Created Date]]+IncidentTable[[#This Row],[Resolution Time (Days)]])</f>
        <v>45438</v>
      </c>
      <c r="J391">
        <f ca="1">IF(OR(IncidentTable[[#This Row],[Status]]="Resolved",IncidentTable[[#This Row],[Status]]="Closed"),RANDBETWEEN(1,120),"")</f>
        <v>29</v>
      </c>
      <c r="K391" t="str">
        <f t="shared" ca="1" si="24"/>
        <v>Resolved</v>
      </c>
      <c r="L391" t="str" cm="1">
        <f t="array" aca="1" ref="L391" ca="1">INDEX(AnalystList,RANDBETWEEN(1,ROWS(AnalystList)))</f>
        <v>Casey Brown</v>
      </c>
      <c r="M391" t="str" cm="1">
        <f t="array" aca="1" ref="M391" ca="1">INDEX(RootCauseList,RANDBETWEEN(1,ROWS(RootCauseList)))</f>
        <v>Process Gap</v>
      </c>
      <c r="N391">
        <f t="shared" ca="1" si="27"/>
        <v>8536.76</v>
      </c>
      <c r="O391">
        <f ca="1">IF(OR(IncidentTable[[#This Row],[Status]]="Resolved",IncidentTable[[#This Row],[Status]]="Closed"),
ROUND(IncidentTable[[#This Row],[Estimated Impact ($)]]*(1+RANDBETWEEN(-15,25)/100)+RAND(),2),
"")</f>
        <v>9391.2000000000007</v>
      </c>
      <c r="P391">
        <f ca="1">IF(IncidentTable[[#This Row],[Actual Impact ($)]]="","",ROUND(IncidentTable[[#This Row],[Actual Impact ($)]]-IncidentTable[[#This Row],[Estimated Impact ($)]],2))</f>
        <v>854.44</v>
      </c>
      <c r="Q391" s="2">
        <f ca="1">IF(IncidentTable[[#This Row],[Actual Impact ($)]]="","",(IncidentTable[[#This Row],[Actual Impact ($)]]-IncidentTable[[#This Row],[Estimated Impact ($)]]) / IncidentTable[[#This Row],[Estimated Impact ($)]])</f>
        <v>0.10008949531203881</v>
      </c>
      <c r="R391" s="3">
        <f ca="1">IF(IncidentTable[[#This Row],[Priority]]="Critical",1,
IF(IncidentTable[[#This Row],[Priority]]="High",3,
IF(IncidentTable[[#This Row],[Priority]]="Medium",5,
IF(IncidentTable[[#This Row],[Priority]]="Low",10,""))))</f>
        <v>5</v>
      </c>
      <c r="S391" t="str">
        <f ca="1">IF(IncidentTable[[#This Row],[Resolution Time (Days)]]="","",
IF(IncidentTable[[#This Row],[Resolution Time (Days)]]&lt;=IncidentTable[[#This Row],[SLA Target (Days)]],"Yes","No"))</f>
        <v>No</v>
      </c>
    </row>
    <row r="392" spans="1:19" x14ac:dyDescent="0.25">
      <c r="A392" t="str">
        <f t="shared" ca="1" si="25"/>
        <v>INC613486</v>
      </c>
      <c r="B392" t="str" cm="1">
        <f t="array" aca="1" ref="B392" ca="1">INDEX(SystemList,RANDBETWEEN(1,ROWS(SystemList)))</f>
        <v>Claims System</v>
      </c>
      <c r="C392" t="str" cm="1">
        <f t="array" aca="1" ref="C392" ca="1">INDEX(IssueTypeList,RANDBETWEEN(1,ROWS(IssueTypeList)))</f>
        <v>Processing Delay</v>
      </c>
      <c r="D392" t="str" cm="1">
        <f t="array" aca="1" ref="D392" ca="1">INDEX(PriorityList,RANDBETWEEN(1,ROWS(PriorityList)))</f>
        <v>High</v>
      </c>
      <c r="E392" t="str" cm="1">
        <f t="array" aca="1" ref="E392" ca="1">INDEX(SeverityList,RANDBETWEEN(1,ROWS(SeverityList)))</f>
        <v>Major</v>
      </c>
      <c r="F392" t="str" cm="1">
        <f t="array" aca="1" ref="F392" ca="1">INDEX(RegionList,RANDBETWEEN(1,ROWS(RegionList)))</f>
        <v>Southeast</v>
      </c>
      <c r="G392" t="str" cm="1">
        <f t="array" aca="1" ref="G392" ca="1">INDEX(DepartmentList,RANDBETWEEN(1,ROWS(DepartmentList)))</f>
        <v>Claims</v>
      </c>
      <c r="H392" s="1">
        <f t="shared" ca="1" si="26"/>
        <v>45464</v>
      </c>
      <c r="I392" s="4">
        <f ca="1">IF(IncidentTable[[#This Row],[Resolution Time (Days)]]="","",IncidentTable[[#This Row],[Created Date]]+IncidentTable[[#This Row],[Resolution Time (Days)]])</f>
        <v>45539</v>
      </c>
      <c r="J392">
        <f ca="1">IF(OR(IncidentTable[[#This Row],[Status]]="Resolved",IncidentTable[[#This Row],[Status]]="Closed"),RANDBETWEEN(1,120),"")</f>
        <v>75</v>
      </c>
      <c r="K392" t="str">
        <f t="shared" ca="1" si="24"/>
        <v>Resolved</v>
      </c>
      <c r="L392" t="str" cm="1">
        <f t="array" aca="1" ref="L392" ca="1">INDEX(AnalystList,RANDBETWEEN(1,ROWS(AnalystList)))</f>
        <v>Morgan Davis</v>
      </c>
      <c r="M392" t="str" cm="1">
        <f t="array" aca="1" ref="M392" ca="1">INDEX(RootCauseList,RANDBETWEEN(1,ROWS(RootCauseList)))</f>
        <v>User Error</v>
      </c>
      <c r="N392">
        <f t="shared" ca="1" si="27"/>
        <v>1009.65</v>
      </c>
      <c r="O392">
        <f ca="1">IF(OR(IncidentTable[[#This Row],[Status]]="Resolved",IncidentTable[[#This Row],[Status]]="Closed"),
ROUND(IncidentTable[[#This Row],[Estimated Impact ($)]]*(1+RANDBETWEEN(-15,25)/100)+RAND(),2),
"")</f>
        <v>969.95</v>
      </c>
      <c r="P392">
        <f ca="1">IF(IncidentTable[[#This Row],[Actual Impact ($)]]="","",ROUND(IncidentTable[[#This Row],[Actual Impact ($)]]-IncidentTable[[#This Row],[Estimated Impact ($)]],2))</f>
        <v>-39.700000000000003</v>
      </c>
      <c r="Q392" s="2">
        <f ca="1">IF(IncidentTable[[#This Row],[Actual Impact ($)]]="","",(IncidentTable[[#This Row],[Actual Impact ($)]]-IncidentTable[[#This Row],[Estimated Impact ($)]]) / IncidentTable[[#This Row],[Estimated Impact ($)]])</f>
        <v>-3.9320556628534571E-2</v>
      </c>
      <c r="R392" s="3">
        <f ca="1">IF(IncidentTable[[#This Row],[Priority]]="Critical",1,
IF(IncidentTable[[#This Row],[Priority]]="High",3,
IF(IncidentTable[[#This Row],[Priority]]="Medium",5,
IF(IncidentTable[[#This Row],[Priority]]="Low",10,""))))</f>
        <v>3</v>
      </c>
      <c r="S392" t="str">
        <f ca="1">IF(IncidentTable[[#This Row],[Resolution Time (Days)]]="","",
IF(IncidentTable[[#This Row],[Resolution Time (Days)]]&lt;=IncidentTable[[#This Row],[SLA Target (Days)]],"Yes","No"))</f>
        <v>No</v>
      </c>
    </row>
    <row r="393" spans="1:19" x14ac:dyDescent="0.25">
      <c r="A393" t="str">
        <f t="shared" ca="1" si="25"/>
        <v>INC795391</v>
      </c>
      <c r="B393" t="str" cm="1">
        <f t="array" aca="1" ref="B393" ca="1">INDEX(SystemList,RANDBETWEEN(1,ROWS(SystemList)))</f>
        <v>Reporting System</v>
      </c>
      <c r="C393" t="str" cm="1">
        <f t="array" aca="1" ref="C393" ca="1">INDEX(IssueTypeList,RANDBETWEEN(1,ROWS(IssueTypeList)))</f>
        <v>User Access Issue</v>
      </c>
      <c r="D393" t="str" cm="1">
        <f t="array" aca="1" ref="D393" ca="1">INDEX(PriorityList,RANDBETWEEN(1,ROWS(PriorityList)))</f>
        <v>Critical</v>
      </c>
      <c r="E393" t="str" cm="1">
        <f t="array" aca="1" ref="E393" ca="1">INDEX(SeverityList,RANDBETWEEN(1,ROWS(SeverityList)))</f>
        <v>Moderate</v>
      </c>
      <c r="F393" t="str" cm="1">
        <f t="array" aca="1" ref="F393" ca="1">INDEX(RegionList,RANDBETWEEN(1,ROWS(RegionList)))</f>
        <v>Central</v>
      </c>
      <c r="G393" t="str" cm="1">
        <f t="array" aca="1" ref="G393" ca="1">INDEX(DepartmentList,RANDBETWEEN(1,ROWS(DepartmentList)))</f>
        <v>Finance</v>
      </c>
      <c r="H393" s="1">
        <f t="shared" ca="1" si="26"/>
        <v>45251</v>
      </c>
      <c r="I393" s="4" t="str">
        <f ca="1">IF(IncidentTable[[#This Row],[Resolution Time (Days)]]="","",IncidentTable[[#This Row],[Created Date]]+IncidentTable[[#This Row],[Resolution Time (Days)]])</f>
        <v/>
      </c>
      <c r="J393" t="str">
        <f ca="1">IF(OR(IncidentTable[[#This Row],[Status]]="Resolved",IncidentTable[[#This Row],[Status]]="Closed"),RANDBETWEEN(1,120),"")</f>
        <v/>
      </c>
      <c r="K393" t="str">
        <f t="shared" ca="1" si="24"/>
        <v>In Progress</v>
      </c>
      <c r="L393" t="str" cm="1">
        <f t="array" aca="1" ref="L393" ca="1">INDEX(AnalystList,RANDBETWEEN(1,ROWS(AnalystList)))</f>
        <v>Casey Brown</v>
      </c>
      <c r="M393" t="str" cm="1">
        <f t="array" aca="1" ref="M393" ca="1">INDEX(RootCauseList,RANDBETWEEN(1,ROWS(RootCauseList)))</f>
        <v>Network Failure</v>
      </c>
      <c r="N393">
        <f t="shared" ca="1" si="27"/>
        <v>9224.32</v>
      </c>
      <c r="O393" t="str">
        <f ca="1">IF(OR(IncidentTable[[#This Row],[Status]]="Resolved",IncidentTable[[#This Row],[Status]]="Closed"),
ROUND(IncidentTable[[#This Row],[Estimated Impact ($)]]*(1+RANDBETWEEN(-15,25)/100)+RAND(),2),
"")</f>
        <v/>
      </c>
      <c r="P393" t="str">
        <f ca="1">IF(IncidentTable[[#This Row],[Actual Impact ($)]]="","",ROUND(IncidentTable[[#This Row],[Actual Impact ($)]]-IncidentTable[[#This Row],[Estimated Impact ($)]],2))</f>
        <v/>
      </c>
      <c r="Q393" s="2" t="str">
        <f ca="1">IF(IncidentTable[[#This Row],[Actual Impact ($)]]="","",(IncidentTable[[#This Row],[Actual Impact ($)]]-IncidentTable[[#This Row],[Estimated Impact ($)]]) / IncidentTable[[#This Row],[Estimated Impact ($)]])</f>
        <v/>
      </c>
      <c r="R393" s="3">
        <f ca="1">IF(IncidentTable[[#This Row],[Priority]]="Critical",1,
IF(IncidentTable[[#This Row],[Priority]]="High",3,
IF(IncidentTable[[#This Row],[Priority]]="Medium",5,
IF(IncidentTable[[#This Row],[Priority]]="Low",10,""))))</f>
        <v>1</v>
      </c>
      <c r="S393" t="str">
        <f ca="1">IF(IncidentTable[[#This Row],[Resolution Time (Days)]]="","",
IF(IncidentTable[[#This Row],[Resolution Time (Days)]]&lt;=IncidentTable[[#This Row],[SLA Target (Days)]],"Yes","No"))</f>
        <v/>
      </c>
    </row>
    <row r="394" spans="1:19" x14ac:dyDescent="0.25">
      <c r="A394" t="str">
        <f t="shared" ca="1" si="25"/>
        <v>INC478368</v>
      </c>
      <c r="B394" t="str" cm="1">
        <f t="array" aca="1" ref="B394" ca="1">INDEX(SystemList,RANDBETWEEN(1,ROWS(SystemList)))</f>
        <v>Customer Portal</v>
      </c>
      <c r="C394" t="str" cm="1">
        <f t="array" aca="1" ref="C394" ca="1">INDEX(IssueTypeList,RANDBETWEEN(1,ROWS(IssueTypeList)))</f>
        <v>Complaint</v>
      </c>
      <c r="D394" t="str" cm="1">
        <f t="array" aca="1" ref="D394" ca="1">INDEX(PriorityList,RANDBETWEEN(1,ROWS(PriorityList)))</f>
        <v>Low</v>
      </c>
      <c r="E394" t="str" cm="1">
        <f t="array" aca="1" ref="E394" ca="1">INDEX(SeverityList,RANDBETWEEN(1,ROWS(SeverityList)))</f>
        <v>Major</v>
      </c>
      <c r="F394" t="str" cm="1">
        <f t="array" aca="1" ref="F394" ca="1">INDEX(RegionList,RANDBETWEEN(1,ROWS(RegionList)))</f>
        <v>West</v>
      </c>
      <c r="G394" t="str" cm="1">
        <f t="array" aca="1" ref="G394" ca="1">INDEX(DepartmentList,RANDBETWEEN(1,ROWS(DepartmentList)))</f>
        <v>IT</v>
      </c>
      <c r="H394" s="1">
        <f t="shared" ca="1" si="26"/>
        <v>45327</v>
      </c>
      <c r="I394" s="4">
        <f ca="1">IF(IncidentTable[[#This Row],[Resolution Time (Days)]]="","",IncidentTable[[#This Row],[Created Date]]+IncidentTable[[#This Row],[Resolution Time (Days)]])</f>
        <v>45359</v>
      </c>
      <c r="J394">
        <f ca="1">IF(OR(IncidentTable[[#This Row],[Status]]="Resolved",IncidentTable[[#This Row],[Status]]="Closed"),RANDBETWEEN(1,120),"")</f>
        <v>32</v>
      </c>
      <c r="K394" t="str">
        <f t="shared" ca="1" si="24"/>
        <v>Resolved</v>
      </c>
      <c r="L394" t="str" cm="1">
        <f t="array" aca="1" ref="L394" ca="1">INDEX(AnalystList,RANDBETWEEN(1,ROWS(AnalystList)))</f>
        <v>Jordan Lee</v>
      </c>
      <c r="M394" t="str" cm="1">
        <f t="array" aca="1" ref="M394" ca="1">INDEX(RootCauseList,RANDBETWEEN(1,ROWS(RootCauseList)))</f>
        <v>Data Error</v>
      </c>
      <c r="N394">
        <f t="shared" ca="1" si="27"/>
        <v>232.44</v>
      </c>
      <c r="O394">
        <f ca="1">IF(OR(IncidentTable[[#This Row],[Status]]="Resolved",IncidentTable[[#This Row],[Status]]="Closed"),
ROUND(IncidentTable[[#This Row],[Estimated Impact ($)]]*(1+RANDBETWEEN(-15,25)/100)+RAND(),2),
"")</f>
        <v>221.12</v>
      </c>
      <c r="P394">
        <f ca="1">IF(IncidentTable[[#This Row],[Actual Impact ($)]]="","",ROUND(IncidentTable[[#This Row],[Actual Impact ($)]]-IncidentTable[[#This Row],[Estimated Impact ($)]],2))</f>
        <v>-11.32</v>
      </c>
      <c r="Q394" s="2">
        <f ca="1">IF(IncidentTable[[#This Row],[Actual Impact ($)]]="","",(IncidentTable[[#This Row],[Actual Impact ($)]]-IncidentTable[[#This Row],[Estimated Impact ($)]]) / IncidentTable[[#This Row],[Estimated Impact ($)]])</f>
        <v>-4.8700739975907729E-2</v>
      </c>
      <c r="R394" s="3">
        <f ca="1">IF(IncidentTable[[#This Row],[Priority]]="Critical",1,
IF(IncidentTable[[#This Row],[Priority]]="High",3,
IF(IncidentTable[[#This Row],[Priority]]="Medium",5,
IF(IncidentTable[[#This Row],[Priority]]="Low",10,""))))</f>
        <v>10</v>
      </c>
      <c r="S394" t="str">
        <f ca="1">IF(IncidentTable[[#This Row],[Resolution Time (Days)]]="","",
IF(IncidentTable[[#This Row],[Resolution Time (Days)]]&lt;=IncidentTable[[#This Row],[SLA Target (Days)]],"Yes","No"))</f>
        <v>No</v>
      </c>
    </row>
    <row r="395" spans="1:19" x14ac:dyDescent="0.25">
      <c r="A395" t="str">
        <f t="shared" ca="1" si="25"/>
        <v>INC107370</v>
      </c>
      <c r="B395" t="str" cm="1">
        <f t="array" aca="1" ref="B395" ca="1">INDEX(SystemList,RANDBETWEEN(1,ROWS(SystemList)))</f>
        <v>Policy Admin System</v>
      </c>
      <c r="C395" t="str" cm="1">
        <f t="array" aca="1" ref="C395" ca="1">INDEX(IssueTypeList,RANDBETWEEN(1,ROWS(IssueTypeList)))</f>
        <v>Performance Issue</v>
      </c>
      <c r="D395" t="str" cm="1">
        <f t="array" aca="1" ref="D395" ca="1">INDEX(PriorityList,RANDBETWEEN(1,ROWS(PriorityList)))</f>
        <v>Medium</v>
      </c>
      <c r="E395" t="str" cm="1">
        <f t="array" aca="1" ref="E395" ca="1">INDEX(SeverityList,RANDBETWEEN(1,ROWS(SeverityList)))</f>
        <v>Moderate</v>
      </c>
      <c r="F395" t="str" cm="1">
        <f t="array" aca="1" ref="F395" ca="1">INDEX(RegionList,RANDBETWEEN(1,ROWS(RegionList)))</f>
        <v>Midwest</v>
      </c>
      <c r="G395" t="str" cm="1">
        <f t="array" aca="1" ref="G395" ca="1">INDEX(DepartmentList,RANDBETWEEN(1,ROWS(DepartmentList)))</f>
        <v>IT</v>
      </c>
      <c r="H395" s="1">
        <f t="shared" ca="1" si="26"/>
        <v>45443</v>
      </c>
      <c r="I395" s="4">
        <f ca="1">IF(IncidentTable[[#This Row],[Resolution Time (Days)]]="","",IncidentTable[[#This Row],[Created Date]]+IncidentTable[[#This Row],[Resolution Time (Days)]])</f>
        <v>45515</v>
      </c>
      <c r="J395">
        <f ca="1">IF(OR(IncidentTable[[#This Row],[Status]]="Resolved",IncidentTable[[#This Row],[Status]]="Closed"),RANDBETWEEN(1,120),"")</f>
        <v>72</v>
      </c>
      <c r="K395" t="str">
        <f t="shared" ca="1" si="24"/>
        <v>Resolved</v>
      </c>
      <c r="L395" t="str" cm="1">
        <f t="array" aca="1" ref="L395" ca="1">INDEX(AnalystList,RANDBETWEEN(1,ROWS(AnalystList)))</f>
        <v>Casey Brown</v>
      </c>
      <c r="M395" t="str" cm="1">
        <f t="array" aca="1" ref="M395" ca="1">INDEX(RootCauseList,RANDBETWEEN(1,ROWS(RootCauseList)))</f>
        <v>Data Error</v>
      </c>
      <c r="N395">
        <f t="shared" ca="1" si="27"/>
        <v>62.11</v>
      </c>
      <c r="O395">
        <f ca="1">IF(OR(IncidentTable[[#This Row],[Status]]="Resolved",IncidentTable[[#This Row],[Status]]="Closed"),
ROUND(IncidentTable[[#This Row],[Estimated Impact ($)]]*(1+RANDBETWEEN(-15,25)/100)+RAND(),2),
"")</f>
        <v>61.76</v>
      </c>
      <c r="P395">
        <f ca="1">IF(IncidentTable[[#This Row],[Actual Impact ($)]]="","",ROUND(IncidentTable[[#This Row],[Actual Impact ($)]]-IncidentTable[[#This Row],[Estimated Impact ($)]],2))</f>
        <v>-0.35</v>
      </c>
      <c r="Q395" s="2">
        <f ca="1">IF(IncidentTable[[#This Row],[Actual Impact ($)]]="","",(IncidentTable[[#This Row],[Actual Impact ($)]]-IncidentTable[[#This Row],[Estimated Impact ($)]]) / IncidentTable[[#This Row],[Estimated Impact ($)]])</f>
        <v>-5.6351634197391951E-3</v>
      </c>
      <c r="R395" s="3">
        <f ca="1">IF(IncidentTable[[#This Row],[Priority]]="Critical",1,
IF(IncidentTable[[#This Row],[Priority]]="High",3,
IF(IncidentTable[[#This Row],[Priority]]="Medium",5,
IF(IncidentTable[[#This Row],[Priority]]="Low",10,""))))</f>
        <v>5</v>
      </c>
      <c r="S395" t="str">
        <f ca="1">IF(IncidentTable[[#This Row],[Resolution Time (Days)]]="","",
IF(IncidentTable[[#This Row],[Resolution Time (Days)]]&lt;=IncidentTable[[#This Row],[SLA Target (Days)]],"Yes","No"))</f>
        <v>No</v>
      </c>
    </row>
    <row r="396" spans="1:19" x14ac:dyDescent="0.25">
      <c r="A396" t="str">
        <f t="shared" ca="1" si="25"/>
        <v>INC618484</v>
      </c>
      <c r="B396" t="str" cm="1">
        <f t="array" aca="1" ref="B396" ca="1">INDEX(SystemList,RANDBETWEEN(1,ROWS(SystemList)))</f>
        <v>Regulatory System</v>
      </c>
      <c r="C396" t="str" cm="1">
        <f t="array" aca="1" ref="C396" ca="1">INDEX(IssueTypeList,RANDBETWEEN(1,ROWS(IssueTypeList)))</f>
        <v>Data Issue</v>
      </c>
      <c r="D396" t="str" cm="1">
        <f t="array" aca="1" ref="D396" ca="1">INDEX(PriorityList,RANDBETWEEN(1,ROWS(PriorityList)))</f>
        <v>High</v>
      </c>
      <c r="E396" t="str" cm="1">
        <f t="array" aca="1" ref="E396" ca="1">INDEX(SeverityList,RANDBETWEEN(1,ROWS(SeverityList)))</f>
        <v>Moderate</v>
      </c>
      <c r="F396" t="str" cm="1">
        <f t="array" aca="1" ref="F396" ca="1">INDEX(RegionList,RANDBETWEEN(1,ROWS(RegionList)))</f>
        <v>East</v>
      </c>
      <c r="G396" t="str" cm="1">
        <f t="array" aca="1" ref="G396" ca="1">INDEX(DepartmentList,RANDBETWEEN(1,ROWS(DepartmentList)))</f>
        <v>Claims</v>
      </c>
      <c r="H396" s="1">
        <f t="shared" ca="1" si="26"/>
        <v>45420</v>
      </c>
      <c r="I396" s="4" t="str">
        <f ca="1">IF(IncidentTable[[#This Row],[Resolution Time (Days)]]="","",IncidentTable[[#This Row],[Created Date]]+IncidentTable[[#This Row],[Resolution Time (Days)]])</f>
        <v/>
      </c>
      <c r="J396" t="str">
        <f ca="1">IF(OR(IncidentTable[[#This Row],[Status]]="Resolved",IncidentTable[[#This Row],[Status]]="Closed"),RANDBETWEEN(1,120),"")</f>
        <v/>
      </c>
      <c r="K396" t="str">
        <f t="shared" ca="1" si="24"/>
        <v>In Progress</v>
      </c>
      <c r="L396" t="str" cm="1">
        <f t="array" aca="1" ref="L396" ca="1">INDEX(AnalystList,RANDBETWEEN(1,ROWS(AnalystList)))</f>
        <v>Morgan Davis</v>
      </c>
      <c r="M396" t="str" cm="1">
        <f t="array" aca="1" ref="M396" ca="1">INDEX(RootCauseList,RANDBETWEEN(1,ROWS(RootCauseList)))</f>
        <v>Unknown</v>
      </c>
      <c r="N396">
        <f t="shared" ca="1" si="27"/>
        <v>662.18</v>
      </c>
      <c r="O396" t="str">
        <f ca="1">IF(OR(IncidentTable[[#This Row],[Status]]="Resolved",IncidentTable[[#This Row],[Status]]="Closed"),
ROUND(IncidentTable[[#This Row],[Estimated Impact ($)]]*(1+RANDBETWEEN(-15,25)/100)+RAND(),2),
"")</f>
        <v/>
      </c>
      <c r="P396" t="str">
        <f ca="1">IF(IncidentTable[[#This Row],[Actual Impact ($)]]="","",ROUND(IncidentTable[[#This Row],[Actual Impact ($)]]-IncidentTable[[#This Row],[Estimated Impact ($)]],2))</f>
        <v/>
      </c>
      <c r="Q396" s="2" t="str">
        <f ca="1">IF(IncidentTable[[#This Row],[Actual Impact ($)]]="","",(IncidentTable[[#This Row],[Actual Impact ($)]]-IncidentTable[[#This Row],[Estimated Impact ($)]]) / IncidentTable[[#This Row],[Estimated Impact ($)]])</f>
        <v/>
      </c>
      <c r="R396" s="3">
        <f ca="1">IF(IncidentTable[[#This Row],[Priority]]="Critical",1,
IF(IncidentTable[[#This Row],[Priority]]="High",3,
IF(IncidentTable[[#This Row],[Priority]]="Medium",5,
IF(IncidentTable[[#This Row],[Priority]]="Low",10,""))))</f>
        <v>3</v>
      </c>
      <c r="S396" t="str">
        <f ca="1">IF(IncidentTable[[#This Row],[Resolution Time (Days)]]="","",
IF(IncidentTable[[#This Row],[Resolution Time (Days)]]&lt;=IncidentTable[[#This Row],[SLA Target (Days)]],"Yes","No"))</f>
        <v/>
      </c>
    </row>
    <row r="397" spans="1:19" x14ac:dyDescent="0.25">
      <c r="A397" t="str">
        <f t="shared" ca="1" si="25"/>
        <v>INC186868</v>
      </c>
      <c r="B397" t="str" cm="1">
        <f t="array" aca="1" ref="B397" ca="1">INDEX(SystemList,RANDBETWEEN(1,ROWS(SystemList)))</f>
        <v>Reporting System</v>
      </c>
      <c r="C397" t="str" cm="1">
        <f t="array" aca="1" ref="C397" ca="1">INDEX(IssueTypeList,RANDBETWEEN(1,ROWS(IssueTypeList)))</f>
        <v>Integration Failure</v>
      </c>
      <c r="D397" t="str" cm="1">
        <f t="array" aca="1" ref="D397" ca="1">INDEX(PriorityList,RANDBETWEEN(1,ROWS(PriorityList)))</f>
        <v>Medium</v>
      </c>
      <c r="E397" t="str" cm="1">
        <f t="array" aca="1" ref="E397" ca="1">INDEX(SeverityList,RANDBETWEEN(1,ROWS(SeverityList)))</f>
        <v>Moderate</v>
      </c>
      <c r="F397" t="str" cm="1">
        <f t="array" aca="1" ref="F397" ca="1">INDEX(RegionList,RANDBETWEEN(1,ROWS(RegionList)))</f>
        <v>West</v>
      </c>
      <c r="G397" t="str" cm="1">
        <f t="array" aca="1" ref="G397" ca="1">INDEX(DepartmentList,RANDBETWEEN(1,ROWS(DepartmentList)))</f>
        <v>Claims</v>
      </c>
      <c r="H397" s="1">
        <f t="shared" ca="1" si="26"/>
        <v>45024</v>
      </c>
      <c r="I397" s="4" t="str">
        <f ca="1">IF(IncidentTable[[#This Row],[Resolution Time (Days)]]="","",IncidentTable[[#This Row],[Created Date]]+IncidentTable[[#This Row],[Resolution Time (Days)]])</f>
        <v/>
      </c>
      <c r="J397" t="str">
        <f ca="1">IF(OR(IncidentTable[[#This Row],[Status]]="Resolved",IncidentTable[[#This Row],[Status]]="Closed"),RANDBETWEEN(1,120),"")</f>
        <v/>
      </c>
      <c r="K397" t="str">
        <f t="shared" ca="1" si="24"/>
        <v>Open</v>
      </c>
      <c r="L397" t="str" cm="1">
        <f t="array" aca="1" ref="L397" ca="1">INDEX(AnalystList,RANDBETWEEN(1,ROWS(AnalystList)))</f>
        <v>Alex Johnson</v>
      </c>
      <c r="M397" t="str" cm="1">
        <f t="array" aca="1" ref="M397" ca="1">INDEX(RootCauseList,RANDBETWEEN(1,ROWS(RootCauseList)))</f>
        <v>System Bug</v>
      </c>
      <c r="N397">
        <f t="shared" ca="1" si="27"/>
        <v>565.62</v>
      </c>
      <c r="O397" t="str">
        <f ca="1">IF(OR(IncidentTable[[#This Row],[Status]]="Resolved",IncidentTable[[#This Row],[Status]]="Closed"),
ROUND(IncidentTable[[#This Row],[Estimated Impact ($)]]*(1+RANDBETWEEN(-15,25)/100)+RAND(),2),
"")</f>
        <v/>
      </c>
      <c r="P397" t="str">
        <f ca="1">IF(IncidentTable[[#This Row],[Actual Impact ($)]]="","",ROUND(IncidentTable[[#This Row],[Actual Impact ($)]]-IncidentTable[[#This Row],[Estimated Impact ($)]],2))</f>
        <v/>
      </c>
      <c r="Q397" s="2" t="str">
        <f ca="1">IF(IncidentTable[[#This Row],[Actual Impact ($)]]="","",(IncidentTable[[#This Row],[Actual Impact ($)]]-IncidentTable[[#This Row],[Estimated Impact ($)]]) / IncidentTable[[#This Row],[Estimated Impact ($)]])</f>
        <v/>
      </c>
      <c r="R397" s="3">
        <f ca="1">IF(IncidentTable[[#This Row],[Priority]]="Critical",1,
IF(IncidentTable[[#This Row],[Priority]]="High",3,
IF(IncidentTable[[#This Row],[Priority]]="Medium",5,
IF(IncidentTable[[#This Row],[Priority]]="Low",10,""))))</f>
        <v>5</v>
      </c>
      <c r="S397" t="str">
        <f ca="1">IF(IncidentTable[[#This Row],[Resolution Time (Days)]]="","",
IF(IncidentTable[[#This Row],[Resolution Time (Days)]]&lt;=IncidentTable[[#This Row],[SLA Target (Days)]],"Yes","No"))</f>
        <v/>
      </c>
    </row>
    <row r="398" spans="1:19" x14ac:dyDescent="0.25">
      <c r="A398" t="str">
        <f t="shared" ca="1" si="25"/>
        <v>INC928179</v>
      </c>
      <c r="B398" t="str" cm="1">
        <f t="array" aca="1" ref="B398" ca="1">INDEX(SystemList,RANDBETWEEN(1,ROWS(SystemList)))</f>
        <v>Claims System</v>
      </c>
      <c r="C398" t="str" cm="1">
        <f t="array" aca="1" ref="C398" ca="1">INDEX(IssueTypeList,RANDBETWEEN(1,ROWS(IssueTypeList)))</f>
        <v>Data Issue</v>
      </c>
      <c r="D398" t="str" cm="1">
        <f t="array" aca="1" ref="D398" ca="1">INDEX(PriorityList,RANDBETWEEN(1,ROWS(PriorityList)))</f>
        <v>Medium</v>
      </c>
      <c r="E398" t="str" cm="1">
        <f t="array" aca="1" ref="E398" ca="1">INDEX(SeverityList,RANDBETWEEN(1,ROWS(SeverityList)))</f>
        <v>Critical</v>
      </c>
      <c r="F398" t="str" cm="1">
        <f t="array" aca="1" ref="F398" ca="1">INDEX(RegionList,RANDBETWEEN(1,ROWS(RegionList)))</f>
        <v>West</v>
      </c>
      <c r="G398" t="str" cm="1">
        <f t="array" aca="1" ref="G398" ca="1">INDEX(DepartmentList,RANDBETWEEN(1,ROWS(DepartmentList)))</f>
        <v>Customer Service</v>
      </c>
      <c r="H398" s="1">
        <f t="shared" ca="1" si="26"/>
        <v>44955</v>
      </c>
      <c r="I398" s="4" t="str">
        <f ca="1">IF(IncidentTable[[#This Row],[Resolution Time (Days)]]="","",IncidentTable[[#This Row],[Created Date]]+IncidentTable[[#This Row],[Resolution Time (Days)]])</f>
        <v/>
      </c>
      <c r="J398" t="str">
        <f ca="1">IF(OR(IncidentTable[[#This Row],[Status]]="Resolved",IncidentTable[[#This Row],[Status]]="Closed"),RANDBETWEEN(1,120),"")</f>
        <v/>
      </c>
      <c r="K398" t="str">
        <f t="shared" ca="1" si="24"/>
        <v>Pending</v>
      </c>
      <c r="L398" t="str" cm="1">
        <f t="array" aca="1" ref="L398" ca="1">INDEX(AnalystList,RANDBETWEEN(1,ROWS(AnalystList)))</f>
        <v>Riley Wilson</v>
      </c>
      <c r="M398" t="str" cm="1">
        <f t="array" aca="1" ref="M398" ca="1">INDEX(RootCauseList,RANDBETWEEN(1,ROWS(RootCauseList)))</f>
        <v>Integration Failure</v>
      </c>
      <c r="N398">
        <f t="shared" ca="1" si="27"/>
        <v>580.23</v>
      </c>
      <c r="O398" t="str">
        <f ca="1">IF(OR(IncidentTable[[#This Row],[Status]]="Resolved",IncidentTable[[#This Row],[Status]]="Closed"),
ROUND(IncidentTable[[#This Row],[Estimated Impact ($)]]*(1+RANDBETWEEN(-15,25)/100)+RAND(),2),
"")</f>
        <v/>
      </c>
      <c r="P398" t="str">
        <f ca="1">IF(IncidentTable[[#This Row],[Actual Impact ($)]]="","",ROUND(IncidentTable[[#This Row],[Actual Impact ($)]]-IncidentTable[[#This Row],[Estimated Impact ($)]],2))</f>
        <v/>
      </c>
      <c r="Q398" s="2" t="str">
        <f ca="1">IF(IncidentTable[[#This Row],[Actual Impact ($)]]="","",(IncidentTable[[#This Row],[Actual Impact ($)]]-IncidentTable[[#This Row],[Estimated Impact ($)]]) / IncidentTable[[#This Row],[Estimated Impact ($)]])</f>
        <v/>
      </c>
      <c r="R398" s="3">
        <f ca="1">IF(IncidentTable[[#This Row],[Priority]]="Critical",1,
IF(IncidentTable[[#This Row],[Priority]]="High",3,
IF(IncidentTable[[#This Row],[Priority]]="Medium",5,
IF(IncidentTable[[#This Row],[Priority]]="Low",10,""))))</f>
        <v>5</v>
      </c>
      <c r="S398" t="str">
        <f ca="1">IF(IncidentTable[[#This Row],[Resolution Time (Days)]]="","",
IF(IncidentTable[[#This Row],[Resolution Time (Days)]]&lt;=IncidentTable[[#This Row],[SLA Target (Days)]],"Yes","No"))</f>
        <v/>
      </c>
    </row>
    <row r="399" spans="1:19" x14ac:dyDescent="0.25">
      <c r="A399" t="str">
        <f t="shared" ca="1" si="25"/>
        <v>INC852265</v>
      </c>
      <c r="B399" t="str" cm="1">
        <f t="array" aca="1" ref="B399" ca="1">INDEX(SystemList,RANDBETWEEN(1,ROWS(SystemList)))</f>
        <v>Payment Processing</v>
      </c>
      <c r="C399" t="str" cm="1">
        <f t="array" aca="1" ref="C399" ca="1">INDEX(IssueTypeList,RANDBETWEEN(1,ROWS(IssueTypeList)))</f>
        <v>Integration Failure</v>
      </c>
      <c r="D399" t="str" cm="1">
        <f t="array" aca="1" ref="D399" ca="1">INDEX(PriorityList,RANDBETWEEN(1,ROWS(PriorityList)))</f>
        <v>Low</v>
      </c>
      <c r="E399" t="str" cm="1">
        <f t="array" aca="1" ref="E399" ca="1">INDEX(SeverityList,RANDBETWEEN(1,ROWS(SeverityList)))</f>
        <v>Minor</v>
      </c>
      <c r="F399" t="str" cm="1">
        <f t="array" aca="1" ref="F399" ca="1">INDEX(RegionList,RANDBETWEEN(1,ROWS(RegionList)))</f>
        <v>Midwest</v>
      </c>
      <c r="G399" t="str" cm="1">
        <f t="array" aca="1" ref="G399" ca="1">INDEX(DepartmentList,RANDBETWEEN(1,ROWS(DepartmentList)))</f>
        <v>IT</v>
      </c>
      <c r="H399" s="1">
        <f t="shared" ca="1" si="26"/>
        <v>45147</v>
      </c>
      <c r="I399" s="4">
        <f ca="1">IF(IncidentTable[[#This Row],[Resolution Time (Days)]]="","",IncidentTable[[#This Row],[Created Date]]+IncidentTable[[#This Row],[Resolution Time (Days)]])</f>
        <v>45184</v>
      </c>
      <c r="J399">
        <f ca="1">IF(OR(IncidentTable[[#This Row],[Status]]="Resolved",IncidentTable[[#This Row],[Status]]="Closed"),RANDBETWEEN(1,120),"")</f>
        <v>37</v>
      </c>
      <c r="K399" t="str">
        <f t="shared" ca="1" si="24"/>
        <v>Resolved</v>
      </c>
      <c r="L399" t="str" cm="1">
        <f t="array" aca="1" ref="L399" ca="1">INDEX(AnalystList,RANDBETWEEN(1,ROWS(AnalystList)))</f>
        <v>Riley Wilson</v>
      </c>
      <c r="M399" t="str" cm="1">
        <f t="array" aca="1" ref="M399" ca="1">INDEX(RootCauseList,RANDBETWEEN(1,ROWS(RootCauseList)))</f>
        <v>User Error</v>
      </c>
      <c r="N399">
        <f t="shared" ca="1" si="27"/>
        <v>35410.11</v>
      </c>
      <c r="O399">
        <f ca="1">IF(OR(IncidentTable[[#This Row],[Status]]="Resolved",IncidentTable[[#This Row],[Status]]="Closed"),
ROUND(IncidentTable[[#This Row],[Estimated Impact ($)]]*(1+RANDBETWEEN(-15,25)/100)+RAND(),2),
"")</f>
        <v>38597.120000000003</v>
      </c>
      <c r="P399">
        <f ca="1">IF(IncidentTable[[#This Row],[Actual Impact ($)]]="","",ROUND(IncidentTable[[#This Row],[Actual Impact ($)]]-IncidentTable[[#This Row],[Estimated Impact ($)]],2))</f>
        <v>3187.01</v>
      </c>
      <c r="Q399" s="2">
        <f ca="1">IF(IncidentTable[[#This Row],[Actual Impact ($)]]="","",(IncidentTable[[#This Row],[Actual Impact ($)]]-IncidentTable[[#This Row],[Estimated Impact ($)]]) / IncidentTable[[#This Row],[Estimated Impact ($)]])</f>
        <v>9.0002826876279168E-2</v>
      </c>
      <c r="R399" s="3">
        <f ca="1">IF(IncidentTable[[#This Row],[Priority]]="Critical",1,
IF(IncidentTable[[#This Row],[Priority]]="High",3,
IF(IncidentTable[[#This Row],[Priority]]="Medium",5,
IF(IncidentTable[[#This Row],[Priority]]="Low",10,""))))</f>
        <v>10</v>
      </c>
      <c r="S399" t="str">
        <f ca="1">IF(IncidentTable[[#This Row],[Resolution Time (Days)]]="","",
IF(IncidentTable[[#This Row],[Resolution Time (Days)]]&lt;=IncidentTable[[#This Row],[SLA Target (Days)]],"Yes","No"))</f>
        <v>No</v>
      </c>
    </row>
    <row r="400" spans="1:19" x14ac:dyDescent="0.25">
      <c r="A400" t="str">
        <f t="shared" ca="1" si="25"/>
        <v>INC622148</v>
      </c>
      <c r="B400" t="str" cm="1">
        <f t="array" aca="1" ref="B400" ca="1">INDEX(SystemList,RANDBETWEEN(1,ROWS(SystemList)))</f>
        <v>Payment Processing</v>
      </c>
      <c r="C400" t="str" cm="1">
        <f t="array" aca="1" ref="C400" ca="1">INDEX(IssueTypeList,RANDBETWEEN(1,ROWS(IssueTypeList)))</f>
        <v>Payment Failure</v>
      </c>
      <c r="D400" t="str" cm="1">
        <f t="array" aca="1" ref="D400" ca="1">INDEX(PriorityList,RANDBETWEEN(1,ROWS(PriorityList)))</f>
        <v>Medium</v>
      </c>
      <c r="E400" t="str" cm="1">
        <f t="array" aca="1" ref="E400" ca="1">INDEX(SeverityList,RANDBETWEEN(1,ROWS(SeverityList)))</f>
        <v>Critical</v>
      </c>
      <c r="F400" t="str" cm="1">
        <f t="array" aca="1" ref="F400" ca="1">INDEX(RegionList,RANDBETWEEN(1,ROWS(RegionList)))</f>
        <v>Central</v>
      </c>
      <c r="G400" t="str" cm="1">
        <f t="array" aca="1" ref="G400" ca="1">INDEX(DepartmentList,RANDBETWEEN(1,ROWS(DepartmentList)))</f>
        <v>IT</v>
      </c>
      <c r="H400" s="1">
        <f t="shared" ca="1" si="26"/>
        <v>45261</v>
      </c>
      <c r="I400" s="4">
        <f ca="1">IF(IncidentTable[[#This Row],[Resolution Time (Days)]]="","",IncidentTable[[#This Row],[Created Date]]+IncidentTable[[#This Row],[Resolution Time (Days)]])</f>
        <v>45316</v>
      </c>
      <c r="J400">
        <f ca="1">IF(OR(IncidentTable[[#This Row],[Status]]="Resolved",IncidentTable[[#This Row],[Status]]="Closed"),RANDBETWEEN(1,120),"")</f>
        <v>55</v>
      </c>
      <c r="K400" t="str">
        <f t="shared" ca="1" si="24"/>
        <v>Closed</v>
      </c>
      <c r="L400" t="str" cm="1">
        <f t="array" aca="1" ref="L400" ca="1">INDEX(AnalystList,RANDBETWEEN(1,ROWS(AnalystList)))</f>
        <v>Taylor Smith</v>
      </c>
      <c r="M400" t="str" cm="1">
        <f t="array" aca="1" ref="M400" ca="1">INDEX(RootCauseList,RANDBETWEEN(1,ROWS(RootCauseList)))</f>
        <v>Unknown</v>
      </c>
      <c r="N400">
        <f t="shared" ca="1" si="27"/>
        <v>440.76</v>
      </c>
      <c r="O400">
        <f ca="1">IF(OR(IncidentTable[[#This Row],[Status]]="Resolved",IncidentTable[[#This Row],[Status]]="Closed"),
ROUND(IncidentTable[[#This Row],[Estimated Impact ($)]]*(1+RANDBETWEEN(-15,25)/100)+RAND(),2),
"")</f>
        <v>525.05999999999995</v>
      </c>
      <c r="P400">
        <f ca="1">IF(IncidentTable[[#This Row],[Actual Impact ($)]]="","",ROUND(IncidentTable[[#This Row],[Actual Impact ($)]]-IncidentTable[[#This Row],[Estimated Impact ($)]],2))</f>
        <v>84.3</v>
      </c>
      <c r="Q400" s="2">
        <f ca="1">IF(IncidentTable[[#This Row],[Actual Impact ($)]]="","",(IncidentTable[[#This Row],[Actual Impact ($)]]-IncidentTable[[#This Row],[Estimated Impact ($)]]) / IncidentTable[[#This Row],[Estimated Impact ($)]])</f>
        <v>0.19126054995916134</v>
      </c>
      <c r="R400" s="3">
        <f ca="1">IF(IncidentTable[[#This Row],[Priority]]="Critical",1,
IF(IncidentTable[[#This Row],[Priority]]="High",3,
IF(IncidentTable[[#This Row],[Priority]]="Medium",5,
IF(IncidentTable[[#This Row],[Priority]]="Low",10,""))))</f>
        <v>5</v>
      </c>
      <c r="S400" t="str">
        <f ca="1">IF(IncidentTable[[#This Row],[Resolution Time (Days)]]="","",
IF(IncidentTable[[#This Row],[Resolution Time (Days)]]&lt;=IncidentTable[[#This Row],[SLA Target (Days)]],"Yes","No"))</f>
        <v>No</v>
      </c>
    </row>
    <row r="401" spans="1:19" x14ac:dyDescent="0.25">
      <c r="A401" t="str">
        <f t="shared" ca="1" si="25"/>
        <v>INC696344</v>
      </c>
      <c r="B401" t="str" cm="1">
        <f t="array" aca="1" ref="B401" ca="1">INDEX(SystemList,RANDBETWEEN(1,ROWS(SystemList)))</f>
        <v>Policy Admin System</v>
      </c>
      <c r="C401" t="str" cm="1">
        <f t="array" aca="1" ref="C401" ca="1">INDEX(IssueTypeList,RANDBETWEEN(1,ROWS(IssueTypeList)))</f>
        <v>Performance Issue</v>
      </c>
      <c r="D401" t="str" cm="1">
        <f t="array" aca="1" ref="D401" ca="1">INDEX(PriorityList,RANDBETWEEN(1,ROWS(PriorityList)))</f>
        <v>Medium</v>
      </c>
      <c r="E401" t="str" cm="1">
        <f t="array" aca="1" ref="E401" ca="1">INDEX(SeverityList,RANDBETWEEN(1,ROWS(SeverityList)))</f>
        <v>Moderate</v>
      </c>
      <c r="F401" t="str" cm="1">
        <f t="array" aca="1" ref="F401" ca="1">INDEX(RegionList,RANDBETWEEN(1,ROWS(RegionList)))</f>
        <v>West</v>
      </c>
      <c r="G401" t="str" cm="1">
        <f t="array" aca="1" ref="G401" ca="1">INDEX(DepartmentList,RANDBETWEEN(1,ROWS(DepartmentList)))</f>
        <v>Billing</v>
      </c>
      <c r="H401" s="1">
        <f t="shared" ca="1" si="26"/>
        <v>45386</v>
      </c>
      <c r="I401" s="4" t="str">
        <f ca="1">IF(IncidentTable[[#This Row],[Resolution Time (Days)]]="","",IncidentTable[[#This Row],[Created Date]]+IncidentTable[[#This Row],[Resolution Time (Days)]])</f>
        <v/>
      </c>
      <c r="J401" t="str">
        <f ca="1">IF(OR(IncidentTable[[#This Row],[Status]]="Resolved",IncidentTable[[#This Row],[Status]]="Closed"),RANDBETWEEN(1,120),"")</f>
        <v/>
      </c>
      <c r="K401" t="str">
        <f t="shared" ca="1" si="24"/>
        <v>In Progress</v>
      </c>
      <c r="L401" t="str" cm="1">
        <f t="array" aca="1" ref="L401" ca="1">INDEX(AnalystList,RANDBETWEEN(1,ROWS(AnalystList)))</f>
        <v>Riley Wilson</v>
      </c>
      <c r="M401" t="str" cm="1">
        <f t="array" aca="1" ref="M401" ca="1">INDEX(RootCauseList,RANDBETWEEN(1,ROWS(RootCauseList)))</f>
        <v>User Error</v>
      </c>
      <c r="N401">
        <f t="shared" ca="1" si="27"/>
        <v>1.21</v>
      </c>
      <c r="O401" t="str">
        <f ca="1">IF(OR(IncidentTable[[#This Row],[Status]]="Resolved",IncidentTable[[#This Row],[Status]]="Closed"),
ROUND(IncidentTable[[#This Row],[Estimated Impact ($)]]*(1+RANDBETWEEN(-15,25)/100)+RAND(),2),
"")</f>
        <v/>
      </c>
      <c r="P401" t="str">
        <f ca="1">IF(IncidentTable[[#This Row],[Actual Impact ($)]]="","",ROUND(IncidentTable[[#This Row],[Actual Impact ($)]]-IncidentTable[[#This Row],[Estimated Impact ($)]],2))</f>
        <v/>
      </c>
      <c r="Q401" s="2" t="str">
        <f ca="1">IF(IncidentTable[[#This Row],[Actual Impact ($)]]="","",(IncidentTable[[#This Row],[Actual Impact ($)]]-IncidentTable[[#This Row],[Estimated Impact ($)]]) / IncidentTable[[#This Row],[Estimated Impact ($)]])</f>
        <v/>
      </c>
      <c r="R401" s="3">
        <f ca="1">IF(IncidentTable[[#This Row],[Priority]]="Critical",1,
IF(IncidentTable[[#This Row],[Priority]]="High",3,
IF(IncidentTable[[#This Row],[Priority]]="Medium",5,
IF(IncidentTable[[#This Row],[Priority]]="Low",10,""))))</f>
        <v>5</v>
      </c>
      <c r="S401" t="str">
        <f ca="1">IF(IncidentTable[[#This Row],[Resolution Time (Days)]]="","",
IF(IncidentTable[[#This Row],[Resolution Time (Days)]]&lt;=IncidentTable[[#This Row],[SLA Target (Days)]],"Yes","No"))</f>
        <v/>
      </c>
    </row>
    <row r="402" spans="1:19" x14ac:dyDescent="0.25">
      <c r="A402" t="str">
        <f t="shared" ca="1" si="25"/>
        <v>INC365364</v>
      </c>
      <c r="B402" t="str" cm="1">
        <f t="array" aca="1" ref="B402" ca="1">INDEX(SystemList,RANDBETWEEN(1,ROWS(SystemList)))</f>
        <v>Policy Admin System</v>
      </c>
      <c r="C402" t="str" cm="1">
        <f t="array" aca="1" ref="C402" ca="1">INDEX(IssueTypeList,RANDBETWEEN(1,ROWS(IssueTypeList)))</f>
        <v>Integration Failure</v>
      </c>
      <c r="D402" t="str" cm="1">
        <f t="array" aca="1" ref="D402" ca="1">INDEX(PriorityList,RANDBETWEEN(1,ROWS(PriorityList)))</f>
        <v>Critical</v>
      </c>
      <c r="E402" t="str" cm="1">
        <f t="array" aca="1" ref="E402" ca="1">INDEX(SeverityList,RANDBETWEEN(1,ROWS(SeverityList)))</f>
        <v>Minor</v>
      </c>
      <c r="F402" t="str" cm="1">
        <f t="array" aca="1" ref="F402" ca="1">INDEX(RegionList,RANDBETWEEN(1,ROWS(RegionList)))</f>
        <v>Central</v>
      </c>
      <c r="G402" t="str" cm="1">
        <f t="array" aca="1" ref="G402" ca="1">INDEX(DepartmentList,RANDBETWEEN(1,ROWS(DepartmentList)))</f>
        <v>Customer Service</v>
      </c>
      <c r="H402" s="1">
        <f t="shared" ca="1" si="26"/>
        <v>45433</v>
      </c>
      <c r="I402" s="4">
        <f ca="1">IF(IncidentTable[[#This Row],[Resolution Time (Days)]]="","",IncidentTable[[#This Row],[Created Date]]+IncidentTable[[#This Row],[Resolution Time (Days)]])</f>
        <v>45480</v>
      </c>
      <c r="J402">
        <f ca="1">IF(OR(IncidentTable[[#This Row],[Status]]="Resolved",IncidentTable[[#This Row],[Status]]="Closed"),RANDBETWEEN(1,120),"")</f>
        <v>47</v>
      </c>
      <c r="K402" t="str">
        <f t="shared" ca="1" si="24"/>
        <v>Closed</v>
      </c>
      <c r="L402" t="str" cm="1">
        <f t="array" aca="1" ref="L402" ca="1">INDEX(AnalystList,RANDBETWEEN(1,ROWS(AnalystList)))</f>
        <v>Jordan Lee</v>
      </c>
      <c r="M402" t="str" cm="1">
        <f t="array" aca="1" ref="M402" ca="1">INDEX(RootCauseList,RANDBETWEEN(1,ROWS(RootCauseList)))</f>
        <v>Network Failure</v>
      </c>
      <c r="N402">
        <f t="shared" ca="1" si="27"/>
        <v>4011.49</v>
      </c>
      <c r="O402">
        <f ca="1">IF(OR(IncidentTable[[#This Row],[Status]]="Resolved",IncidentTable[[#This Row],[Status]]="Closed"),
ROUND(IncidentTable[[#This Row],[Estimated Impact ($)]]*(1+RANDBETWEEN(-15,25)/100)+RAND(),2),
"")</f>
        <v>4974.2700000000004</v>
      </c>
      <c r="P402">
        <f ca="1">IF(IncidentTable[[#This Row],[Actual Impact ($)]]="","",ROUND(IncidentTable[[#This Row],[Actual Impact ($)]]-IncidentTable[[#This Row],[Estimated Impact ($)]],2))</f>
        <v>962.78</v>
      </c>
      <c r="Q402" s="2">
        <f ca="1">IF(IncidentTable[[#This Row],[Actual Impact ($)]]="","",(IncidentTable[[#This Row],[Actual Impact ($)]]-IncidentTable[[#This Row],[Estimated Impact ($)]]) / IncidentTable[[#This Row],[Estimated Impact ($)]])</f>
        <v>0.24000558396007488</v>
      </c>
      <c r="R402" s="3">
        <f ca="1">IF(IncidentTable[[#This Row],[Priority]]="Critical",1,
IF(IncidentTable[[#This Row],[Priority]]="High",3,
IF(IncidentTable[[#This Row],[Priority]]="Medium",5,
IF(IncidentTable[[#This Row],[Priority]]="Low",10,""))))</f>
        <v>1</v>
      </c>
      <c r="S402" t="str">
        <f ca="1">IF(IncidentTable[[#This Row],[Resolution Time (Days)]]="","",
IF(IncidentTable[[#This Row],[Resolution Time (Days)]]&lt;=IncidentTable[[#This Row],[SLA Target (Days)]],"Yes","No"))</f>
        <v>No</v>
      </c>
    </row>
    <row r="403" spans="1:19" x14ac:dyDescent="0.25">
      <c r="A403" t="str">
        <f t="shared" ca="1" si="25"/>
        <v>INC963617</v>
      </c>
      <c r="B403" t="str" cm="1">
        <f t="array" aca="1" ref="B403" ca="1">INDEX(SystemList,RANDBETWEEN(1,ROWS(SystemList)))</f>
        <v>Customer Portal</v>
      </c>
      <c r="C403" t="str" cm="1">
        <f t="array" aca="1" ref="C403" ca="1">INDEX(IssueTypeList,RANDBETWEEN(1,ROWS(IssueTypeList)))</f>
        <v>Complaint</v>
      </c>
      <c r="D403" t="str" cm="1">
        <f t="array" aca="1" ref="D403" ca="1">INDEX(PriorityList,RANDBETWEEN(1,ROWS(PriorityList)))</f>
        <v>Low</v>
      </c>
      <c r="E403" t="str" cm="1">
        <f t="array" aca="1" ref="E403" ca="1">INDEX(SeverityList,RANDBETWEEN(1,ROWS(SeverityList)))</f>
        <v>Minor</v>
      </c>
      <c r="F403" t="str" cm="1">
        <f t="array" aca="1" ref="F403" ca="1">INDEX(RegionList,RANDBETWEEN(1,ROWS(RegionList)))</f>
        <v>Midwest</v>
      </c>
      <c r="G403" t="str" cm="1">
        <f t="array" aca="1" ref="G403" ca="1">INDEX(DepartmentList,RANDBETWEEN(1,ROWS(DepartmentList)))</f>
        <v>Finance</v>
      </c>
      <c r="H403" s="1">
        <f t="shared" ca="1" si="26"/>
        <v>45102</v>
      </c>
      <c r="I403" s="4">
        <f ca="1">IF(IncidentTable[[#This Row],[Resolution Time (Days)]]="","",IncidentTable[[#This Row],[Created Date]]+IncidentTable[[#This Row],[Resolution Time (Days)]])</f>
        <v>45110</v>
      </c>
      <c r="J403">
        <f ca="1">IF(OR(IncidentTable[[#This Row],[Status]]="Resolved",IncidentTable[[#This Row],[Status]]="Closed"),RANDBETWEEN(1,120),"")</f>
        <v>8</v>
      </c>
      <c r="K403" t="str">
        <f t="shared" ca="1" si="24"/>
        <v>Closed</v>
      </c>
      <c r="L403" t="str" cm="1">
        <f t="array" aca="1" ref="L403" ca="1">INDEX(AnalystList,RANDBETWEEN(1,ROWS(AnalystList)))</f>
        <v>Jordan Lee</v>
      </c>
      <c r="M403" t="str" cm="1">
        <f t="array" aca="1" ref="M403" ca="1">INDEX(RootCauseList,RANDBETWEEN(1,ROWS(RootCauseList)))</f>
        <v>Data Error</v>
      </c>
      <c r="N403">
        <f t="shared" ca="1" si="27"/>
        <v>15384.95</v>
      </c>
      <c r="O403">
        <f ca="1">IF(OR(IncidentTable[[#This Row],[Status]]="Resolved",IncidentTable[[#This Row],[Status]]="Closed"),
ROUND(IncidentTable[[#This Row],[Estimated Impact ($)]]*(1+RANDBETWEEN(-15,25)/100)+RAND(),2),
"")</f>
        <v>16923.63</v>
      </c>
      <c r="P403">
        <f ca="1">IF(IncidentTable[[#This Row],[Actual Impact ($)]]="","",ROUND(IncidentTable[[#This Row],[Actual Impact ($)]]-IncidentTable[[#This Row],[Estimated Impact ($)]],2))</f>
        <v>1538.68</v>
      </c>
      <c r="Q403" s="2">
        <f ca="1">IF(IncidentTable[[#This Row],[Actual Impact ($)]]="","",(IncidentTable[[#This Row],[Actual Impact ($)]]-IncidentTable[[#This Row],[Estimated Impact ($)]]) / IncidentTable[[#This Row],[Estimated Impact ($)]])</f>
        <v>0.10001202473846195</v>
      </c>
      <c r="R403" s="3">
        <f ca="1">IF(IncidentTable[[#This Row],[Priority]]="Critical",1,
IF(IncidentTable[[#This Row],[Priority]]="High",3,
IF(IncidentTable[[#This Row],[Priority]]="Medium",5,
IF(IncidentTable[[#This Row],[Priority]]="Low",10,""))))</f>
        <v>10</v>
      </c>
      <c r="S403" t="str">
        <f ca="1">IF(IncidentTable[[#This Row],[Resolution Time (Days)]]="","",
IF(IncidentTable[[#This Row],[Resolution Time (Days)]]&lt;=IncidentTable[[#This Row],[SLA Target (Days)]],"Yes","No"))</f>
        <v>Yes</v>
      </c>
    </row>
    <row r="404" spans="1:19" x14ac:dyDescent="0.25">
      <c r="A404" t="str">
        <f t="shared" ca="1" si="25"/>
        <v>INC104820</v>
      </c>
      <c r="B404" t="str" cm="1">
        <f t="array" aca="1" ref="B404" ca="1">INDEX(SystemList,RANDBETWEEN(1,ROWS(SystemList)))</f>
        <v>Payment Processing</v>
      </c>
      <c r="C404" t="str" cm="1">
        <f t="array" aca="1" ref="C404" ca="1">INDEX(IssueTypeList,RANDBETWEEN(1,ROWS(IssueTypeList)))</f>
        <v>System Error</v>
      </c>
      <c r="D404" t="str" cm="1">
        <f t="array" aca="1" ref="D404" ca="1">INDEX(PriorityList,RANDBETWEEN(1,ROWS(PriorityList)))</f>
        <v>Critical</v>
      </c>
      <c r="E404" t="str" cm="1">
        <f t="array" aca="1" ref="E404" ca="1">INDEX(SeverityList,RANDBETWEEN(1,ROWS(SeverityList)))</f>
        <v>Major</v>
      </c>
      <c r="F404" t="str" cm="1">
        <f t="array" aca="1" ref="F404" ca="1">INDEX(RegionList,RANDBETWEEN(1,ROWS(RegionList)))</f>
        <v>East</v>
      </c>
      <c r="G404" t="str" cm="1">
        <f t="array" aca="1" ref="G404" ca="1">INDEX(DepartmentList,RANDBETWEEN(1,ROWS(DepartmentList)))</f>
        <v>IT</v>
      </c>
      <c r="H404" s="1">
        <f t="shared" ca="1" si="26"/>
        <v>45073</v>
      </c>
      <c r="I404" s="4" t="str">
        <f ca="1">IF(IncidentTable[[#This Row],[Resolution Time (Days)]]="","",IncidentTable[[#This Row],[Created Date]]+IncidentTable[[#This Row],[Resolution Time (Days)]])</f>
        <v/>
      </c>
      <c r="J404" t="str">
        <f ca="1">IF(OR(IncidentTable[[#This Row],[Status]]="Resolved",IncidentTable[[#This Row],[Status]]="Closed"),RANDBETWEEN(1,120),"")</f>
        <v/>
      </c>
      <c r="K404" t="str">
        <f t="shared" ca="1" si="24"/>
        <v>Pending</v>
      </c>
      <c r="L404" t="str" cm="1">
        <f t="array" aca="1" ref="L404" ca="1">INDEX(AnalystList,RANDBETWEEN(1,ROWS(AnalystList)))</f>
        <v>Jordan Lee</v>
      </c>
      <c r="M404" t="str" cm="1">
        <f t="array" aca="1" ref="M404" ca="1">INDEX(RootCauseList,RANDBETWEEN(1,ROWS(RootCauseList)))</f>
        <v>System Bug</v>
      </c>
      <c r="N404">
        <f t="shared" ca="1" si="27"/>
        <v>5660.61</v>
      </c>
      <c r="O404" t="str">
        <f ca="1">IF(OR(IncidentTable[[#This Row],[Status]]="Resolved",IncidentTable[[#This Row],[Status]]="Closed"),
ROUND(IncidentTable[[#This Row],[Estimated Impact ($)]]*(1+RANDBETWEEN(-15,25)/100)+RAND(),2),
"")</f>
        <v/>
      </c>
      <c r="P404" t="str">
        <f ca="1">IF(IncidentTable[[#This Row],[Actual Impact ($)]]="","",ROUND(IncidentTable[[#This Row],[Actual Impact ($)]]-IncidentTable[[#This Row],[Estimated Impact ($)]],2))</f>
        <v/>
      </c>
      <c r="Q404" s="2" t="str">
        <f ca="1">IF(IncidentTable[[#This Row],[Actual Impact ($)]]="","",(IncidentTable[[#This Row],[Actual Impact ($)]]-IncidentTable[[#This Row],[Estimated Impact ($)]]) / IncidentTable[[#This Row],[Estimated Impact ($)]])</f>
        <v/>
      </c>
      <c r="R404" s="3">
        <f ca="1">IF(IncidentTable[[#This Row],[Priority]]="Critical",1,
IF(IncidentTable[[#This Row],[Priority]]="High",3,
IF(IncidentTable[[#This Row],[Priority]]="Medium",5,
IF(IncidentTable[[#This Row],[Priority]]="Low",10,""))))</f>
        <v>1</v>
      </c>
      <c r="S404" t="str">
        <f ca="1">IF(IncidentTable[[#This Row],[Resolution Time (Days)]]="","",
IF(IncidentTable[[#This Row],[Resolution Time (Days)]]&lt;=IncidentTable[[#This Row],[SLA Target (Days)]],"Yes","No"))</f>
        <v/>
      </c>
    </row>
    <row r="405" spans="1:19" x14ac:dyDescent="0.25">
      <c r="A405" t="str">
        <f t="shared" ca="1" si="25"/>
        <v>INC828218</v>
      </c>
      <c r="B405" t="str" cm="1">
        <f t="array" aca="1" ref="B405" ca="1">INDEX(SystemList,RANDBETWEEN(1,ROWS(SystemList)))</f>
        <v>Reporting System</v>
      </c>
      <c r="C405" t="str" cm="1">
        <f t="array" aca="1" ref="C405" ca="1">INDEX(IssueTypeList,RANDBETWEEN(1,ROWS(IssueTypeList)))</f>
        <v>Data Issue</v>
      </c>
      <c r="D405" t="str" cm="1">
        <f t="array" aca="1" ref="D405" ca="1">INDEX(PriorityList,RANDBETWEEN(1,ROWS(PriorityList)))</f>
        <v>Low</v>
      </c>
      <c r="E405" t="str" cm="1">
        <f t="array" aca="1" ref="E405" ca="1">INDEX(SeverityList,RANDBETWEEN(1,ROWS(SeverityList)))</f>
        <v>Critical</v>
      </c>
      <c r="F405" t="str" cm="1">
        <f t="array" aca="1" ref="F405" ca="1">INDEX(RegionList,RANDBETWEEN(1,ROWS(RegionList)))</f>
        <v>Central</v>
      </c>
      <c r="G405" t="str" cm="1">
        <f t="array" aca="1" ref="G405" ca="1">INDEX(DepartmentList,RANDBETWEEN(1,ROWS(DepartmentList)))</f>
        <v>Finance</v>
      </c>
      <c r="H405" s="1">
        <f t="shared" ca="1" si="26"/>
        <v>45167</v>
      </c>
      <c r="I405" s="4">
        <f ca="1">IF(IncidentTable[[#This Row],[Resolution Time (Days)]]="","",IncidentTable[[#This Row],[Created Date]]+IncidentTable[[#This Row],[Resolution Time (Days)]])</f>
        <v>45255</v>
      </c>
      <c r="J405">
        <f ca="1">IF(OR(IncidentTable[[#This Row],[Status]]="Resolved",IncidentTable[[#This Row],[Status]]="Closed"),RANDBETWEEN(1,120),"")</f>
        <v>88</v>
      </c>
      <c r="K405" t="str">
        <f t="shared" ca="1" si="24"/>
        <v>Closed</v>
      </c>
      <c r="L405" t="str" cm="1">
        <f t="array" aca="1" ref="L405" ca="1">INDEX(AnalystList,RANDBETWEEN(1,ROWS(AnalystList)))</f>
        <v>Riley Wilson</v>
      </c>
      <c r="M405" t="str" cm="1">
        <f t="array" aca="1" ref="M405" ca="1">INDEX(RootCauseList,RANDBETWEEN(1,ROWS(RootCauseList)))</f>
        <v>Network Failure</v>
      </c>
      <c r="N405">
        <f t="shared" ca="1" si="27"/>
        <v>285.32</v>
      </c>
      <c r="O405">
        <f ca="1">IF(OR(IncidentTable[[#This Row],[Status]]="Resolved",IncidentTable[[#This Row],[Status]]="Closed"),
ROUND(IncidentTable[[#This Row],[Estimated Impact ($)]]*(1+RANDBETWEEN(-15,25)/100)+RAND(),2),
"")</f>
        <v>308.36</v>
      </c>
      <c r="P405">
        <f ca="1">IF(IncidentTable[[#This Row],[Actual Impact ($)]]="","",ROUND(IncidentTable[[#This Row],[Actual Impact ($)]]-IncidentTable[[#This Row],[Estimated Impact ($)]],2))</f>
        <v>23.04</v>
      </c>
      <c r="Q405" s="2">
        <f ca="1">IF(IncidentTable[[#This Row],[Actual Impact ($)]]="","",(IncidentTable[[#This Row],[Actual Impact ($)]]-IncidentTable[[#This Row],[Estimated Impact ($)]]) / IncidentTable[[#This Row],[Estimated Impact ($)]])</f>
        <v>8.0751436983036662E-2</v>
      </c>
      <c r="R405" s="3">
        <f ca="1">IF(IncidentTable[[#This Row],[Priority]]="Critical",1,
IF(IncidentTable[[#This Row],[Priority]]="High",3,
IF(IncidentTable[[#This Row],[Priority]]="Medium",5,
IF(IncidentTable[[#This Row],[Priority]]="Low",10,""))))</f>
        <v>10</v>
      </c>
      <c r="S405" t="str">
        <f ca="1">IF(IncidentTable[[#This Row],[Resolution Time (Days)]]="","",
IF(IncidentTable[[#This Row],[Resolution Time (Days)]]&lt;=IncidentTable[[#This Row],[SLA Target (Days)]],"Yes","No"))</f>
        <v>No</v>
      </c>
    </row>
    <row r="406" spans="1:19" x14ac:dyDescent="0.25">
      <c r="A406" t="str">
        <f t="shared" ca="1" si="25"/>
        <v>INC229352</v>
      </c>
      <c r="B406" t="str" cm="1">
        <f t="array" aca="1" ref="B406" ca="1">INDEX(SystemList,RANDBETWEEN(1,ROWS(SystemList)))</f>
        <v>Policy Admin System</v>
      </c>
      <c r="C406" t="str" cm="1">
        <f t="array" aca="1" ref="C406" ca="1">INDEX(IssueTypeList,RANDBETWEEN(1,ROWS(IssueTypeList)))</f>
        <v>Integration Failure</v>
      </c>
      <c r="D406" t="str" cm="1">
        <f t="array" aca="1" ref="D406" ca="1">INDEX(PriorityList,RANDBETWEEN(1,ROWS(PriorityList)))</f>
        <v>High</v>
      </c>
      <c r="E406" t="str" cm="1">
        <f t="array" aca="1" ref="E406" ca="1">INDEX(SeverityList,RANDBETWEEN(1,ROWS(SeverityList)))</f>
        <v>Moderate</v>
      </c>
      <c r="F406" t="str" cm="1">
        <f t="array" aca="1" ref="F406" ca="1">INDEX(RegionList,RANDBETWEEN(1,ROWS(RegionList)))</f>
        <v>East</v>
      </c>
      <c r="G406" t="str" cm="1">
        <f t="array" aca="1" ref="G406" ca="1">INDEX(DepartmentList,RANDBETWEEN(1,ROWS(DepartmentList)))</f>
        <v>Finance</v>
      </c>
      <c r="H406" s="1">
        <f t="shared" ca="1" si="26"/>
        <v>45190</v>
      </c>
      <c r="I406" s="4">
        <f ca="1">IF(IncidentTable[[#This Row],[Resolution Time (Days)]]="","",IncidentTable[[#This Row],[Created Date]]+IncidentTable[[#This Row],[Resolution Time (Days)]])</f>
        <v>45280</v>
      </c>
      <c r="J406">
        <f ca="1">IF(OR(IncidentTable[[#This Row],[Status]]="Resolved",IncidentTable[[#This Row],[Status]]="Closed"),RANDBETWEEN(1,120),"")</f>
        <v>90</v>
      </c>
      <c r="K406" t="str">
        <f t="shared" ca="1" si="24"/>
        <v>Resolved</v>
      </c>
      <c r="L406" t="str" cm="1">
        <f t="array" aca="1" ref="L406" ca="1">INDEX(AnalystList,RANDBETWEEN(1,ROWS(AnalystList)))</f>
        <v>Taylor Smith</v>
      </c>
      <c r="M406" t="str" cm="1">
        <f t="array" aca="1" ref="M406" ca="1">INDEX(RootCauseList,RANDBETWEEN(1,ROWS(RootCauseList)))</f>
        <v>Data Error</v>
      </c>
      <c r="N406">
        <f t="shared" ca="1" si="27"/>
        <v>16338.98</v>
      </c>
      <c r="O406">
        <f ca="1">IF(OR(IncidentTable[[#This Row],[Status]]="Resolved",IncidentTable[[#This Row],[Status]]="Closed"),
ROUND(IncidentTable[[#This Row],[Estimated Impact ($)]]*(1+RANDBETWEEN(-15,25)/100)+RAND(),2),
"")</f>
        <v>18463.68</v>
      </c>
      <c r="P406">
        <f ca="1">IF(IncidentTable[[#This Row],[Actual Impact ($)]]="","",ROUND(IncidentTable[[#This Row],[Actual Impact ($)]]-IncidentTable[[#This Row],[Estimated Impact ($)]],2))</f>
        <v>2124.6999999999998</v>
      </c>
      <c r="Q406" s="2">
        <f ca="1">IF(IncidentTable[[#This Row],[Actual Impact ($)]]="","",(IncidentTable[[#This Row],[Actual Impact ($)]]-IncidentTable[[#This Row],[Estimated Impact ($)]]) / IncidentTable[[#This Row],[Estimated Impact ($)]])</f>
        <v>0.13003871722714641</v>
      </c>
      <c r="R406" s="3">
        <f ca="1">IF(IncidentTable[[#This Row],[Priority]]="Critical",1,
IF(IncidentTable[[#This Row],[Priority]]="High",3,
IF(IncidentTable[[#This Row],[Priority]]="Medium",5,
IF(IncidentTable[[#This Row],[Priority]]="Low",10,""))))</f>
        <v>3</v>
      </c>
      <c r="S406" t="str">
        <f ca="1">IF(IncidentTable[[#This Row],[Resolution Time (Days)]]="","",
IF(IncidentTable[[#This Row],[Resolution Time (Days)]]&lt;=IncidentTable[[#This Row],[SLA Target (Days)]],"Yes","No"))</f>
        <v>No</v>
      </c>
    </row>
    <row r="407" spans="1:19" x14ac:dyDescent="0.25">
      <c r="A407" t="str">
        <f t="shared" ca="1" si="25"/>
        <v>INC355170</v>
      </c>
      <c r="B407" t="str" cm="1">
        <f t="array" aca="1" ref="B407" ca="1">INDEX(SystemList,RANDBETWEEN(1,ROWS(SystemList)))</f>
        <v>Regulatory System</v>
      </c>
      <c r="C407" t="str" cm="1">
        <f t="array" aca="1" ref="C407" ca="1">INDEX(IssueTypeList,RANDBETWEEN(1,ROWS(IssueTypeList)))</f>
        <v>Data Issue</v>
      </c>
      <c r="D407" t="str" cm="1">
        <f t="array" aca="1" ref="D407" ca="1">INDEX(PriorityList,RANDBETWEEN(1,ROWS(PriorityList)))</f>
        <v>Medium</v>
      </c>
      <c r="E407" t="str" cm="1">
        <f t="array" aca="1" ref="E407" ca="1">INDEX(SeverityList,RANDBETWEEN(1,ROWS(SeverityList)))</f>
        <v>Major</v>
      </c>
      <c r="F407" t="str" cm="1">
        <f t="array" aca="1" ref="F407" ca="1">INDEX(RegionList,RANDBETWEEN(1,ROWS(RegionList)))</f>
        <v>West</v>
      </c>
      <c r="G407" t="str" cm="1">
        <f t="array" aca="1" ref="G407" ca="1">INDEX(DepartmentList,RANDBETWEEN(1,ROWS(DepartmentList)))</f>
        <v>Compliance</v>
      </c>
      <c r="H407" s="1">
        <f t="shared" ca="1" si="26"/>
        <v>45253</v>
      </c>
      <c r="I407" s="4" t="str">
        <f ca="1">IF(IncidentTable[[#This Row],[Resolution Time (Days)]]="","",IncidentTable[[#This Row],[Created Date]]+IncidentTable[[#This Row],[Resolution Time (Days)]])</f>
        <v/>
      </c>
      <c r="J407" t="str">
        <f ca="1">IF(OR(IncidentTable[[#This Row],[Status]]="Resolved",IncidentTable[[#This Row],[Status]]="Closed"),RANDBETWEEN(1,120),"")</f>
        <v/>
      </c>
      <c r="K407" t="str">
        <f t="shared" ca="1" si="24"/>
        <v>In Progress</v>
      </c>
      <c r="L407" t="str" cm="1">
        <f t="array" aca="1" ref="L407" ca="1">INDEX(AnalystList,RANDBETWEEN(1,ROWS(AnalystList)))</f>
        <v>Riley Wilson</v>
      </c>
      <c r="M407" t="str" cm="1">
        <f t="array" aca="1" ref="M407" ca="1">INDEX(RootCauseList,RANDBETWEEN(1,ROWS(RootCauseList)))</f>
        <v>Data Error</v>
      </c>
      <c r="N407">
        <f t="shared" ca="1" si="27"/>
        <v>2980.3</v>
      </c>
      <c r="O407" t="str">
        <f ca="1">IF(OR(IncidentTable[[#This Row],[Status]]="Resolved",IncidentTable[[#This Row],[Status]]="Closed"),
ROUND(IncidentTable[[#This Row],[Estimated Impact ($)]]*(1+RANDBETWEEN(-15,25)/100)+RAND(),2),
"")</f>
        <v/>
      </c>
      <c r="P407" t="str">
        <f ca="1">IF(IncidentTable[[#This Row],[Actual Impact ($)]]="","",ROUND(IncidentTable[[#This Row],[Actual Impact ($)]]-IncidentTable[[#This Row],[Estimated Impact ($)]],2))</f>
        <v/>
      </c>
      <c r="Q407" s="2" t="str">
        <f ca="1">IF(IncidentTable[[#This Row],[Actual Impact ($)]]="","",(IncidentTable[[#This Row],[Actual Impact ($)]]-IncidentTable[[#This Row],[Estimated Impact ($)]]) / IncidentTable[[#This Row],[Estimated Impact ($)]])</f>
        <v/>
      </c>
      <c r="R407" s="3">
        <f ca="1">IF(IncidentTable[[#This Row],[Priority]]="Critical",1,
IF(IncidentTable[[#This Row],[Priority]]="High",3,
IF(IncidentTable[[#This Row],[Priority]]="Medium",5,
IF(IncidentTable[[#This Row],[Priority]]="Low",10,""))))</f>
        <v>5</v>
      </c>
      <c r="S407" t="str">
        <f ca="1">IF(IncidentTable[[#This Row],[Resolution Time (Days)]]="","",
IF(IncidentTable[[#This Row],[Resolution Time (Days)]]&lt;=IncidentTable[[#This Row],[SLA Target (Days)]],"Yes","No"))</f>
        <v/>
      </c>
    </row>
    <row r="408" spans="1:19" x14ac:dyDescent="0.25">
      <c r="A408" t="str">
        <f t="shared" ca="1" si="25"/>
        <v>INC189912</v>
      </c>
      <c r="B408" t="str" cm="1">
        <f t="array" aca="1" ref="B408" ca="1">INDEX(SystemList,RANDBETWEEN(1,ROWS(SystemList)))</f>
        <v>Regulatory System</v>
      </c>
      <c r="C408" t="str" cm="1">
        <f t="array" aca="1" ref="C408" ca="1">INDEX(IssueTypeList,RANDBETWEEN(1,ROWS(IssueTypeList)))</f>
        <v>User Access Issue</v>
      </c>
      <c r="D408" t="str" cm="1">
        <f t="array" aca="1" ref="D408" ca="1">INDEX(PriorityList,RANDBETWEEN(1,ROWS(PriorityList)))</f>
        <v>Critical</v>
      </c>
      <c r="E408" t="str" cm="1">
        <f t="array" aca="1" ref="E408" ca="1">INDEX(SeverityList,RANDBETWEEN(1,ROWS(SeverityList)))</f>
        <v>Moderate</v>
      </c>
      <c r="F408" t="str" cm="1">
        <f t="array" aca="1" ref="F408" ca="1">INDEX(RegionList,RANDBETWEEN(1,ROWS(RegionList)))</f>
        <v>West</v>
      </c>
      <c r="G408" t="str" cm="1">
        <f t="array" aca="1" ref="G408" ca="1">INDEX(DepartmentList,RANDBETWEEN(1,ROWS(DepartmentList)))</f>
        <v>Finance</v>
      </c>
      <c r="H408" s="1">
        <f t="shared" ca="1" si="26"/>
        <v>45403</v>
      </c>
      <c r="I408" s="4" t="str">
        <f ca="1">IF(IncidentTable[[#This Row],[Resolution Time (Days)]]="","",IncidentTable[[#This Row],[Created Date]]+IncidentTable[[#This Row],[Resolution Time (Days)]])</f>
        <v/>
      </c>
      <c r="J408" t="str">
        <f ca="1">IF(OR(IncidentTable[[#This Row],[Status]]="Resolved",IncidentTable[[#This Row],[Status]]="Closed"),RANDBETWEEN(1,120),"")</f>
        <v/>
      </c>
      <c r="K408" t="str">
        <f t="shared" ca="1" si="24"/>
        <v>In Progress</v>
      </c>
      <c r="L408" t="str" cm="1">
        <f t="array" aca="1" ref="L408" ca="1">INDEX(AnalystList,RANDBETWEEN(1,ROWS(AnalystList)))</f>
        <v>Jordan Lee</v>
      </c>
      <c r="M408" t="str" cm="1">
        <f t="array" aca="1" ref="M408" ca="1">INDEX(RootCauseList,RANDBETWEEN(1,ROWS(RootCauseList)))</f>
        <v>Integration Failure</v>
      </c>
      <c r="N408">
        <f t="shared" ca="1" si="27"/>
        <v>5659.18</v>
      </c>
      <c r="O408" t="str">
        <f ca="1">IF(OR(IncidentTable[[#This Row],[Status]]="Resolved",IncidentTable[[#This Row],[Status]]="Closed"),
ROUND(IncidentTable[[#This Row],[Estimated Impact ($)]]*(1+RANDBETWEEN(-15,25)/100)+RAND(),2),
"")</f>
        <v/>
      </c>
      <c r="P408" t="str">
        <f ca="1">IF(IncidentTable[[#This Row],[Actual Impact ($)]]="","",ROUND(IncidentTable[[#This Row],[Actual Impact ($)]]-IncidentTable[[#This Row],[Estimated Impact ($)]],2))</f>
        <v/>
      </c>
      <c r="Q408" s="2" t="str">
        <f ca="1">IF(IncidentTable[[#This Row],[Actual Impact ($)]]="","",(IncidentTable[[#This Row],[Actual Impact ($)]]-IncidentTable[[#This Row],[Estimated Impact ($)]]) / IncidentTable[[#This Row],[Estimated Impact ($)]])</f>
        <v/>
      </c>
      <c r="R408" s="3">
        <f ca="1">IF(IncidentTable[[#This Row],[Priority]]="Critical",1,
IF(IncidentTable[[#This Row],[Priority]]="High",3,
IF(IncidentTable[[#This Row],[Priority]]="Medium",5,
IF(IncidentTable[[#This Row],[Priority]]="Low",10,""))))</f>
        <v>1</v>
      </c>
      <c r="S408" t="str">
        <f ca="1">IF(IncidentTable[[#This Row],[Resolution Time (Days)]]="","",
IF(IncidentTable[[#This Row],[Resolution Time (Days)]]&lt;=IncidentTable[[#This Row],[SLA Target (Days)]],"Yes","No"))</f>
        <v/>
      </c>
    </row>
    <row r="409" spans="1:19" x14ac:dyDescent="0.25">
      <c r="A409" t="str">
        <f t="shared" ca="1" si="25"/>
        <v>INC316279</v>
      </c>
      <c r="B409" t="str" cm="1">
        <f t="array" aca="1" ref="B409" ca="1">INDEX(SystemList,RANDBETWEEN(1,ROWS(SystemList)))</f>
        <v>Customer Portal</v>
      </c>
      <c r="C409" t="str" cm="1">
        <f t="array" aca="1" ref="C409" ca="1">INDEX(IssueTypeList,RANDBETWEEN(1,ROWS(IssueTypeList)))</f>
        <v>Complaint</v>
      </c>
      <c r="D409" t="str" cm="1">
        <f t="array" aca="1" ref="D409" ca="1">INDEX(PriorityList,RANDBETWEEN(1,ROWS(PriorityList)))</f>
        <v>Critical</v>
      </c>
      <c r="E409" t="str" cm="1">
        <f t="array" aca="1" ref="E409" ca="1">INDEX(SeverityList,RANDBETWEEN(1,ROWS(SeverityList)))</f>
        <v>Minor</v>
      </c>
      <c r="F409" t="str" cm="1">
        <f t="array" aca="1" ref="F409" ca="1">INDEX(RegionList,RANDBETWEEN(1,ROWS(RegionList)))</f>
        <v>East</v>
      </c>
      <c r="G409" t="str" cm="1">
        <f t="array" aca="1" ref="G409" ca="1">INDEX(DepartmentList,RANDBETWEEN(1,ROWS(DepartmentList)))</f>
        <v>Billing</v>
      </c>
      <c r="H409" s="1">
        <f t="shared" ca="1" si="26"/>
        <v>45040</v>
      </c>
      <c r="I409" s="4">
        <f ca="1">IF(IncidentTable[[#This Row],[Resolution Time (Days)]]="","",IncidentTable[[#This Row],[Created Date]]+IncidentTable[[#This Row],[Resolution Time (Days)]])</f>
        <v>45114</v>
      </c>
      <c r="J409">
        <f ca="1">IF(OR(IncidentTable[[#This Row],[Status]]="Resolved",IncidentTable[[#This Row],[Status]]="Closed"),RANDBETWEEN(1,120),"")</f>
        <v>74</v>
      </c>
      <c r="K409" t="str">
        <f t="shared" ca="1" si="24"/>
        <v>Resolved</v>
      </c>
      <c r="L409" t="str" cm="1">
        <f t="array" aca="1" ref="L409" ca="1">INDEX(AnalystList,RANDBETWEEN(1,ROWS(AnalystList)))</f>
        <v>Riley Wilson</v>
      </c>
      <c r="M409" t="str" cm="1">
        <f t="array" aca="1" ref="M409" ca="1">INDEX(RootCauseList,RANDBETWEEN(1,ROWS(RootCauseList)))</f>
        <v>System Bug</v>
      </c>
      <c r="N409">
        <f t="shared" ca="1" si="27"/>
        <v>0.05</v>
      </c>
      <c r="O409">
        <f ca="1">IF(OR(IncidentTable[[#This Row],[Status]]="Resolved",IncidentTable[[#This Row],[Status]]="Closed"),
ROUND(IncidentTable[[#This Row],[Estimated Impact ($)]]*(1+RANDBETWEEN(-15,25)/100)+RAND(),2),
"")</f>
        <v>0.66</v>
      </c>
      <c r="P409">
        <f ca="1">IF(IncidentTable[[#This Row],[Actual Impact ($)]]="","",ROUND(IncidentTable[[#This Row],[Actual Impact ($)]]-IncidentTable[[#This Row],[Estimated Impact ($)]],2))</f>
        <v>0.61</v>
      </c>
      <c r="Q409" s="2">
        <f ca="1">IF(IncidentTable[[#This Row],[Actual Impact ($)]]="","",(IncidentTable[[#This Row],[Actual Impact ($)]]-IncidentTable[[#This Row],[Estimated Impact ($)]]) / IncidentTable[[#This Row],[Estimated Impact ($)]])</f>
        <v>12.2</v>
      </c>
      <c r="R409" s="3">
        <f ca="1">IF(IncidentTable[[#This Row],[Priority]]="Critical",1,
IF(IncidentTable[[#This Row],[Priority]]="High",3,
IF(IncidentTable[[#This Row],[Priority]]="Medium",5,
IF(IncidentTable[[#This Row],[Priority]]="Low",10,""))))</f>
        <v>1</v>
      </c>
      <c r="S409" t="str">
        <f ca="1">IF(IncidentTable[[#This Row],[Resolution Time (Days)]]="","",
IF(IncidentTable[[#This Row],[Resolution Time (Days)]]&lt;=IncidentTable[[#This Row],[SLA Target (Days)]],"Yes","No"))</f>
        <v>No</v>
      </c>
    </row>
    <row r="410" spans="1:19" x14ac:dyDescent="0.25">
      <c r="A410" t="str">
        <f t="shared" ca="1" si="25"/>
        <v>INC100235</v>
      </c>
      <c r="B410" t="str" cm="1">
        <f t="array" aca="1" ref="B410" ca="1">INDEX(SystemList,RANDBETWEEN(1,ROWS(SystemList)))</f>
        <v>Reporting System</v>
      </c>
      <c r="C410" t="str" cm="1">
        <f t="array" aca="1" ref="C410" ca="1">INDEX(IssueTypeList,RANDBETWEEN(1,ROWS(IssueTypeList)))</f>
        <v>Integration Failure</v>
      </c>
      <c r="D410" t="str" cm="1">
        <f t="array" aca="1" ref="D410" ca="1">INDEX(PriorityList,RANDBETWEEN(1,ROWS(PriorityList)))</f>
        <v>Medium</v>
      </c>
      <c r="E410" t="str" cm="1">
        <f t="array" aca="1" ref="E410" ca="1">INDEX(SeverityList,RANDBETWEEN(1,ROWS(SeverityList)))</f>
        <v>Critical</v>
      </c>
      <c r="F410" t="str" cm="1">
        <f t="array" aca="1" ref="F410" ca="1">INDEX(RegionList,RANDBETWEEN(1,ROWS(RegionList)))</f>
        <v>Southeast</v>
      </c>
      <c r="G410" t="str" cm="1">
        <f t="array" aca="1" ref="G410" ca="1">INDEX(DepartmentList,RANDBETWEEN(1,ROWS(DepartmentList)))</f>
        <v>Claims</v>
      </c>
      <c r="H410" s="1">
        <f t="shared" ca="1" si="26"/>
        <v>45367</v>
      </c>
      <c r="I410" s="4" t="str">
        <f ca="1">IF(IncidentTable[[#This Row],[Resolution Time (Days)]]="","",IncidentTable[[#This Row],[Created Date]]+IncidentTable[[#This Row],[Resolution Time (Days)]])</f>
        <v/>
      </c>
      <c r="J410" t="str">
        <f ca="1">IF(OR(IncidentTable[[#This Row],[Status]]="Resolved",IncidentTable[[#This Row],[Status]]="Closed"),RANDBETWEEN(1,120),"")</f>
        <v/>
      </c>
      <c r="K410" t="str">
        <f t="shared" ca="1" si="24"/>
        <v>Pending</v>
      </c>
      <c r="L410" t="str" cm="1">
        <f t="array" aca="1" ref="L410" ca="1">INDEX(AnalystList,RANDBETWEEN(1,ROWS(AnalystList)))</f>
        <v>Riley Wilson</v>
      </c>
      <c r="M410" t="str" cm="1">
        <f t="array" aca="1" ref="M410" ca="1">INDEX(RootCauseList,RANDBETWEEN(1,ROWS(RootCauseList)))</f>
        <v>System Bug</v>
      </c>
      <c r="N410">
        <f t="shared" ca="1" si="27"/>
        <v>0.5</v>
      </c>
      <c r="O410" t="str">
        <f ca="1">IF(OR(IncidentTable[[#This Row],[Status]]="Resolved",IncidentTable[[#This Row],[Status]]="Closed"),
ROUND(IncidentTable[[#This Row],[Estimated Impact ($)]]*(1+RANDBETWEEN(-15,25)/100)+RAND(),2),
"")</f>
        <v/>
      </c>
      <c r="P410" t="str">
        <f ca="1">IF(IncidentTable[[#This Row],[Actual Impact ($)]]="","",ROUND(IncidentTable[[#This Row],[Actual Impact ($)]]-IncidentTable[[#This Row],[Estimated Impact ($)]],2))</f>
        <v/>
      </c>
      <c r="Q410" s="2" t="str">
        <f ca="1">IF(IncidentTable[[#This Row],[Actual Impact ($)]]="","",(IncidentTable[[#This Row],[Actual Impact ($)]]-IncidentTable[[#This Row],[Estimated Impact ($)]]) / IncidentTable[[#This Row],[Estimated Impact ($)]])</f>
        <v/>
      </c>
      <c r="R410" s="3">
        <f ca="1">IF(IncidentTable[[#This Row],[Priority]]="Critical",1,
IF(IncidentTable[[#This Row],[Priority]]="High",3,
IF(IncidentTable[[#This Row],[Priority]]="Medium",5,
IF(IncidentTable[[#This Row],[Priority]]="Low",10,""))))</f>
        <v>5</v>
      </c>
      <c r="S410" t="str">
        <f ca="1">IF(IncidentTable[[#This Row],[Resolution Time (Days)]]="","",
IF(IncidentTable[[#This Row],[Resolution Time (Days)]]&lt;=IncidentTable[[#This Row],[SLA Target (Days)]],"Yes","No"))</f>
        <v/>
      </c>
    </row>
    <row r="411" spans="1:19" x14ac:dyDescent="0.25">
      <c r="A411" t="str">
        <f t="shared" ca="1" si="25"/>
        <v>INC514153</v>
      </c>
      <c r="B411" t="str" cm="1">
        <f t="array" aca="1" ref="B411" ca="1">INDEX(SystemList,RANDBETWEEN(1,ROWS(SystemList)))</f>
        <v>Regulatory System</v>
      </c>
      <c r="C411" t="str" cm="1">
        <f t="array" aca="1" ref="C411" ca="1">INDEX(IssueTypeList,RANDBETWEEN(1,ROWS(IssueTypeList)))</f>
        <v>Complaint</v>
      </c>
      <c r="D411" t="str" cm="1">
        <f t="array" aca="1" ref="D411" ca="1">INDEX(PriorityList,RANDBETWEEN(1,ROWS(PriorityList)))</f>
        <v>Low</v>
      </c>
      <c r="E411" t="str" cm="1">
        <f t="array" aca="1" ref="E411" ca="1">INDEX(SeverityList,RANDBETWEEN(1,ROWS(SeverityList)))</f>
        <v>Major</v>
      </c>
      <c r="F411" t="str" cm="1">
        <f t="array" aca="1" ref="F411" ca="1">INDEX(RegionList,RANDBETWEEN(1,ROWS(RegionList)))</f>
        <v>Southeast</v>
      </c>
      <c r="G411" t="str" cm="1">
        <f t="array" aca="1" ref="G411" ca="1">INDEX(DepartmentList,RANDBETWEEN(1,ROWS(DepartmentList)))</f>
        <v>Compliance</v>
      </c>
      <c r="H411" s="1">
        <f t="shared" ca="1" si="26"/>
        <v>45255</v>
      </c>
      <c r="I411" s="4">
        <f ca="1">IF(IncidentTable[[#This Row],[Resolution Time (Days)]]="","",IncidentTable[[#This Row],[Created Date]]+IncidentTable[[#This Row],[Resolution Time (Days)]])</f>
        <v>45364</v>
      </c>
      <c r="J411">
        <f ca="1">IF(OR(IncidentTable[[#This Row],[Status]]="Resolved",IncidentTable[[#This Row],[Status]]="Closed"),RANDBETWEEN(1,120),"")</f>
        <v>109</v>
      </c>
      <c r="K411" t="str">
        <f t="shared" ca="1" si="24"/>
        <v>Closed</v>
      </c>
      <c r="L411" t="str" cm="1">
        <f t="array" aca="1" ref="L411" ca="1">INDEX(AnalystList,RANDBETWEEN(1,ROWS(AnalystList)))</f>
        <v>Taylor Smith</v>
      </c>
      <c r="M411" t="str" cm="1">
        <f t="array" aca="1" ref="M411" ca="1">INDEX(RootCauseList,RANDBETWEEN(1,ROWS(RootCauseList)))</f>
        <v>User Error</v>
      </c>
      <c r="N411">
        <f t="shared" ca="1" si="27"/>
        <v>93.64</v>
      </c>
      <c r="O411">
        <f ca="1">IF(OR(IncidentTable[[#This Row],[Status]]="Resolved",IncidentTable[[#This Row],[Status]]="Closed"),
ROUND(IncidentTable[[#This Row],[Estimated Impact ($)]]*(1+RANDBETWEEN(-15,25)/100)+RAND(),2),
"")</f>
        <v>82.4</v>
      </c>
      <c r="P411">
        <f ca="1">IF(IncidentTable[[#This Row],[Actual Impact ($)]]="","",ROUND(IncidentTable[[#This Row],[Actual Impact ($)]]-IncidentTable[[#This Row],[Estimated Impact ($)]],2))</f>
        <v>-11.24</v>
      </c>
      <c r="Q411" s="2">
        <f ca="1">IF(IncidentTable[[#This Row],[Actual Impact ($)]]="","",(IncidentTable[[#This Row],[Actual Impact ($)]]-IncidentTable[[#This Row],[Estimated Impact ($)]]) / IncidentTable[[#This Row],[Estimated Impact ($)]])</f>
        <v>-0.120034173430158</v>
      </c>
      <c r="R411" s="3">
        <f ca="1">IF(IncidentTable[[#This Row],[Priority]]="Critical",1,
IF(IncidentTable[[#This Row],[Priority]]="High",3,
IF(IncidentTable[[#This Row],[Priority]]="Medium",5,
IF(IncidentTable[[#This Row],[Priority]]="Low",10,""))))</f>
        <v>10</v>
      </c>
      <c r="S411" t="str">
        <f ca="1">IF(IncidentTable[[#This Row],[Resolution Time (Days)]]="","",
IF(IncidentTable[[#This Row],[Resolution Time (Days)]]&lt;=IncidentTable[[#This Row],[SLA Target (Days)]],"Yes","No"))</f>
        <v>No</v>
      </c>
    </row>
    <row r="412" spans="1:19" x14ac:dyDescent="0.25">
      <c r="A412" t="str">
        <f t="shared" ca="1" si="25"/>
        <v>INC271374</v>
      </c>
      <c r="B412" t="str" cm="1">
        <f t="array" aca="1" ref="B412" ca="1">INDEX(SystemList,RANDBETWEEN(1,ROWS(SystemList)))</f>
        <v>Billing System</v>
      </c>
      <c r="C412" t="str" cm="1">
        <f t="array" aca="1" ref="C412" ca="1">INDEX(IssueTypeList,RANDBETWEEN(1,ROWS(IssueTypeList)))</f>
        <v>Complaint</v>
      </c>
      <c r="D412" t="str" cm="1">
        <f t="array" aca="1" ref="D412" ca="1">INDEX(PriorityList,RANDBETWEEN(1,ROWS(PriorityList)))</f>
        <v>Low</v>
      </c>
      <c r="E412" t="str" cm="1">
        <f t="array" aca="1" ref="E412" ca="1">INDEX(SeverityList,RANDBETWEEN(1,ROWS(SeverityList)))</f>
        <v>Moderate</v>
      </c>
      <c r="F412" t="str" cm="1">
        <f t="array" aca="1" ref="F412" ca="1">INDEX(RegionList,RANDBETWEEN(1,ROWS(RegionList)))</f>
        <v>West</v>
      </c>
      <c r="G412" t="str" cm="1">
        <f t="array" aca="1" ref="G412" ca="1">INDEX(DepartmentList,RANDBETWEEN(1,ROWS(DepartmentList)))</f>
        <v>Claims</v>
      </c>
      <c r="H412" s="1">
        <f t="shared" ca="1" si="26"/>
        <v>45132</v>
      </c>
      <c r="I412" s="4" t="str">
        <f ca="1">IF(IncidentTable[[#This Row],[Resolution Time (Days)]]="","",IncidentTable[[#This Row],[Created Date]]+IncidentTable[[#This Row],[Resolution Time (Days)]])</f>
        <v/>
      </c>
      <c r="J412" t="str">
        <f ca="1">IF(OR(IncidentTable[[#This Row],[Status]]="Resolved",IncidentTable[[#This Row],[Status]]="Closed"),RANDBETWEEN(1,120),"")</f>
        <v/>
      </c>
      <c r="K412" t="str">
        <f t="shared" ca="1" si="24"/>
        <v>In Progress</v>
      </c>
      <c r="L412" t="str" cm="1">
        <f t="array" aca="1" ref="L412" ca="1">INDEX(AnalystList,RANDBETWEEN(1,ROWS(AnalystList)))</f>
        <v>Casey Brown</v>
      </c>
      <c r="M412" t="str" cm="1">
        <f t="array" aca="1" ref="M412" ca="1">INDEX(RootCauseList,RANDBETWEEN(1,ROWS(RootCauseList)))</f>
        <v>Integration Failure</v>
      </c>
      <c r="N412">
        <f t="shared" ca="1" si="27"/>
        <v>3928.38</v>
      </c>
      <c r="O412" t="str">
        <f ca="1">IF(OR(IncidentTable[[#This Row],[Status]]="Resolved",IncidentTable[[#This Row],[Status]]="Closed"),
ROUND(IncidentTable[[#This Row],[Estimated Impact ($)]]*(1+RANDBETWEEN(-15,25)/100)+RAND(),2),
"")</f>
        <v/>
      </c>
      <c r="P412" t="str">
        <f ca="1">IF(IncidentTable[[#This Row],[Actual Impact ($)]]="","",ROUND(IncidentTable[[#This Row],[Actual Impact ($)]]-IncidentTable[[#This Row],[Estimated Impact ($)]],2))</f>
        <v/>
      </c>
      <c r="Q412" s="2" t="str">
        <f ca="1">IF(IncidentTable[[#This Row],[Actual Impact ($)]]="","",(IncidentTable[[#This Row],[Actual Impact ($)]]-IncidentTable[[#This Row],[Estimated Impact ($)]]) / IncidentTable[[#This Row],[Estimated Impact ($)]])</f>
        <v/>
      </c>
      <c r="R412" s="3">
        <f ca="1">IF(IncidentTable[[#This Row],[Priority]]="Critical",1,
IF(IncidentTable[[#This Row],[Priority]]="High",3,
IF(IncidentTable[[#This Row],[Priority]]="Medium",5,
IF(IncidentTable[[#This Row],[Priority]]="Low",10,""))))</f>
        <v>10</v>
      </c>
      <c r="S412" t="str">
        <f ca="1">IF(IncidentTable[[#This Row],[Resolution Time (Days)]]="","",
IF(IncidentTable[[#This Row],[Resolution Time (Days)]]&lt;=IncidentTable[[#This Row],[SLA Target (Days)]],"Yes","No"))</f>
        <v/>
      </c>
    </row>
    <row r="413" spans="1:19" x14ac:dyDescent="0.25">
      <c r="A413" t="str">
        <f t="shared" ca="1" si="25"/>
        <v>INC420794</v>
      </c>
      <c r="B413" t="str" cm="1">
        <f t="array" aca="1" ref="B413" ca="1">INDEX(SystemList,RANDBETWEEN(1,ROWS(SystemList)))</f>
        <v>Payment Processing</v>
      </c>
      <c r="C413" t="str" cm="1">
        <f t="array" aca="1" ref="C413" ca="1">INDEX(IssueTypeList,RANDBETWEEN(1,ROWS(IssueTypeList)))</f>
        <v>Performance Issue</v>
      </c>
      <c r="D413" t="str" cm="1">
        <f t="array" aca="1" ref="D413" ca="1">INDEX(PriorityList,RANDBETWEEN(1,ROWS(PriorityList)))</f>
        <v>Medium</v>
      </c>
      <c r="E413" t="str" cm="1">
        <f t="array" aca="1" ref="E413" ca="1">INDEX(SeverityList,RANDBETWEEN(1,ROWS(SeverityList)))</f>
        <v>Minor</v>
      </c>
      <c r="F413" t="str" cm="1">
        <f t="array" aca="1" ref="F413" ca="1">INDEX(RegionList,RANDBETWEEN(1,ROWS(RegionList)))</f>
        <v>Central</v>
      </c>
      <c r="G413" t="str" cm="1">
        <f t="array" aca="1" ref="G413" ca="1">INDEX(DepartmentList,RANDBETWEEN(1,ROWS(DepartmentList)))</f>
        <v>IT</v>
      </c>
      <c r="H413" s="1">
        <f t="shared" ca="1" si="26"/>
        <v>45346</v>
      </c>
      <c r="I413" s="4">
        <f ca="1">IF(IncidentTable[[#This Row],[Resolution Time (Days)]]="","",IncidentTable[[#This Row],[Created Date]]+IncidentTable[[#This Row],[Resolution Time (Days)]])</f>
        <v>45401</v>
      </c>
      <c r="J413">
        <f ca="1">IF(OR(IncidentTable[[#This Row],[Status]]="Resolved",IncidentTable[[#This Row],[Status]]="Closed"),RANDBETWEEN(1,120),"")</f>
        <v>55</v>
      </c>
      <c r="K413" t="str">
        <f t="shared" ca="1" si="24"/>
        <v>Resolved</v>
      </c>
      <c r="L413" t="str" cm="1">
        <f t="array" aca="1" ref="L413" ca="1">INDEX(AnalystList,RANDBETWEEN(1,ROWS(AnalystList)))</f>
        <v>Morgan Davis</v>
      </c>
      <c r="M413" t="str" cm="1">
        <f t="array" aca="1" ref="M413" ca="1">INDEX(RootCauseList,RANDBETWEEN(1,ROWS(RootCauseList)))</f>
        <v>User Error</v>
      </c>
      <c r="N413">
        <f t="shared" ca="1" si="27"/>
        <v>6039.51</v>
      </c>
      <c r="O413">
        <f ca="1">IF(OR(IncidentTable[[#This Row],[Status]]="Resolved",IncidentTable[[#This Row],[Status]]="Closed"),
ROUND(IncidentTable[[#This Row],[Estimated Impact ($)]]*(1+RANDBETWEEN(-15,25)/100)+RAND(),2),
"")</f>
        <v>6643.71</v>
      </c>
      <c r="P413">
        <f ca="1">IF(IncidentTable[[#This Row],[Actual Impact ($)]]="","",ROUND(IncidentTable[[#This Row],[Actual Impact ($)]]-IncidentTable[[#This Row],[Estimated Impact ($)]],2))</f>
        <v>604.20000000000005</v>
      </c>
      <c r="Q413" s="2">
        <f ca="1">IF(IncidentTable[[#This Row],[Actual Impact ($)]]="","",(IncidentTable[[#This Row],[Actual Impact ($)]]-IncidentTable[[#This Row],[Estimated Impact ($)]]) / IncidentTable[[#This Row],[Estimated Impact ($)]])</f>
        <v>0.1000412285102599</v>
      </c>
      <c r="R413" s="3">
        <f ca="1">IF(IncidentTable[[#This Row],[Priority]]="Critical",1,
IF(IncidentTable[[#This Row],[Priority]]="High",3,
IF(IncidentTable[[#This Row],[Priority]]="Medium",5,
IF(IncidentTable[[#This Row],[Priority]]="Low",10,""))))</f>
        <v>5</v>
      </c>
      <c r="S413" t="str">
        <f ca="1">IF(IncidentTable[[#This Row],[Resolution Time (Days)]]="","",
IF(IncidentTable[[#This Row],[Resolution Time (Days)]]&lt;=IncidentTable[[#This Row],[SLA Target (Days)]],"Yes","No"))</f>
        <v>No</v>
      </c>
    </row>
    <row r="414" spans="1:19" x14ac:dyDescent="0.25">
      <c r="A414" t="str">
        <f t="shared" ca="1" si="25"/>
        <v>INC372889</v>
      </c>
      <c r="B414" t="str" cm="1">
        <f t="array" aca="1" ref="B414" ca="1">INDEX(SystemList,RANDBETWEEN(1,ROWS(SystemList)))</f>
        <v>Regulatory System</v>
      </c>
      <c r="C414" t="str" cm="1">
        <f t="array" aca="1" ref="C414" ca="1">INDEX(IssueTypeList,RANDBETWEEN(1,ROWS(IssueTypeList)))</f>
        <v>System Error</v>
      </c>
      <c r="D414" t="str" cm="1">
        <f t="array" aca="1" ref="D414" ca="1">INDEX(PriorityList,RANDBETWEEN(1,ROWS(PriorityList)))</f>
        <v>Critical</v>
      </c>
      <c r="E414" t="str" cm="1">
        <f t="array" aca="1" ref="E414" ca="1">INDEX(SeverityList,RANDBETWEEN(1,ROWS(SeverityList)))</f>
        <v>Minor</v>
      </c>
      <c r="F414" t="str" cm="1">
        <f t="array" aca="1" ref="F414" ca="1">INDEX(RegionList,RANDBETWEEN(1,ROWS(RegionList)))</f>
        <v>Southeast</v>
      </c>
      <c r="G414" t="str" cm="1">
        <f t="array" aca="1" ref="G414" ca="1">INDEX(DepartmentList,RANDBETWEEN(1,ROWS(DepartmentList)))</f>
        <v>Finance</v>
      </c>
      <c r="H414" s="1">
        <f t="shared" ca="1" si="26"/>
        <v>45009</v>
      </c>
      <c r="I414" s="4" t="str">
        <f ca="1">IF(IncidentTable[[#This Row],[Resolution Time (Days)]]="","",IncidentTable[[#This Row],[Created Date]]+IncidentTable[[#This Row],[Resolution Time (Days)]])</f>
        <v/>
      </c>
      <c r="J414" t="str">
        <f ca="1">IF(OR(IncidentTable[[#This Row],[Status]]="Resolved",IncidentTable[[#This Row],[Status]]="Closed"),RANDBETWEEN(1,120),"")</f>
        <v/>
      </c>
      <c r="K414" t="str">
        <f t="shared" ca="1" si="24"/>
        <v>Open</v>
      </c>
      <c r="L414" t="str" cm="1">
        <f t="array" aca="1" ref="L414" ca="1">INDEX(AnalystList,RANDBETWEEN(1,ROWS(AnalystList)))</f>
        <v>Riley Wilson</v>
      </c>
      <c r="M414" t="str" cm="1">
        <f t="array" aca="1" ref="M414" ca="1">INDEX(RootCauseList,RANDBETWEEN(1,ROWS(RootCauseList)))</f>
        <v>System Bug</v>
      </c>
      <c r="N414">
        <f t="shared" ca="1" si="27"/>
        <v>28293.360000000001</v>
      </c>
      <c r="O414" t="str">
        <f ca="1">IF(OR(IncidentTable[[#This Row],[Status]]="Resolved",IncidentTable[[#This Row],[Status]]="Closed"),
ROUND(IncidentTable[[#This Row],[Estimated Impact ($)]]*(1+RANDBETWEEN(-15,25)/100)+RAND(),2),
"")</f>
        <v/>
      </c>
      <c r="P414" t="str">
        <f ca="1">IF(IncidentTable[[#This Row],[Actual Impact ($)]]="","",ROUND(IncidentTable[[#This Row],[Actual Impact ($)]]-IncidentTable[[#This Row],[Estimated Impact ($)]],2))</f>
        <v/>
      </c>
      <c r="Q414" s="2" t="str">
        <f ca="1">IF(IncidentTable[[#This Row],[Actual Impact ($)]]="","",(IncidentTable[[#This Row],[Actual Impact ($)]]-IncidentTable[[#This Row],[Estimated Impact ($)]]) / IncidentTable[[#This Row],[Estimated Impact ($)]])</f>
        <v/>
      </c>
      <c r="R414" s="3">
        <f ca="1">IF(IncidentTable[[#This Row],[Priority]]="Critical",1,
IF(IncidentTable[[#This Row],[Priority]]="High",3,
IF(IncidentTable[[#This Row],[Priority]]="Medium",5,
IF(IncidentTable[[#This Row],[Priority]]="Low",10,""))))</f>
        <v>1</v>
      </c>
      <c r="S414" t="str">
        <f ca="1">IF(IncidentTable[[#This Row],[Resolution Time (Days)]]="","",
IF(IncidentTable[[#This Row],[Resolution Time (Days)]]&lt;=IncidentTable[[#This Row],[SLA Target (Days)]],"Yes","No"))</f>
        <v/>
      </c>
    </row>
    <row r="415" spans="1:19" x14ac:dyDescent="0.25">
      <c r="A415" t="str">
        <f t="shared" ca="1" si="25"/>
        <v>INC214346</v>
      </c>
      <c r="B415" t="str" cm="1">
        <f t="array" aca="1" ref="B415" ca="1">INDEX(SystemList,RANDBETWEEN(1,ROWS(SystemList)))</f>
        <v>Billing System</v>
      </c>
      <c r="C415" t="str" cm="1">
        <f t="array" aca="1" ref="C415" ca="1">INDEX(IssueTypeList,RANDBETWEEN(1,ROWS(IssueTypeList)))</f>
        <v>Performance Issue</v>
      </c>
      <c r="D415" t="str" cm="1">
        <f t="array" aca="1" ref="D415" ca="1">INDEX(PriorityList,RANDBETWEEN(1,ROWS(PriorityList)))</f>
        <v>Low</v>
      </c>
      <c r="E415" t="str" cm="1">
        <f t="array" aca="1" ref="E415" ca="1">INDEX(SeverityList,RANDBETWEEN(1,ROWS(SeverityList)))</f>
        <v>Major</v>
      </c>
      <c r="F415" t="str" cm="1">
        <f t="array" aca="1" ref="F415" ca="1">INDEX(RegionList,RANDBETWEEN(1,ROWS(RegionList)))</f>
        <v>Midwest</v>
      </c>
      <c r="G415" t="str" cm="1">
        <f t="array" aca="1" ref="G415" ca="1">INDEX(DepartmentList,RANDBETWEEN(1,ROWS(DepartmentList)))</f>
        <v>Compliance</v>
      </c>
      <c r="H415" s="1">
        <f t="shared" ca="1" si="26"/>
        <v>45068</v>
      </c>
      <c r="I415" s="4">
        <f ca="1">IF(IncidentTable[[#This Row],[Resolution Time (Days)]]="","",IncidentTable[[#This Row],[Created Date]]+IncidentTable[[#This Row],[Resolution Time (Days)]])</f>
        <v>45119</v>
      </c>
      <c r="J415">
        <f ca="1">IF(OR(IncidentTable[[#This Row],[Status]]="Resolved",IncidentTable[[#This Row],[Status]]="Closed"),RANDBETWEEN(1,120),"")</f>
        <v>51</v>
      </c>
      <c r="K415" t="str">
        <f t="shared" ca="1" si="24"/>
        <v>Resolved</v>
      </c>
      <c r="L415" t="str" cm="1">
        <f t="array" aca="1" ref="L415" ca="1">INDEX(AnalystList,RANDBETWEEN(1,ROWS(AnalystList)))</f>
        <v>Morgan Davis</v>
      </c>
      <c r="M415" t="str" cm="1">
        <f t="array" aca="1" ref="M415" ca="1">INDEX(RootCauseList,RANDBETWEEN(1,ROWS(RootCauseList)))</f>
        <v>Integration Failure</v>
      </c>
      <c r="N415">
        <f t="shared" ca="1" si="27"/>
        <v>80.150000000000006</v>
      </c>
      <c r="O415">
        <f ca="1">IF(OR(IncidentTable[[#This Row],[Status]]="Resolved",IncidentTable[[#This Row],[Status]]="Closed"),
ROUND(IncidentTable[[#This Row],[Estimated Impact ($)]]*(1+RANDBETWEEN(-15,25)/100)+RAND(),2),
"")</f>
        <v>93.56</v>
      </c>
      <c r="P415">
        <f ca="1">IF(IncidentTable[[#This Row],[Actual Impact ($)]]="","",ROUND(IncidentTable[[#This Row],[Actual Impact ($)]]-IncidentTable[[#This Row],[Estimated Impact ($)]],2))</f>
        <v>13.41</v>
      </c>
      <c r="Q415" s="2">
        <f ca="1">IF(IncidentTable[[#This Row],[Actual Impact ($)]]="","",(IncidentTable[[#This Row],[Actual Impact ($)]]-IncidentTable[[#This Row],[Estimated Impact ($)]]) / IncidentTable[[#This Row],[Estimated Impact ($)]])</f>
        <v>0.16731129132875852</v>
      </c>
      <c r="R415" s="3">
        <f ca="1">IF(IncidentTable[[#This Row],[Priority]]="Critical",1,
IF(IncidentTable[[#This Row],[Priority]]="High",3,
IF(IncidentTable[[#This Row],[Priority]]="Medium",5,
IF(IncidentTable[[#This Row],[Priority]]="Low",10,""))))</f>
        <v>10</v>
      </c>
      <c r="S415" t="str">
        <f ca="1">IF(IncidentTable[[#This Row],[Resolution Time (Days)]]="","",
IF(IncidentTable[[#This Row],[Resolution Time (Days)]]&lt;=IncidentTable[[#This Row],[SLA Target (Days)]],"Yes","No"))</f>
        <v>No</v>
      </c>
    </row>
    <row r="416" spans="1:19" x14ac:dyDescent="0.25">
      <c r="A416" t="str">
        <f t="shared" ca="1" si="25"/>
        <v>INC134007</v>
      </c>
      <c r="B416" t="str" cm="1">
        <f t="array" aca="1" ref="B416" ca="1">INDEX(SystemList,RANDBETWEEN(1,ROWS(SystemList)))</f>
        <v>Customer Portal</v>
      </c>
      <c r="C416" t="str" cm="1">
        <f t="array" aca="1" ref="C416" ca="1">INDEX(IssueTypeList,RANDBETWEEN(1,ROWS(IssueTypeList)))</f>
        <v>Processing Delay</v>
      </c>
      <c r="D416" t="str" cm="1">
        <f t="array" aca="1" ref="D416" ca="1">INDEX(PriorityList,RANDBETWEEN(1,ROWS(PriorityList)))</f>
        <v>Medium</v>
      </c>
      <c r="E416" t="str" cm="1">
        <f t="array" aca="1" ref="E416" ca="1">INDEX(SeverityList,RANDBETWEEN(1,ROWS(SeverityList)))</f>
        <v>Critical</v>
      </c>
      <c r="F416" t="str" cm="1">
        <f t="array" aca="1" ref="F416" ca="1">INDEX(RegionList,RANDBETWEEN(1,ROWS(RegionList)))</f>
        <v>Central</v>
      </c>
      <c r="G416" t="str" cm="1">
        <f t="array" aca="1" ref="G416" ca="1">INDEX(DepartmentList,RANDBETWEEN(1,ROWS(DepartmentList)))</f>
        <v>Compliance</v>
      </c>
      <c r="H416" s="1">
        <f t="shared" ca="1" si="26"/>
        <v>45021</v>
      </c>
      <c r="I416" s="4">
        <f ca="1">IF(IncidentTable[[#This Row],[Resolution Time (Days)]]="","",IncidentTable[[#This Row],[Created Date]]+IncidentTable[[#This Row],[Resolution Time (Days)]])</f>
        <v>45035</v>
      </c>
      <c r="J416">
        <f ca="1">IF(OR(IncidentTable[[#This Row],[Status]]="Resolved",IncidentTable[[#This Row],[Status]]="Closed"),RANDBETWEEN(1,120),"")</f>
        <v>14</v>
      </c>
      <c r="K416" t="str">
        <f t="shared" ca="1" si="24"/>
        <v>Closed</v>
      </c>
      <c r="L416" t="str" cm="1">
        <f t="array" aca="1" ref="L416" ca="1">INDEX(AnalystList,RANDBETWEEN(1,ROWS(AnalystList)))</f>
        <v>Morgan Davis</v>
      </c>
      <c r="M416" t="str" cm="1">
        <f t="array" aca="1" ref="M416" ca="1">INDEX(RootCauseList,RANDBETWEEN(1,ROWS(RootCauseList)))</f>
        <v>Data Error</v>
      </c>
      <c r="N416">
        <f t="shared" ca="1" si="27"/>
        <v>24.42</v>
      </c>
      <c r="O416">
        <f ca="1">IF(OR(IncidentTable[[#This Row],[Status]]="Resolved",IncidentTable[[#This Row],[Status]]="Closed"),
ROUND(IncidentTable[[#This Row],[Estimated Impact ($)]]*(1+RANDBETWEEN(-15,25)/100)+RAND(),2),
"")</f>
        <v>27.66</v>
      </c>
      <c r="P416">
        <f ca="1">IF(IncidentTable[[#This Row],[Actual Impact ($)]]="","",ROUND(IncidentTable[[#This Row],[Actual Impact ($)]]-IncidentTable[[#This Row],[Estimated Impact ($)]],2))</f>
        <v>3.24</v>
      </c>
      <c r="Q416" s="2">
        <f ca="1">IF(IncidentTable[[#This Row],[Actual Impact ($)]]="","",(IncidentTable[[#This Row],[Actual Impact ($)]]-IncidentTable[[#This Row],[Estimated Impact ($)]]) / IncidentTable[[#This Row],[Estimated Impact ($)]])</f>
        <v>0.13267813267813261</v>
      </c>
      <c r="R416" s="3">
        <f ca="1">IF(IncidentTable[[#This Row],[Priority]]="Critical",1,
IF(IncidentTable[[#This Row],[Priority]]="High",3,
IF(IncidentTable[[#This Row],[Priority]]="Medium",5,
IF(IncidentTable[[#This Row],[Priority]]="Low",10,""))))</f>
        <v>5</v>
      </c>
      <c r="S416" t="str">
        <f ca="1">IF(IncidentTable[[#This Row],[Resolution Time (Days)]]="","",
IF(IncidentTable[[#This Row],[Resolution Time (Days)]]&lt;=IncidentTable[[#This Row],[SLA Target (Days)]],"Yes","No"))</f>
        <v>No</v>
      </c>
    </row>
    <row r="417" spans="1:19" x14ac:dyDescent="0.25">
      <c r="A417" t="str">
        <f t="shared" ca="1" si="25"/>
        <v>INC977318</v>
      </c>
      <c r="B417" t="str" cm="1">
        <f t="array" aca="1" ref="B417" ca="1">INDEX(SystemList,RANDBETWEEN(1,ROWS(SystemList)))</f>
        <v>Payment Processing</v>
      </c>
      <c r="C417" t="str" cm="1">
        <f t="array" aca="1" ref="C417" ca="1">INDEX(IssueTypeList,RANDBETWEEN(1,ROWS(IssueTypeList)))</f>
        <v>Integration Failure</v>
      </c>
      <c r="D417" t="str" cm="1">
        <f t="array" aca="1" ref="D417" ca="1">INDEX(PriorityList,RANDBETWEEN(1,ROWS(PriorityList)))</f>
        <v>Critical</v>
      </c>
      <c r="E417" t="str" cm="1">
        <f t="array" aca="1" ref="E417" ca="1">INDEX(SeverityList,RANDBETWEEN(1,ROWS(SeverityList)))</f>
        <v>Moderate</v>
      </c>
      <c r="F417" t="str" cm="1">
        <f t="array" aca="1" ref="F417" ca="1">INDEX(RegionList,RANDBETWEEN(1,ROWS(RegionList)))</f>
        <v>West</v>
      </c>
      <c r="G417" t="str" cm="1">
        <f t="array" aca="1" ref="G417" ca="1">INDEX(DepartmentList,RANDBETWEEN(1,ROWS(DepartmentList)))</f>
        <v>Compliance</v>
      </c>
      <c r="H417" s="1">
        <f t="shared" ca="1" si="26"/>
        <v>44995</v>
      </c>
      <c r="I417" s="4" t="str">
        <f ca="1">IF(IncidentTable[[#This Row],[Resolution Time (Days)]]="","",IncidentTable[[#This Row],[Created Date]]+IncidentTable[[#This Row],[Resolution Time (Days)]])</f>
        <v/>
      </c>
      <c r="J417" t="str">
        <f ca="1">IF(OR(IncidentTable[[#This Row],[Status]]="Resolved",IncidentTable[[#This Row],[Status]]="Closed"),RANDBETWEEN(1,120),"")</f>
        <v/>
      </c>
      <c r="K417" t="str">
        <f t="shared" ca="1" si="24"/>
        <v>In Progress</v>
      </c>
      <c r="L417" t="str" cm="1">
        <f t="array" aca="1" ref="L417" ca="1">INDEX(AnalystList,RANDBETWEEN(1,ROWS(AnalystList)))</f>
        <v>Casey Brown</v>
      </c>
      <c r="M417" t="str" cm="1">
        <f t="array" aca="1" ref="M417" ca="1">INDEX(RootCauseList,RANDBETWEEN(1,ROWS(RootCauseList)))</f>
        <v>Process Gap</v>
      </c>
      <c r="N417">
        <f t="shared" ca="1" si="27"/>
        <v>18805.439999999999</v>
      </c>
      <c r="O417" t="str">
        <f ca="1">IF(OR(IncidentTable[[#This Row],[Status]]="Resolved",IncidentTable[[#This Row],[Status]]="Closed"),
ROUND(IncidentTable[[#This Row],[Estimated Impact ($)]]*(1+RANDBETWEEN(-15,25)/100)+RAND(),2),
"")</f>
        <v/>
      </c>
      <c r="P417" t="str">
        <f ca="1">IF(IncidentTable[[#This Row],[Actual Impact ($)]]="","",ROUND(IncidentTable[[#This Row],[Actual Impact ($)]]-IncidentTable[[#This Row],[Estimated Impact ($)]],2))</f>
        <v/>
      </c>
      <c r="Q417" s="2" t="str">
        <f ca="1">IF(IncidentTable[[#This Row],[Actual Impact ($)]]="","",(IncidentTable[[#This Row],[Actual Impact ($)]]-IncidentTable[[#This Row],[Estimated Impact ($)]]) / IncidentTable[[#This Row],[Estimated Impact ($)]])</f>
        <v/>
      </c>
      <c r="R417" s="3">
        <f ca="1">IF(IncidentTable[[#This Row],[Priority]]="Critical",1,
IF(IncidentTable[[#This Row],[Priority]]="High",3,
IF(IncidentTable[[#This Row],[Priority]]="Medium",5,
IF(IncidentTable[[#This Row],[Priority]]="Low",10,""))))</f>
        <v>1</v>
      </c>
      <c r="S417" t="str">
        <f ca="1">IF(IncidentTable[[#This Row],[Resolution Time (Days)]]="","",
IF(IncidentTable[[#This Row],[Resolution Time (Days)]]&lt;=IncidentTable[[#This Row],[SLA Target (Days)]],"Yes","No"))</f>
        <v/>
      </c>
    </row>
    <row r="418" spans="1:19" x14ac:dyDescent="0.25">
      <c r="A418" t="str">
        <f t="shared" ca="1" si="25"/>
        <v>INC758992</v>
      </c>
      <c r="B418" t="str" cm="1">
        <f t="array" aca="1" ref="B418" ca="1">INDEX(SystemList,RANDBETWEEN(1,ROWS(SystemList)))</f>
        <v>Billing System</v>
      </c>
      <c r="C418" t="str" cm="1">
        <f t="array" aca="1" ref="C418" ca="1">INDEX(IssueTypeList,RANDBETWEEN(1,ROWS(IssueTypeList)))</f>
        <v>User Access Issue</v>
      </c>
      <c r="D418" t="str" cm="1">
        <f t="array" aca="1" ref="D418" ca="1">INDEX(PriorityList,RANDBETWEEN(1,ROWS(PriorityList)))</f>
        <v>High</v>
      </c>
      <c r="E418" t="str" cm="1">
        <f t="array" aca="1" ref="E418" ca="1">INDEX(SeverityList,RANDBETWEEN(1,ROWS(SeverityList)))</f>
        <v>Minor</v>
      </c>
      <c r="F418" t="str" cm="1">
        <f t="array" aca="1" ref="F418" ca="1">INDEX(RegionList,RANDBETWEEN(1,ROWS(RegionList)))</f>
        <v>Southeast</v>
      </c>
      <c r="G418" t="str" cm="1">
        <f t="array" aca="1" ref="G418" ca="1">INDEX(DepartmentList,RANDBETWEEN(1,ROWS(DepartmentList)))</f>
        <v>Compliance</v>
      </c>
      <c r="H418" s="1">
        <f t="shared" ca="1" si="26"/>
        <v>45293</v>
      </c>
      <c r="I418" s="4" t="str">
        <f ca="1">IF(IncidentTable[[#This Row],[Resolution Time (Days)]]="","",IncidentTable[[#This Row],[Created Date]]+IncidentTable[[#This Row],[Resolution Time (Days)]])</f>
        <v/>
      </c>
      <c r="J418" t="str">
        <f ca="1">IF(OR(IncidentTable[[#This Row],[Status]]="Resolved",IncidentTable[[#This Row],[Status]]="Closed"),RANDBETWEEN(1,120),"")</f>
        <v/>
      </c>
      <c r="K418" t="str">
        <f t="shared" ca="1" si="24"/>
        <v>Pending</v>
      </c>
      <c r="L418" t="str" cm="1">
        <f t="array" aca="1" ref="L418" ca="1">INDEX(AnalystList,RANDBETWEEN(1,ROWS(AnalystList)))</f>
        <v>Alex Johnson</v>
      </c>
      <c r="M418" t="str" cm="1">
        <f t="array" aca="1" ref="M418" ca="1">INDEX(RootCauseList,RANDBETWEEN(1,ROWS(RootCauseList)))</f>
        <v>Data Error</v>
      </c>
      <c r="N418">
        <f t="shared" ca="1" si="27"/>
        <v>2115.9299999999998</v>
      </c>
      <c r="O418" t="str">
        <f ca="1">IF(OR(IncidentTable[[#This Row],[Status]]="Resolved",IncidentTable[[#This Row],[Status]]="Closed"),
ROUND(IncidentTable[[#This Row],[Estimated Impact ($)]]*(1+RANDBETWEEN(-15,25)/100)+RAND(),2),
"")</f>
        <v/>
      </c>
      <c r="P418" t="str">
        <f ca="1">IF(IncidentTable[[#This Row],[Actual Impact ($)]]="","",ROUND(IncidentTable[[#This Row],[Actual Impact ($)]]-IncidentTable[[#This Row],[Estimated Impact ($)]],2))</f>
        <v/>
      </c>
      <c r="Q418" s="2" t="str">
        <f ca="1">IF(IncidentTable[[#This Row],[Actual Impact ($)]]="","",(IncidentTable[[#This Row],[Actual Impact ($)]]-IncidentTable[[#This Row],[Estimated Impact ($)]]) / IncidentTable[[#This Row],[Estimated Impact ($)]])</f>
        <v/>
      </c>
      <c r="R418" s="3">
        <f ca="1">IF(IncidentTable[[#This Row],[Priority]]="Critical",1,
IF(IncidentTable[[#This Row],[Priority]]="High",3,
IF(IncidentTable[[#This Row],[Priority]]="Medium",5,
IF(IncidentTable[[#This Row],[Priority]]="Low",10,""))))</f>
        <v>3</v>
      </c>
      <c r="S418" t="str">
        <f ca="1">IF(IncidentTable[[#This Row],[Resolution Time (Days)]]="","",
IF(IncidentTable[[#This Row],[Resolution Time (Days)]]&lt;=IncidentTable[[#This Row],[SLA Target (Days)]],"Yes","No"))</f>
        <v/>
      </c>
    </row>
    <row r="419" spans="1:19" x14ac:dyDescent="0.25">
      <c r="A419" t="str">
        <f t="shared" ca="1" si="25"/>
        <v>INC296616</v>
      </c>
      <c r="B419" t="str" cm="1">
        <f t="array" aca="1" ref="B419" ca="1">INDEX(SystemList,RANDBETWEEN(1,ROWS(SystemList)))</f>
        <v>Reporting System</v>
      </c>
      <c r="C419" t="str" cm="1">
        <f t="array" aca="1" ref="C419" ca="1">INDEX(IssueTypeList,RANDBETWEEN(1,ROWS(IssueTypeList)))</f>
        <v>Processing Delay</v>
      </c>
      <c r="D419" t="str" cm="1">
        <f t="array" aca="1" ref="D419" ca="1">INDEX(PriorityList,RANDBETWEEN(1,ROWS(PriorityList)))</f>
        <v>Critical</v>
      </c>
      <c r="E419" t="str" cm="1">
        <f t="array" aca="1" ref="E419" ca="1">INDEX(SeverityList,RANDBETWEEN(1,ROWS(SeverityList)))</f>
        <v>Minor</v>
      </c>
      <c r="F419" t="str" cm="1">
        <f t="array" aca="1" ref="F419" ca="1">INDEX(RegionList,RANDBETWEEN(1,ROWS(RegionList)))</f>
        <v>East</v>
      </c>
      <c r="G419" t="str" cm="1">
        <f t="array" aca="1" ref="G419" ca="1">INDEX(DepartmentList,RANDBETWEEN(1,ROWS(DepartmentList)))</f>
        <v>Customer Service</v>
      </c>
      <c r="H419" s="1">
        <f t="shared" ca="1" si="26"/>
        <v>45094</v>
      </c>
      <c r="I419" s="4" t="str">
        <f ca="1">IF(IncidentTable[[#This Row],[Resolution Time (Days)]]="","",IncidentTable[[#This Row],[Created Date]]+IncidentTable[[#This Row],[Resolution Time (Days)]])</f>
        <v/>
      </c>
      <c r="J419" t="str">
        <f ca="1">IF(OR(IncidentTable[[#This Row],[Status]]="Resolved",IncidentTable[[#This Row],[Status]]="Closed"),RANDBETWEEN(1,120),"")</f>
        <v/>
      </c>
      <c r="K419" t="str">
        <f t="shared" ca="1" si="24"/>
        <v>Pending</v>
      </c>
      <c r="L419" t="str" cm="1">
        <f t="array" aca="1" ref="L419" ca="1">INDEX(AnalystList,RANDBETWEEN(1,ROWS(AnalystList)))</f>
        <v>Casey Brown</v>
      </c>
      <c r="M419" t="str" cm="1">
        <f t="array" aca="1" ref="M419" ca="1">INDEX(RootCauseList,RANDBETWEEN(1,ROWS(RootCauseList)))</f>
        <v>Integration Failure</v>
      </c>
      <c r="N419">
        <f t="shared" ca="1" si="27"/>
        <v>1537.48</v>
      </c>
      <c r="O419" t="str">
        <f ca="1">IF(OR(IncidentTable[[#This Row],[Status]]="Resolved",IncidentTable[[#This Row],[Status]]="Closed"),
ROUND(IncidentTable[[#This Row],[Estimated Impact ($)]]*(1+RANDBETWEEN(-15,25)/100)+RAND(),2),
"")</f>
        <v/>
      </c>
      <c r="P419" t="str">
        <f ca="1">IF(IncidentTable[[#This Row],[Actual Impact ($)]]="","",ROUND(IncidentTable[[#This Row],[Actual Impact ($)]]-IncidentTable[[#This Row],[Estimated Impact ($)]],2))</f>
        <v/>
      </c>
      <c r="Q419" s="2" t="str">
        <f ca="1">IF(IncidentTable[[#This Row],[Actual Impact ($)]]="","",(IncidentTable[[#This Row],[Actual Impact ($)]]-IncidentTable[[#This Row],[Estimated Impact ($)]]) / IncidentTable[[#This Row],[Estimated Impact ($)]])</f>
        <v/>
      </c>
      <c r="R419" s="3">
        <f ca="1">IF(IncidentTable[[#This Row],[Priority]]="Critical",1,
IF(IncidentTable[[#This Row],[Priority]]="High",3,
IF(IncidentTable[[#This Row],[Priority]]="Medium",5,
IF(IncidentTable[[#This Row],[Priority]]="Low",10,""))))</f>
        <v>1</v>
      </c>
      <c r="S419" t="str">
        <f ca="1">IF(IncidentTable[[#This Row],[Resolution Time (Days)]]="","",
IF(IncidentTable[[#This Row],[Resolution Time (Days)]]&lt;=IncidentTable[[#This Row],[SLA Target (Days)]],"Yes","No"))</f>
        <v/>
      </c>
    </row>
    <row r="420" spans="1:19" x14ac:dyDescent="0.25">
      <c r="A420" t="str">
        <f t="shared" ca="1" si="25"/>
        <v>INC918910</v>
      </c>
      <c r="B420" t="str" cm="1">
        <f t="array" aca="1" ref="B420" ca="1">INDEX(SystemList,RANDBETWEEN(1,ROWS(SystemList)))</f>
        <v>Claims System</v>
      </c>
      <c r="C420" t="str" cm="1">
        <f t="array" aca="1" ref="C420" ca="1">INDEX(IssueTypeList,RANDBETWEEN(1,ROWS(IssueTypeList)))</f>
        <v>Data Issue</v>
      </c>
      <c r="D420" t="str" cm="1">
        <f t="array" aca="1" ref="D420" ca="1">INDEX(PriorityList,RANDBETWEEN(1,ROWS(PriorityList)))</f>
        <v>High</v>
      </c>
      <c r="E420" t="str" cm="1">
        <f t="array" aca="1" ref="E420" ca="1">INDEX(SeverityList,RANDBETWEEN(1,ROWS(SeverityList)))</f>
        <v>Moderate</v>
      </c>
      <c r="F420" t="str" cm="1">
        <f t="array" aca="1" ref="F420" ca="1">INDEX(RegionList,RANDBETWEEN(1,ROWS(RegionList)))</f>
        <v>Midwest</v>
      </c>
      <c r="G420" t="str" cm="1">
        <f t="array" aca="1" ref="G420" ca="1">INDEX(DepartmentList,RANDBETWEEN(1,ROWS(DepartmentList)))</f>
        <v>Customer Service</v>
      </c>
      <c r="H420" s="1">
        <f t="shared" ca="1" si="26"/>
        <v>45234</v>
      </c>
      <c r="I420" s="4" t="str">
        <f ca="1">IF(IncidentTable[[#This Row],[Resolution Time (Days)]]="","",IncidentTable[[#This Row],[Created Date]]+IncidentTable[[#This Row],[Resolution Time (Days)]])</f>
        <v/>
      </c>
      <c r="J420" t="str">
        <f ca="1">IF(OR(IncidentTable[[#This Row],[Status]]="Resolved",IncidentTable[[#This Row],[Status]]="Closed"),RANDBETWEEN(1,120),"")</f>
        <v/>
      </c>
      <c r="K420" t="str">
        <f t="shared" ca="1" si="24"/>
        <v>Open</v>
      </c>
      <c r="L420" t="str" cm="1">
        <f t="array" aca="1" ref="L420" ca="1">INDEX(AnalystList,RANDBETWEEN(1,ROWS(AnalystList)))</f>
        <v>Alex Johnson</v>
      </c>
      <c r="M420" t="str" cm="1">
        <f t="array" aca="1" ref="M420" ca="1">INDEX(RootCauseList,RANDBETWEEN(1,ROWS(RootCauseList)))</f>
        <v>Process Gap</v>
      </c>
      <c r="N420">
        <f t="shared" ca="1" si="27"/>
        <v>14970.22</v>
      </c>
      <c r="O420" t="str">
        <f ca="1">IF(OR(IncidentTable[[#This Row],[Status]]="Resolved",IncidentTable[[#This Row],[Status]]="Closed"),
ROUND(IncidentTable[[#This Row],[Estimated Impact ($)]]*(1+RANDBETWEEN(-15,25)/100)+RAND(),2),
"")</f>
        <v/>
      </c>
      <c r="P420" t="str">
        <f ca="1">IF(IncidentTable[[#This Row],[Actual Impact ($)]]="","",ROUND(IncidentTable[[#This Row],[Actual Impact ($)]]-IncidentTable[[#This Row],[Estimated Impact ($)]],2))</f>
        <v/>
      </c>
      <c r="Q420" s="2" t="str">
        <f ca="1">IF(IncidentTable[[#This Row],[Actual Impact ($)]]="","",(IncidentTable[[#This Row],[Actual Impact ($)]]-IncidentTable[[#This Row],[Estimated Impact ($)]]) / IncidentTable[[#This Row],[Estimated Impact ($)]])</f>
        <v/>
      </c>
      <c r="R420" s="3">
        <f ca="1">IF(IncidentTable[[#This Row],[Priority]]="Critical",1,
IF(IncidentTable[[#This Row],[Priority]]="High",3,
IF(IncidentTable[[#This Row],[Priority]]="Medium",5,
IF(IncidentTable[[#This Row],[Priority]]="Low",10,""))))</f>
        <v>3</v>
      </c>
      <c r="S420" t="str">
        <f ca="1">IF(IncidentTable[[#This Row],[Resolution Time (Days)]]="","",
IF(IncidentTable[[#This Row],[Resolution Time (Days)]]&lt;=IncidentTable[[#This Row],[SLA Target (Days)]],"Yes","No"))</f>
        <v/>
      </c>
    </row>
    <row r="421" spans="1:19" x14ac:dyDescent="0.25">
      <c r="A421" t="str">
        <f t="shared" ca="1" si="25"/>
        <v>INC533370</v>
      </c>
      <c r="B421" t="str" cm="1">
        <f t="array" aca="1" ref="B421" ca="1">INDEX(SystemList,RANDBETWEEN(1,ROWS(SystemList)))</f>
        <v>Payment Processing</v>
      </c>
      <c r="C421" t="str" cm="1">
        <f t="array" aca="1" ref="C421" ca="1">INDEX(IssueTypeList,RANDBETWEEN(1,ROWS(IssueTypeList)))</f>
        <v>Processing Delay</v>
      </c>
      <c r="D421" t="str" cm="1">
        <f t="array" aca="1" ref="D421" ca="1">INDEX(PriorityList,RANDBETWEEN(1,ROWS(PriorityList)))</f>
        <v>Critical</v>
      </c>
      <c r="E421" t="str" cm="1">
        <f t="array" aca="1" ref="E421" ca="1">INDEX(SeverityList,RANDBETWEEN(1,ROWS(SeverityList)))</f>
        <v>Minor</v>
      </c>
      <c r="F421" t="str" cm="1">
        <f t="array" aca="1" ref="F421" ca="1">INDEX(RegionList,RANDBETWEEN(1,ROWS(RegionList)))</f>
        <v>Central</v>
      </c>
      <c r="G421" t="str" cm="1">
        <f t="array" aca="1" ref="G421" ca="1">INDEX(DepartmentList,RANDBETWEEN(1,ROWS(DepartmentList)))</f>
        <v>Finance</v>
      </c>
      <c r="H421" s="1">
        <f t="shared" ca="1" si="26"/>
        <v>45229</v>
      </c>
      <c r="I421" s="4">
        <f ca="1">IF(IncidentTable[[#This Row],[Resolution Time (Days)]]="","",IncidentTable[[#This Row],[Created Date]]+IncidentTable[[#This Row],[Resolution Time (Days)]])</f>
        <v>45333</v>
      </c>
      <c r="J421">
        <f ca="1">IF(OR(IncidentTable[[#This Row],[Status]]="Resolved",IncidentTable[[#This Row],[Status]]="Closed"),RANDBETWEEN(1,120),"")</f>
        <v>104</v>
      </c>
      <c r="K421" t="str">
        <f t="shared" ca="1" si="24"/>
        <v>Resolved</v>
      </c>
      <c r="L421" t="str" cm="1">
        <f t="array" aca="1" ref="L421" ca="1">INDEX(AnalystList,RANDBETWEEN(1,ROWS(AnalystList)))</f>
        <v>Casey Brown</v>
      </c>
      <c r="M421" t="str" cm="1">
        <f t="array" aca="1" ref="M421" ca="1">INDEX(RootCauseList,RANDBETWEEN(1,ROWS(RootCauseList)))</f>
        <v>Integration Failure</v>
      </c>
      <c r="N421">
        <f t="shared" ca="1" si="27"/>
        <v>9786.1</v>
      </c>
      <c r="O421">
        <f ca="1">IF(OR(IncidentTable[[#This Row],[Status]]="Resolved",IncidentTable[[#This Row],[Status]]="Closed"),
ROUND(IncidentTable[[#This Row],[Estimated Impact ($)]]*(1+RANDBETWEEN(-15,25)/100)+RAND(),2),
"")</f>
        <v>11743.66</v>
      </c>
      <c r="P421">
        <f ca="1">IF(IncidentTable[[#This Row],[Actual Impact ($)]]="","",ROUND(IncidentTable[[#This Row],[Actual Impact ($)]]-IncidentTable[[#This Row],[Estimated Impact ($)]],2))</f>
        <v>1957.56</v>
      </c>
      <c r="Q421" s="2">
        <f ca="1">IF(IncidentTable[[#This Row],[Actual Impact ($)]]="","",(IncidentTable[[#This Row],[Actual Impact ($)]]-IncidentTable[[#This Row],[Estimated Impact ($)]]) / IncidentTable[[#This Row],[Estimated Impact ($)]])</f>
        <v>0.20003474315610911</v>
      </c>
      <c r="R421" s="3">
        <f ca="1">IF(IncidentTable[[#This Row],[Priority]]="Critical",1,
IF(IncidentTable[[#This Row],[Priority]]="High",3,
IF(IncidentTable[[#This Row],[Priority]]="Medium",5,
IF(IncidentTable[[#This Row],[Priority]]="Low",10,""))))</f>
        <v>1</v>
      </c>
      <c r="S421" t="str">
        <f ca="1">IF(IncidentTable[[#This Row],[Resolution Time (Days)]]="","",
IF(IncidentTable[[#This Row],[Resolution Time (Days)]]&lt;=IncidentTable[[#This Row],[SLA Target (Days)]],"Yes","No"))</f>
        <v>No</v>
      </c>
    </row>
    <row r="422" spans="1:19" x14ac:dyDescent="0.25">
      <c r="A422" t="str">
        <f t="shared" ca="1" si="25"/>
        <v>INC141550</v>
      </c>
      <c r="B422" t="str" cm="1">
        <f t="array" aca="1" ref="B422" ca="1">INDEX(SystemList,RANDBETWEEN(1,ROWS(SystemList)))</f>
        <v>Customer Portal</v>
      </c>
      <c r="C422" t="str" cm="1">
        <f t="array" aca="1" ref="C422" ca="1">INDEX(IssueTypeList,RANDBETWEEN(1,ROWS(IssueTypeList)))</f>
        <v>Payment Failure</v>
      </c>
      <c r="D422" t="str" cm="1">
        <f t="array" aca="1" ref="D422" ca="1">INDEX(PriorityList,RANDBETWEEN(1,ROWS(PriorityList)))</f>
        <v>Critical</v>
      </c>
      <c r="E422" t="str" cm="1">
        <f t="array" aca="1" ref="E422" ca="1">INDEX(SeverityList,RANDBETWEEN(1,ROWS(SeverityList)))</f>
        <v>Critical</v>
      </c>
      <c r="F422" t="str" cm="1">
        <f t="array" aca="1" ref="F422" ca="1">INDEX(RegionList,RANDBETWEEN(1,ROWS(RegionList)))</f>
        <v>West</v>
      </c>
      <c r="G422" t="str" cm="1">
        <f t="array" aca="1" ref="G422" ca="1">INDEX(DepartmentList,RANDBETWEEN(1,ROWS(DepartmentList)))</f>
        <v>Customer Service</v>
      </c>
      <c r="H422" s="1">
        <f t="shared" ca="1" si="26"/>
        <v>45160</v>
      </c>
      <c r="I422" s="4" t="str">
        <f ca="1">IF(IncidentTable[[#This Row],[Resolution Time (Days)]]="","",IncidentTable[[#This Row],[Created Date]]+IncidentTable[[#This Row],[Resolution Time (Days)]])</f>
        <v/>
      </c>
      <c r="J422" t="str">
        <f ca="1">IF(OR(IncidentTable[[#This Row],[Status]]="Resolved",IncidentTable[[#This Row],[Status]]="Closed"),RANDBETWEEN(1,120),"")</f>
        <v/>
      </c>
      <c r="K422" t="str">
        <f t="shared" ca="1" si="24"/>
        <v>Open</v>
      </c>
      <c r="L422" t="str" cm="1">
        <f t="array" aca="1" ref="L422" ca="1">INDEX(AnalystList,RANDBETWEEN(1,ROWS(AnalystList)))</f>
        <v>Riley Wilson</v>
      </c>
      <c r="M422" t="str" cm="1">
        <f t="array" aca="1" ref="M422" ca="1">INDEX(RootCauseList,RANDBETWEEN(1,ROWS(RootCauseList)))</f>
        <v>User Error</v>
      </c>
      <c r="N422">
        <f t="shared" ca="1" si="27"/>
        <v>10.11</v>
      </c>
      <c r="O422" t="str">
        <f ca="1">IF(OR(IncidentTable[[#This Row],[Status]]="Resolved",IncidentTable[[#This Row],[Status]]="Closed"),
ROUND(IncidentTable[[#This Row],[Estimated Impact ($)]]*(1+RANDBETWEEN(-15,25)/100)+RAND(),2),
"")</f>
        <v/>
      </c>
      <c r="P422" t="str">
        <f ca="1">IF(IncidentTable[[#This Row],[Actual Impact ($)]]="","",ROUND(IncidentTable[[#This Row],[Actual Impact ($)]]-IncidentTable[[#This Row],[Estimated Impact ($)]],2))</f>
        <v/>
      </c>
      <c r="Q422" s="2" t="str">
        <f ca="1">IF(IncidentTable[[#This Row],[Actual Impact ($)]]="","",(IncidentTable[[#This Row],[Actual Impact ($)]]-IncidentTable[[#This Row],[Estimated Impact ($)]]) / IncidentTable[[#This Row],[Estimated Impact ($)]])</f>
        <v/>
      </c>
      <c r="R422" s="3">
        <f ca="1">IF(IncidentTable[[#This Row],[Priority]]="Critical",1,
IF(IncidentTable[[#This Row],[Priority]]="High",3,
IF(IncidentTable[[#This Row],[Priority]]="Medium",5,
IF(IncidentTable[[#This Row],[Priority]]="Low",10,""))))</f>
        <v>1</v>
      </c>
      <c r="S422" t="str">
        <f ca="1">IF(IncidentTable[[#This Row],[Resolution Time (Days)]]="","",
IF(IncidentTable[[#This Row],[Resolution Time (Days)]]&lt;=IncidentTable[[#This Row],[SLA Target (Days)]],"Yes","No"))</f>
        <v/>
      </c>
    </row>
    <row r="423" spans="1:19" x14ac:dyDescent="0.25">
      <c r="A423" t="str">
        <f t="shared" ca="1" si="25"/>
        <v>INC830229</v>
      </c>
      <c r="B423" t="str" cm="1">
        <f t="array" aca="1" ref="B423" ca="1">INDEX(SystemList,RANDBETWEEN(1,ROWS(SystemList)))</f>
        <v>Reporting System</v>
      </c>
      <c r="C423" t="str" cm="1">
        <f t="array" aca="1" ref="C423" ca="1">INDEX(IssueTypeList,RANDBETWEEN(1,ROWS(IssueTypeList)))</f>
        <v>Data Issue</v>
      </c>
      <c r="D423" t="str" cm="1">
        <f t="array" aca="1" ref="D423" ca="1">INDEX(PriorityList,RANDBETWEEN(1,ROWS(PriorityList)))</f>
        <v>High</v>
      </c>
      <c r="E423" t="str" cm="1">
        <f t="array" aca="1" ref="E423" ca="1">INDEX(SeverityList,RANDBETWEEN(1,ROWS(SeverityList)))</f>
        <v>Critical</v>
      </c>
      <c r="F423" t="str" cm="1">
        <f t="array" aca="1" ref="F423" ca="1">INDEX(RegionList,RANDBETWEEN(1,ROWS(RegionList)))</f>
        <v>West</v>
      </c>
      <c r="G423" t="str" cm="1">
        <f t="array" aca="1" ref="G423" ca="1">INDEX(DepartmentList,RANDBETWEEN(1,ROWS(DepartmentList)))</f>
        <v>Finance</v>
      </c>
      <c r="H423" s="1">
        <f t="shared" ca="1" si="26"/>
        <v>45230</v>
      </c>
      <c r="I423" s="4" t="str">
        <f ca="1">IF(IncidentTable[[#This Row],[Resolution Time (Days)]]="","",IncidentTable[[#This Row],[Created Date]]+IncidentTable[[#This Row],[Resolution Time (Days)]])</f>
        <v/>
      </c>
      <c r="J423" t="str">
        <f ca="1">IF(OR(IncidentTable[[#This Row],[Status]]="Resolved",IncidentTable[[#This Row],[Status]]="Closed"),RANDBETWEEN(1,120),"")</f>
        <v/>
      </c>
      <c r="K423" t="str">
        <f t="shared" ca="1" si="24"/>
        <v>In Progress</v>
      </c>
      <c r="L423" t="str" cm="1">
        <f t="array" aca="1" ref="L423" ca="1">INDEX(AnalystList,RANDBETWEEN(1,ROWS(AnalystList)))</f>
        <v>Morgan Davis</v>
      </c>
      <c r="M423" t="str" cm="1">
        <f t="array" aca="1" ref="M423" ca="1">INDEX(RootCauseList,RANDBETWEEN(1,ROWS(RootCauseList)))</f>
        <v>Network Failure</v>
      </c>
      <c r="N423">
        <f t="shared" ca="1" si="27"/>
        <v>3619.63</v>
      </c>
      <c r="O423" t="str">
        <f ca="1">IF(OR(IncidentTable[[#This Row],[Status]]="Resolved",IncidentTable[[#This Row],[Status]]="Closed"),
ROUND(IncidentTable[[#This Row],[Estimated Impact ($)]]*(1+RANDBETWEEN(-15,25)/100)+RAND(),2),
"")</f>
        <v/>
      </c>
      <c r="P423" t="str">
        <f ca="1">IF(IncidentTable[[#This Row],[Actual Impact ($)]]="","",ROUND(IncidentTable[[#This Row],[Actual Impact ($)]]-IncidentTable[[#This Row],[Estimated Impact ($)]],2))</f>
        <v/>
      </c>
      <c r="Q423" s="2" t="str">
        <f ca="1">IF(IncidentTable[[#This Row],[Actual Impact ($)]]="","",(IncidentTable[[#This Row],[Actual Impact ($)]]-IncidentTable[[#This Row],[Estimated Impact ($)]]) / IncidentTable[[#This Row],[Estimated Impact ($)]])</f>
        <v/>
      </c>
      <c r="R423" s="3">
        <f ca="1">IF(IncidentTable[[#This Row],[Priority]]="Critical",1,
IF(IncidentTable[[#This Row],[Priority]]="High",3,
IF(IncidentTable[[#This Row],[Priority]]="Medium",5,
IF(IncidentTable[[#This Row],[Priority]]="Low",10,""))))</f>
        <v>3</v>
      </c>
      <c r="S423" t="str">
        <f ca="1">IF(IncidentTable[[#This Row],[Resolution Time (Days)]]="","",
IF(IncidentTable[[#This Row],[Resolution Time (Days)]]&lt;=IncidentTable[[#This Row],[SLA Target (Days)]],"Yes","No"))</f>
        <v/>
      </c>
    </row>
    <row r="424" spans="1:19" x14ac:dyDescent="0.25">
      <c r="A424" t="str">
        <f t="shared" ca="1" si="25"/>
        <v>INC845930</v>
      </c>
      <c r="B424" t="str" cm="1">
        <f t="array" aca="1" ref="B424" ca="1">INDEX(SystemList,RANDBETWEEN(1,ROWS(SystemList)))</f>
        <v>Policy Admin System</v>
      </c>
      <c r="C424" t="str" cm="1">
        <f t="array" aca="1" ref="C424" ca="1">INDEX(IssueTypeList,RANDBETWEEN(1,ROWS(IssueTypeList)))</f>
        <v>Performance Issue</v>
      </c>
      <c r="D424" t="str" cm="1">
        <f t="array" aca="1" ref="D424" ca="1">INDEX(PriorityList,RANDBETWEEN(1,ROWS(PriorityList)))</f>
        <v>Low</v>
      </c>
      <c r="E424" t="str" cm="1">
        <f t="array" aca="1" ref="E424" ca="1">INDEX(SeverityList,RANDBETWEEN(1,ROWS(SeverityList)))</f>
        <v>Major</v>
      </c>
      <c r="F424" t="str" cm="1">
        <f t="array" aca="1" ref="F424" ca="1">INDEX(RegionList,RANDBETWEEN(1,ROWS(RegionList)))</f>
        <v>Central</v>
      </c>
      <c r="G424" t="str" cm="1">
        <f t="array" aca="1" ref="G424" ca="1">INDEX(DepartmentList,RANDBETWEEN(1,ROWS(DepartmentList)))</f>
        <v>Billing</v>
      </c>
      <c r="H424" s="1">
        <f t="shared" ca="1" si="26"/>
        <v>45093</v>
      </c>
      <c r="I424" s="4">
        <f ca="1">IF(IncidentTable[[#This Row],[Resolution Time (Days)]]="","",IncidentTable[[#This Row],[Created Date]]+IncidentTable[[#This Row],[Resolution Time (Days)]])</f>
        <v>45112</v>
      </c>
      <c r="J424">
        <f ca="1">IF(OR(IncidentTable[[#This Row],[Status]]="Resolved",IncidentTable[[#This Row],[Status]]="Closed"),RANDBETWEEN(1,120),"")</f>
        <v>19</v>
      </c>
      <c r="K424" t="str">
        <f t="shared" ca="1" si="24"/>
        <v>Resolved</v>
      </c>
      <c r="L424" t="str" cm="1">
        <f t="array" aca="1" ref="L424" ca="1">INDEX(AnalystList,RANDBETWEEN(1,ROWS(AnalystList)))</f>
        <v>Taylor Smith</v>
      </c>
      <c r="M424" t="str" cm="1">
        <f t="array" aca="1" ref="M424" ca="1">INDEX(RootCauseList,RANDBETWEEN(1,ROWS(RootCauseList)))</f>
        <v>Network Failure</v>
      </c>
      <c r="N424">
        <f t="shared" ca="1" si="27"/>
        <v>4506.68</v>
      </c>
      <c r="O424">
        <f ca="1">IF(OR(IncidentTable[[#This Row],[Status]]="Resolved",IncidentTable[[#This Row],[Status]]="Closed"),
ROUND(IncidentTable[[#This Row],[Estimated Impact ($)]]*(1+RANDBETWEEN(-15,25)/100)+RAND(),2),
"")</f>
        <v>4011.3</v>
      </c>
      <c r="P424">
        <f ca="1">IF(IncidentTable[[#This Row],[Actual Impact ($)]]="","",ROUND(IncidentTable[[#This Row],[Actual Impact ($)]]-IncidentTable[[#This Row],[Estimated Impact ($)]],2))</f>
        <v>-495.38</v>
      </c>
      <c r="Q424" s="2">
        <f ca="1">IF(IncidentTable[[#This Row],[Actual Impact ($)]]="","",(IncidentTable[[#This Row],[Actual Impact ($)]]-IncidentTable[[#This Row],[Estimated Impact ($)]]) / IncidentTable[[#This Row],[Estimated Impact ($)]])</f>
        <v>-0.10992127242227095</v>
      </c>
      <c r="R424" s="3">
        <f ca="1">IF(IncidentTable[[#This Row],[Priority]]="Critical",1,
IF(IncidentTable[[#This Row],[Priority]]="High",3,
IF(IncidentTable[[#This Row],[Priority]]="Medium",5,
IF(IncidentTable[[#This Row],[Priority]]="Low",10,""))))</f>
        <v>10</v>
      </c>
      <c r="S424" t="str">
        <f ca="1">IF(IncidentTable[[#This Row],[Resolution Time (Days)]]="","",
IF(IncidentTable[[#This Row],[Resolution Time (Days)]]&lt;=IncidentTable[[#This Row],[SLA Target (Days)]],"Yes","No"))</f>
        <v>No</v>
      </c>
    </row>
    <row r="425" spans="1:19" x14ac:dyDescent="0.25">
      <c r="A425" t="str">
        <f t="shared" ca="1" si="25"/>
        <v>INC833576</v>
      </c>
      <c r="B425" t="str" cm="1">
        <f t="array" aca="1" ref="B425" ca="1">INDEX(SystemList,RANDBETWEEN(1,ROWS(SystemList)))</f>
        <v>Payment Processing</v>
      </c>
      <c r="C425" t="str" cm="1">
        <f t="array" aca="1" ref="C425" ca="1">INDEX(IssueTypeList,RANDBETWEEN(1,ROWS(IssueTypeList)))</f>
        <v>System Error</v>
      </c>
      <c r="D425" t="str" cm="1">
        <f t="array" aca="1" ref="D425" ca="1">INDEX(PriorityList,RANDBETWEEN(1,ROWS(PriorityList)))</f>
        <v>Medium</v>
      </c>
      <c r="E425" t="str" cm="1">
        <f t="array" aca="1" ref="E425" ca="1">INDEX(SeverityList,RANDBETWEEN(1,ROWS(SeverityList)))</f>
        <v>Critical</v>
      </c>
      <c r="F425" t="str" cm="1">
        <f t="array" aca="1" ref="F425" ca="1">INDEX(RegionList,RANDBETWEEN(1,ROWS(RegionList)))</f>
        <v>Central</v>
      </c>
      <c r="G425" t="str" cm="1">
        <f t="array" aca="1" ref="G425" ca="1">INDEX(DepartmentList,RANDBETWEEN(1,ROWS(DepartmentList)))</f>
        <v>Compliance</v>
      </c>
      <c r="H425" s="1">
        <f t="shared" ca="1" si="26"/>
        <v>45084</v>
      </c>
      <c r="I425" s="4" t="str">
        <f ca="1">IF(IncidentTable[[#This Row],[Resolution Time (Days)]]="","",IncidentTable[[#This Row],[Created Date]]+IncidentTable[[#This Row],[Resolution Time (Days)]])</f>
        <v/>
      </c>
      <c r="J425" t="str">
        <f ca="1">IF(OR(IncidentTable[[#This Row],[Status]]="Resolved",IncidentTable[[#This Row],[Status]]="Closed"),RANDBETWEEN(1,120),"")</f>
        <v/>
      </c>
      <c r="K425" t="str">
        <f t="shared" ca="1" si="24"/>
        <v>Pending</v>
      </c>
      <c r="L425" t="str" cm="1">
        <f t="array" aca="1" ref="L425" ca="1">INDEX(AnalystList,RANDBETWEEN(1,ROWS(AnalystList)))</f>
        <v>Casey Brown</v>
      </c>
      <c r="M425" t="str" cm="1">
        <f t="array" aca="1" ref="M425" ca="1">INDEX(RootCauseList,RANDBETWEEN(1,ROWS(RootCauseList)))</f>
        <v>System Bug</v>
      </c>
      <c r="N425">
        <f t="shared" ca="1" si="27"/>
        <v>2821.66</v>
      </c>
      <c r="O425" t="str">
        <f ca="1">IF(OR(IncidentTable[[#This Row],[Status]]="Resolved",IncidentTable[[#This Row],[Status]]="Closed"),
ROUND(IncidentTable[[#This Row],[Estimated Impact ($)]]*(1+RANDBETWEEN(-15,25)/100)+RAND(),2),
"")</f>
        <v/>
      </c>
      <c r="P425" t="str">
        <f ca="1">IF(IncidentTable[[#This Row],[Actual Impact ($)]]="","",ROUND(IncidentTable[[#This Row],[Actual Impact ($)]]-IncidentTable[[#This Row],[Estimated Impact ($)]],2))</f>
        <v/>
      </c>
      <c r="Q425" s="2" t="str">
        <f ca="1">IF(IncidentTable[[#This Row],[Actual Impact ($)]]="","",(IncidentTable[[#This Row],[Actual Impact ($)]]-IncidentTable[[#This Row],[Estimated Impact ($)]]) / IncidentTable[[#This Row],[Estimated Impact ($)]])</f>
        <v/>
      </c>
      <c r="R425" s="3">
        <f ca="1">IF(IncidentTable[[#This Row],[Priority]]="Critical",1,
IF(IncidentTable[[#This Row],[Priority]]="High",3,
IF(IncidentTable[[#This Row],[Priority]]="Medium",5,
IF(IncidentTable[[#This Row],[Priority]]="Low",10,""))))</f>
        <v>5</v>
      </c>
      <c r="S425" t="str">
        <f ca="1">IF(IncidentTable[[#This Row],[Resolution Time (Days)]]="","",
IF(IncidentTable[[#This Row],[Resolution Time (Days)]]&lt;=IncidentTable[[#This Row],[SLA Target (Days)]],"Yes","No"))</f>
        <v/>
      </c>
    </row>
    <row r="426" spans="1:19" x14ac:dyDescent="0.25">
      <c r="A426" t="str">
        <f t="shared" ca="1" si="25"/>
        <v>INC872951</v>
      </c>
      <c r="B426" t="str" cm="1">
        <f t="array" aca="1" ref="B426" ca="1">INDEX(SystemList,RANDBETWEEN(1,ROWS(SystemList)))</f>
        <v>Regulatory System</v>
      </c>
      <c r="C426" t="str" cm="1">
        <f t="array" aca="1" ref="C426" ca="1">INDEX(IssueTypeList,RANDBETWEEN(1,ROWS(IssueTypeList)))</f>
        <v>Performance Issue</v>
      </c>
      <c r="D426" t="str" cm="1">
        <f t="array" aca="1" ref="D426" ca="1">INDEX(PriorityList,RANDBETWEEN(1,ROWS(PriorityList)))</f>
        <v>Medium</v>
      </c>
      <c r="E426" t="str" cm="1">
        <f t="array" aca="1" ref="E426" ca="1">INDEX(SeverityList,RANDBETWEEN(1,ROWS(SeverityList)))</f>
        <v>Minor</v>
      </c>
      <c r="F426" t="str" cm="1">
        <f t="array" aca="1" ref="F426" ca="1">INDEX(RegionList,RANDBETWEEN(1,ROWS(RegionList)))</f>
        <v>Midwest</v>
      </c>
      <c r="G426" t="str" cm="1">
        <f t="array" aca="1" ref="G426" ca="1">INDEX(DepartmentList,RANDBETWEEN(1,ROWS(DepartmentList)))</f>
        <v>Customer Service</v>
      </c>
      <c r="H426" s="1">
        <f t="shared" ca="1" si="26"/>
        <v>45104</v>
      </c>
      <c r="I426" s="4" t="str">
        <f ca="1">IF(IncidentTable[[#This Row],[Resolution Time (Days)]]="","",IncidentTable[[#This Row],[Created Date]]+IncidentTable[[#This Row],[Resolution Time (Days)]])</f>
        <v/>
      </c>
      <c r="J426" t="str">
        <f ca="1">IF(OR(IncidentTable[[#This Row],[Status]]="Resolved",IncidentTable[[#This Row],[Status]]="Closed"),RANDBETWEEN(1,120),"")</f>
        <v/>
      </c>
      <c r="K426" t="str">
        <f t="shared" ca="1" si="24"/>
        <v>Open</v>
      </c>
      <c r="L426" t="str" cm="1">
        <f t="array" aca="1" ref="L426" ca="1">INDEX(AnalystList,RANDBETWEEN(1,ROWS(AnalystList)))</f>
        <v>Jordan Lee</v>
      </c>
      <c r="M426" t="str" cm="1">
        <f t="array" aca="1" ref="M426" ca="1">INDEX(RootCauseList,RANDBETWEEN(1,ROWS(RootCauseList)))</f>
        <v>Data Error</v>
      </c>
      <c r="N426">
        <f t="shared" ca="1" si="27"/>
        <v>1909.05</v>
      </c>
      <c r="O426" t="str">
        <f ca="1">IF(OR(IncidentTable[[#This Row],[Status]]="Resolved",IncidentTable[[#This Row],[Status]]="Closed"),
ROUND(IncidentTable[[#This Row],[Estimated Impact ($)]]*(1+RANDBETWEEN(-15,25)/100)+RAND(),2),
"")</f>
        <v/>
      </c>
      <c r="P426" t="str">
        <f ca="1">IF(IncidentTable[[#This Row],[Actual Impact ($)]]="","",ROUND(IncidentTable[[#This Row],[Actual Impact ($)]]-IncidentTable[[#This Row],[Estimated Impact ($)]],2))</f>
        <v/>
      </c>
      <c r="Q426" s="2" t="str">
        <f ca="1">IF(IncidentTable[[#This Row],[Actual Impact ($)]]="","",(IncidentTable[[#This Row],[Actual Impact ($)]]-IncidentTable[[#This Row],[Estimated Impact ($)]]) / IncidentTable[[#This Row],[Estimated Impact ($)]])</f>
        <v/>
      </c>
      <c r="R426" s="3">
        <f ca="1">IF(IncidentTable[[#This Row],[Priority]]="Critical",1,
IF(IncidentTable[[#This Row],[Priority]]="High",3,
IF(IncidentTable[[#This Row],[Priority]]="Medium",5,
IF(IncidentTable[[#This Row],[Priority]]="Low",10,""))))</f>
        <v>5</v>
      </c>
      <c r="S426" t="str">
        <f ca="1">IF(IncidentTable[[#This Row],[Resolution Time (Days)]]="","",
IF(IncidentTable[[#This Row],[Resolution Time (Days)]]&lt;=IncidentTable[[#This Row],[SLA Target (Days)]],"Yes","No"))</f>
        <v/>
      </c>
    </row>
    <row r="427" spans="1:19" x14ac:dyDescent="0.25">
      <c r="A427" t="str">
        <f t="shared" ca="1" si="25"/>
        <v>INC491607</v>
      </c>
      <c r="B427" t="str" cm="1">
        <f t="array" aca="1" ref="B427" ca="1">INDEX(SystemList,RANDBETWEEN(1,ROWS(SystemList)))</f>
        <v>Claims System</v>
      </c>
      <c r="C427" t="str" cm="1">
        <f t="array" aca="1" ref="C427" ca="1">INDEX(IssueTypeList,RANDBETWEEN(1,ROWS(IssueTypeList)))</f>
        <v>Payment Failure</v>
      </c>
      <c r="D427" t="str" cm="1">
        <f t="array" aca="1" ref="D427" ca="1">INDEX(PriorityList,RANDBETWEEN(1,ROWS(PriorityList)))</f>
        <v>Medium</v>
      </c>
      <c r="E427" t="str" cm="1">
        <f t="array" aca="1" ref="E427" ca="1">INDEX(SeverityList,RANDBETWEEN(1,ROWS(SeverityList)))</f>
        <v>Critical</v>
      </c>
      <c r="F427" t="str" cm="1">
        <f t="array" aca="1" ref="F427" ca="1">INDEX(RegionList,RANDBETWEEN(1,ROWS(RegionList)))</f>
        <v>Central</v>
      </c>
      <c r="G427" t="str" cm="1">
        <f t="array" aca="1" ref="G427" ca="1">INDEX(DepartmentList,RANDBETWEEN(1,ROWS(DepartmentList)))</f>
        <v>Customer Service</v>
      </c>
      <c r="H427" s="1">
        <f t="shared" ca="1" si="26"/>
        <v>45159</v>
      </c>
      <c r="I427" s="4" t="str">
        <f ca="1">IF(IncidentTable[[#This Row],[Resolution Time (Days)]]="","",IncidentTable[[#This Row],[Created Date]]+IncidentTable[[#This Row],[Resolution Time (Days)]])</f>
        <v/>
      </c>
      <c r="J427" t="str">
        <f ca="1">IF(OR(IncidentTable[[#This Row],[Status]]="Resolved",IncidentTable[[#This Row],[Status]]="Closed"),RANDBETWEEN(1,120),"")</f>
        <v/>
      </c>
      <c r="K427" t="str">
        <f t="shared" ca="1" si="24"/>
        <v>Open</v>
      </c>
      <c r="L427" t="str" cm="1">
        <f t="array" aca="1" ref="L427" ca="1">INDEX(AnalystList,RANDBETWEEN(1,ROWS(AnalystList)))</f>
        <v>Morgan Davis</v>
      </c>
      <c r="M427" t="str" cm="1">
        <f t="array" aca="1" ref="M427" ca="1">INDEX(RootCauseList,RANDBETWEEN(1,ROWS(RootCauseList)))</f>
        <v>User Error</v>
      </c>
      <c r="N427">
        <f t="shared" ca="1" si="27"/>
        <v>9.35</v>
      </c>
      <c r="O427" t="str">
        <f ca="1">IF(OR(IncidentTable[[#This Row],[Status]]="Resolved",IncidentTable[[#This Row],[Status]]="Closed"),
ROUND(IncidentTable[[#This Row],[Estimated Impact ($)]]*(1+RANDBETWEEN(-15,25)/100)+RAND(),2),
"")</f>
        <v/>
      </c>
      <c r="P427" t="str">
        <f ca="1">IF(IncidentTable[[#This Row],[Actual Impact ($)]]="","",ROUND(IncidentTable[[#This Row],[Actual Impact ($)]]-IncidentTable[[#This Row],[Estimated Impact ($)]],2))</f>
        <v/>
      </c>
      <c r="Q427" s="2" t="str">
        <f ca="1">IF(IncidentTable[[#This Row],[Actual Impact ($)]]="","",(IncidentTable[[#This Row],[Actual Impact ($)]]-IncidentTable[[#This Row],[Estimated Impact ($)]]) / IncidentTable[[#This Row],[Estimated Impact ($)]])</f>
        <v/>
      </c>
      <c r="R427" s="3">
        <f ca="1">IF(IncidentTable[[#This Row],[Priority]]="Critical",1,
IF(IncidentTable[[#This Row],[Priority]]="High",3,
IF(IncidentTable[[#This Row],[Priority]]="Medium",5,
IF(IncidentTable[[#This Row],[Priority]]="Low",10,""))))</f>
        <v>5</v>
      </c>
      <c r="S427" t="str">
        <f ca="1">IF(IncidentTable[[#This Row],[Resolution Time (Days)]]="","",
IF(IncidentTable[[#This Row],[Resolution Time (Days)]]&lt;=IncidentTable[[#This Row],[SLA Target (Days)]],"Yes","No"))</f>
        <v/>
      </c>
    </row>
    <row r="428" spans="1:19" x14ac:dyDescent="0.25">
      <c r="A428" t="str">
        <f t="shared" ca="1" si="25"/>
        <v>INC351334</v>
      </c>
      <c r="B428" t="str" cm="1">
        <f t="array" aca="1" ref="B428" ca="1">INDEX(SystemList,RANDBETWEEN(1,ROWS(SystemList)))</f>
        <v>Claims System</v>
      </c>
      <c r="C428" t="str" cm="1">
        <f t="array" aca="1" ref="C428" ca="1">INDEX(IssueTypeList,RANDBETWEEN(1,ROWS(IssueTypeList)))</f>
        <v>Complaint</v>
      </c>
      <c r="D428" t="str" cm="1">
        <f t="array" aca="1" ref="D428" ca="1">INDEX(PriorityList,RANDBETWEEN(1,ROWS(PriorityList)))</f>
        <v>Medium</v>
      </c>
      <c r="E428" t="str" cm="1">
        <f t="array" aca="1" ref="E428" ca="1">INDEX(SeverityList,RANDBETWEEN(1,ROWS(SeverityList)))</f>
        <v>Moderate</v>
      </c>
      <c r="F428" t="str" cm="1">
        <f t="array" aca="1" ref="F428" ca="1">INDEX(RegionList,RANDBETWEEN(1,ROWS(RegionList)))</f>
        <v>West</v>
      </c>
      <c r="G428" t="str" cm="1">
        <f t="array" aca="1" ref="G428" ca="1">INDEX(DepartmentList,RANDBETWEEN(1,ROWS(DepartmentList)))</f>
        <v>Finance</v>
      </c>
      <c r="H428" s="1">
        <f t="shared" ca="1" si="26"/>
        <v>45438</v>
      </c>
      <c r="I428" s="4">
        <f ca="1">IF(IncidentTable[[#This Row],[Resolution Time (Days)]]="","",IncidentTable[[#This Row],[Created Date]]+IncidentTable[[#This Row],[Resolution Time (Days)]])</f>
        <v>45527</v>
      </c>
      <c r="J428">
        <f ca="1">IF(OR(IncidentTable[[#This Row],[Status]]="Resolved",IncidentTable[[#This Row],[Status]]="Closed"),RANDBETWEEN(1,120),"")</f>
        <v>89</v>
      </c>
      <c r="K428" t="str">
        <f t="shared" ca="1" si="24"/>
        <v>Resolved</v>
      </c>
      <c r="L428" t="str" cm="1">
        <f t="array" aca="1" ref="L428" ca="1">INDEX(AnalystList,RANDBETWEEN(1,ROWS(AnalystList)))</f>
        <v>Taylor Smith</v>
      </c>
      <c r="M428" t="str" cm="1">
        <f t="array" aca="1" ref="M428" ca="1">INDEX(RootCauseList,RANDBETWEEN(1,ROWS(RootCauseList)))</f>
        <v>Integration Failure</v>
      </c>
      <c r="N428">
        <f t="shared" ca="1" si="27"/>
        <v>299.73</v>
      </c>
      <c r="O428">
        <f ca="1">IF(OR(IncidentTable[[#This Row],[Status]]="Resolved",IncidentTable[[#This Row],[Status]]="Closed"),
ROUND(IncidentTable[[#This Row],[Estimated Impact ($)]]*(1+RANDBETWEEN(-15,25)/100)+RAND(),2),
"")</f>
        <v>297.70999999999998</v>
      </c>
      <c r="P428">
        <f ca="1">IF(IncidentTable[[#This Row],[Actual Impact ($)]]="","",ROUND(IncidentTable[[#This Row],[Actual Impact ($)]]-IncidentTable[[#This Row],[Estimated Impact ($)]],2))</f>
        <v>-2.02</v>
      </c>
      <c r="Q428" s="2">
        <f ca="1">IF(IncidentTable[[#This Row],[Actual Impact ($)]]="","",(IncidentTable[[#This Row],[Actual Impact ($)]]-IncidentTable[[#This Row],[Estimated Impact ($)]]) / IncidentTable[[#This Row],[Estimated Impact ($)]])</f>
        <v>-6.7393987922464834E-3</v>
      </c>
      <c r="R428" s="3">
        <f ca="1">IF(IncidentTable[[#This Row],[Priority]]="Critical",1,
IF(IncidentTable[[#This Row],[Priority]]="High",3,
IF(IncidentTable[[#This Row],[Priority]]="Medium",5,
IF(IncidentTable[[#This Row],[Priority]]="Low",10,""))))</f>
        <v>5</v>
      </c>
      <c r="S428" t="str">
        <f ca="1">IF(IncidentTable[[#This Row],[Resolution Time (Days)]]="","",
IF(IncidentTable[[#This Row],[Resolution Time (Days)]]&lt;=IncidentTable[[#This Row],[SLA Target (Days)]],"Yes","No"))</f>
        <v>No</v>
      </c>
    </row>
    <row r="429" spans="1:19" x14ac:dyDescent="0.25">
      <c r="A429" t="str">
        <f t="shared" ca="1" si="25"/>
        <v>INC478297</v>
      </c>
      <c r="B429" t="str" cm="1">
        <f t="array" aca="1" ref="B429" ca="1">INDEX(SystemList,RANDBETWEEN(1,ROWS(SystemList)))</f>
        <v>Regulatory System</v>
      </c>
      <c r="C429" t="str" cm="1">
        <f t="array" aca="1" ref="C429" ca="1">INDEX(IssueTypeList,RANDBETWEEN(1,ROWS(IssueTypeList)))</f>
        <v>User Access Issue</v>
      </c>
      <c r="D429" t="str" cm="1">
        <f t="array" aca="1" ref="D429" ca="1">INDEX(PriorityList,RANDBETWEEN(1,ROWS(PriorityList)))</f>
        <v>High</v>
      </c>
      <c r="E429" t="str" cm="1">
        <f t="array" aca="1" ref="E429" ca="1">INDEX(SeverityList,RANDBETWEEN(1,ROWS(SeverityList)))</f>
        <v>Moderate</v>
      </c>
      <c r="F429" t="str" cm="1">
        <f t="array" aca="1" ref="F429" ca="1">INDEX(RegionList,RANDBETWEEN(1,ROWS(RegionList)))</f>
        <v>West</v>
      </c>
      <c r="G429" t="str" cm="1">
        <f t="array" aca="1" ref="G429" ca="1">INDEX(DepartmentList,RANDBETWEEN(1,ROWS(DepartmentList)))</f>
        <v>IT</v>
      </c>
      <c r="H429" s="1">
        <f t="shared" ca="1" si="26"/>
        <v>45423</v>
      </c>
      <c r="I429" s="4">
        <f ca="1">IF(IncidentTable[[#This Row],[Resolution Time (Days)]]="","",IncidentTable[[#This Row],[Created Date]]+IncidentTable[[#This Row],[Resolution Time (Days)]])</f>
        <v>45452</v>
      </c>
      <c r="J429">
        <f ca="1">IF(OR(IncidentTable[[#This Row],[Status]]="Resolved",IncidentTable[[#This Row],[Status]]="Closed"),RANDBETWEEN(1,120),"")</f>
        <v>29</v>
      </c>
      <c r="K429" t="str">
        <f t="shared" ca="1" si="24"/>
        <v>Closed</v>
      </c>
      <c r="L429" t="str" cm="1">
        <f t="array" aca="1" ref="L429" ca="1">INDEX(AnalystList,RANDBETWEEN(1,ROWS(AnalystList)))</f>
        <v>Riley Wilson</v>
      </c>
      <c r="M429" t="str" cm="1">
        <f t="array" aca="1" ref="M429" ca="1">INDEX(RootCauseList,RANDBETWEEN(1,ROWS(RootCauseList)))</f>
        <v>User Error</v>
      </c>
      <c r="N429">
        <f t="shared" ca="1" si="27"/>
        <v>242.09</v>
      </c>
      <c r="O429">
        <f ca="1">IF(OR(IncidentTable[[#This Row],[Status]]="Resolved",IncidentTable[[#This Row],[Status]]="Closed"),
ROUND(IncidentTable[[#This Row],[Estimated Impact ($)]]*(1+RANDBETWEEN(-15,25)/100)+RAND(),2),
"")</f>
        <v>256.97000000000003</v>
      </c>
      <c r="P429">
        <f ca="1">IF(IncidentTable[[#This Row],[Actual Impact ($)]]="","",ROUND(IncidentTable[[#This Row],[Actual Impact ($)]]-IncidentTable[[#This Row],[Estimated Impact ($)]],2))</f>
        <v>14.88</v>
      </c>
      <c r="Q429" s="2">
        <f ca="1">IF(IncidentTable[[#This Row],[Actual Impact ($)]]="","",(IncidentTable[[#This Row],[Actual Impact ($)]]-IncidentTable[[#This Row],[Estimated Impact ($)]]) / IncidentTable[[#This Row],[Estimated Impact ($)]])</f>
        <v>6.1464744516502225E-2</v>
      </c>
      <c r="R429" s="3">
        <f ca="1">IF(IncidentTable[[#This Row],[Priority]]="Critical",1,
IF(IncidentTable[[#This Row],[Priority]]="High",3,
IF(IncidentTable[[#This Row],[Priority]]="Medium",5,
IF(IncidentTable[[#This Row],[Priority]]="Low",10,""))))</f>
        <v>3</v>
      </c>
      <c r="S429" t="str">
        <f ca="1">IF(IncidentTable[[#This Row],[Resolution Time (Days)]]="","",
IF(IncidentTable[[#This Row],[Resolution Time (Days)]]&lt;=IncidentTable[[#This Row],[SLA Target (Days)]],"Yes","No"))</f>
        <v>No</v>
      </c>
    </row>
    <row r="430" spans="1:19" x14ac:dyDescent="0.25">
      <c r="A430" t="str">
        <f t="shared" ca="1" si="25"/>
        <v>INC708486</v>
      </c>
      <c r="B430" t="str" cm="1">
        <f t="array" aca="1" ref="B430" ca="1">INDEX(SystemList,RANDBETWEEN(1,ROWS(SystemList)))</f>
        <v>Customer Portal</v>
      </c>
      <c r="C430" t="str" cm="1">
        <f t="array" aca="1" ref="C430" ca="1">INDEX(IssueTypeList,RANDBETWEEN(1,ROWS(IssueTypeList)))</f>
        <v>Performance Issue</v>
      </c>
      <c r="D430" t="str" cm="1">
        <f t="array" aca="1" ref="D430" ca="1">INDEX(PriorityList,RANDBETWEEN(1,ROWS(PriorityList)))</f>
        <v>High</v>
      </c>
      <c r="E430" t="str" cm="1">
        <f t="array" aca="1" ref="E430" ca="1">INDEX(SeverityList,RANDBETWEEN(1,ROWS(SeverityList)))</f>
        <v>Critical</v>
      </c>
      <c r="F430" t="str" cm="1">
        <f t="array" aca="1" ref="F430" ca="1">INDEX(RegionList,RANDBETWEEN(1,ROWS(RegionList)))</f>
        <v>East</v>
      </c>
      <c r="G430" t="str" cm="1">
        <f t="array" aca="1" ref="G430" ca="1">INDEX(DepartmentList,RANDBETWEEN(1,ROWS(DepartmentList)))</f>
        <v>Claims</v>
      </c>
      <c r="H430" s="1">
        <f t="shared" ca="1" si="26"/>
        <v>45064</v>
      </c>
      <c r="I430" s="4" t="str">
        <f ca="1">IF(IncidentTable[[#This Row],[Resolution Time (Days)]]="","",IncidentTable[[#This Row],[Created Date]]+IncidentTable[[#This Row],[Resolution Time (Days)]])</f>
        <v/>
      </c>
      <c r="J430" t="str">
        <f ca="1">IF(OR(IncidentTable[[#This Row],[Status]]="Resolved",IncidentTable[[#This Row],[Status]]="Closed"),RANDBETWEEN(1,120),"")</f>
        <v/>
      </c>
      <c r="K430" t="str">
        <f t="shared" ca="1" si="24"/>
        <v>In Progress</v>
      </c>
      <c r="L430" t="str" cm="1">
        <f t="array" aca="1" ref="L430" ca="1">INDEX(AnalystList,RANDBETWEEN(1,ROWS(AnalystList)))</f>
        <v>Casey Brown</v>
      </c>
      <c r="M430" t="str" cm="1">
        <f t="array" aca="1" ref="M430" ca="1">INDEX(RootCauseList,RANDBETWEEN(1,ROWS(RootCauseList)))</f>
        <v>Integration Failure</v>
      </c>
      <c r="N430">
        <f t="shared" ca="1" si="27"/>
        <v>4771.2700000000004</v>
      </c>
      <c r="O430" t="str">
        <f ca="1">IF(OR(IncidentTable[[#This Row],[Status]]="Resolved",IncidentTable[[#This Row],[Status]]="Closed"),
ROUND(IncidentTable[[#This Row],[Estimated Impact ($)]]*(1+RANDBETWEEN(-15,25)/100)+RAND(),2),
"")</f>
        <v/>
      </c>
      <c r="P430" t="str">
        <f ca="1">IF(IncidentTable[[#This Row],[Actual Impact ($)]]="","",ROUND(IncidentTable[[#This Row],[Actual Impact ($)]]-IncidentTable[[#This Row],[Estimated Impact ($)]],2))</f>
        <v/>
      </c>
      <c r="Q430" s="2" t="str">
        <f ca="1">IF(IncidentTable[[#This Row],[Actual Impact ($)]]="","",(IncidentTable[[#This Row],[Actual Impact ($)]]-IncidentTable[[#This Row],[Estimated Impact ($)]]) / IncidentTable[[#This Row],[Estimated Impact ($)]])</f>
        <v/>
      </c>
      <c r="R430" s="3">
        <f ca="1">IF(IncidentTable[[#This Row],[Priority]]="Critical",1,
IF(IncidentTable[[#This Row],[Priority]]="High",3,
IF(IncidentTable[[#This Row],[Priority]]="Medium",5,
IF(IncidentTable[[#This Row],[Priority]]="Low",10,""))))</f>
        <v>3</v>
      </c>
      <c r="S430" t="str">
        <f ca="1">IF(IncidentTable[[#This Row],[Resolution Time (Days)]]="","",
IF(IncidentTable[[#This Row],[Resolution Time (Days)]]&lt;=IncidentTable[[#This Row],[SLA Target (Days)]],"Yes","No"))</f>
        <v/>
      </c>
    </row>
    <row r="431" spans="1:19" x14ac:dyDescent="0.25">
      <c r="A431" t="str">
        <f t="shared" ca="1" si="25"/>
        <v>INC847084</v>
      </c>
      <c r="B431" t="str" cm="1">
        <f t="array" aca="1" ref="B431" ca="1">INDEX(SystemList,RANDBETWEEN(1,ROWS(SystemList)))</f>
        <v>Billing System</v>
      </c>
      <c r="C431" t="str" cm="1">
        <f t="array" aca="1" ref="C431" ca="1">INDEX(IssueTypeList,RANDBETWEEN(1,ROWS(IssueTypeList)))</f>
        <v>Payment Failure</v>
      </c>
      <c r="D431" t="str" cm="1">
        <f t="array" aca="1" ref="D431" ca="1">INDEX(PriorityList,RANDBETWEEN(1,ROWS(PriorityList)))</f>
        <v>Medium</v>
      </c>
      <c r="E431" t="str" cm="1">
        <f t="array" aca="1" ref="E431" ca="1">INDEX(SeverityList,RANDBETWEEN(1,ROWS(SeverityList)))</f>
        <v>Major</v>
      </c>
      <c r="F431" t="str" cm="1">
        <f t="array" aca="1" ref="F431" ca="1">INDEX(RegionList,RANDBETWEEN(1,ROWS(RegionList)))</f>
        <v>Midwest</v>
      </c>
      <c r="G431" t="str" cm="1">
        <f t="array" aca="1" ref="G431" ca="1">INDEX(DepartmentList,RANDBETWEEN(1,ROWS(DepartmentList)))</f>
        <v>Compliance</v>
      </c>
      <c r="H431" s="1">
        <f t="shared" ca="1" si="26"/>
        <v>45146</v>
      </c>
      <c r="I431" s="4" t="str">
        <f ca="1">IF(IncidentTable[[#This Row],[Resolution Time (Days)]]="","",IncidentTable[[#This Row],[Created Date]]+IncidentTable[[#This Row],[Resolution Time (Days)]])</f>
        <v/>
      </c>
      <c r="J431" t="str">
        <f ca="1">IF(OR(IncidentTable[[#This Row],[Status]]="Resolved",IncidentTable[[#This Row],[Status]]="Closed"),RANDBETWEEN(1,120),"")</f>
        <v/>
      </c>
      <c r="K431" t="str">
        <f t="shared" ca="1" si="24"/>
        <v>Open</v>
      </c>
      <c r="L431" t="str" cm="1">
        <f t="array" aca="1" ref="L431" ca="1">INDEX(AnalystList,RANDBETWEEN(1,ROWS(AnalystList)))</f>
        <v>Casey Brown</v>
      </c>
      <c r="M431" t="str" cm="1">
        <f t="array" aca="1" ref="M431" ca="1">INDEX(RootCauseList,RANDBETWEEN(1,ROWS(RootCauseList)))</f>
        <v>System Bug</v>
      </c>
      <c r="N431">
        <f t="shared" ca="1" si="27"/>
        <v>1121.8499999999999</v>
      </c>
      <c r="O431" t="str">
        <f ca="1">IF(OR(IncidentTable[[#This Row],[Status]]="Resolved",IncidentTable[[#This Row],[Status]]="Closed"),
ROUND(IncidentTable[[#This Row],[Estimated Impact ($)]]*(1+RANDBETWEEN(-15,25)/100)+RAND(),2),
"")</f>
        <v/>
      </c>
      <c r="P431" t="str">
        <f ca="1">IF(IncidentTable[[#This Row],[Actual Impact ($)]]="","",ROUND(IncidentTable[[#This Row],[Actual Impact ($)]]-IncidentTable[[#This Row],[Estimated Impact ($)]],2))</f>
        <v/>
      </c>
      <c r="Q431" s="2" t="str">
        <f ca="1">IF(IncidentTable[[#This Row],[Actual Impact ($)]]="","",(IncidentTable[[#This Row],[Actual Impact ($)]]-IncidentTable[[#This Row],[Estimated Impact ($)]]) / IncidentTable[[#This Row],[Estimated Impact ($)]])</f>
        <v/>
      </c>
      <c r="R431" s="3">
        <f ca="1">IF(IncidentTable[[#This Row],[Priority]]="Critical",1,
IF(IncidentTable[[#This Row],[Priority]]="High",3,
IF(IncidentTable[[#This Row],[Priority]]="Medium",5,
IF(IncidentTable[[#This Row],[Priority]]="Low",10,""))))</f>
        <v>5</v>
      </c>
      <c r="S431" t="str">
        <f ca="1">IF(IncidentTable[[#This Row],[Resolution Time (Days)]]="","",
IF(IncidentTable[[#This Row],[Resolution Time (Days)]]&lt;=IncidentTable[[#This Row],[SLA Target (Days)]],"Yes","No"))</f>
        <v/>
      </c>
    </row>
    <row r="432" spans="1:19" x14ac:dyDescent="0.25">
      <c r="A432" t="str">
        <f t="shared" ca="1" si="25"/>
        <v>INC895480</v>
      </c>
      <c r="B432" t="str" cm="1">
        <f t="array" aca="1" ref="B432" ca="1">INDEX(SystemList,RANDBETWEEN(1,ROWS(SystemList)))</f>
        <v>Claims System</v>
      </c>
      <c r="C432" t="str" cm="1">
        <f t="array" aca="1" ref="C432" ca="1">INDEX(IssueTypeList,RANDBETWEEN(1,ROWS(IssueTypeList)))</f>
        <v>Processing Delay</v>
      </c>
      <c r="D432" t="str" cm="1">
        <f t="array" aca="1" ref="D432" ca="1">INDEX(PriorityList,RANDBETWEEN(1,ROWS(PriorityList)))</f>
        <v>Low</v>
      </c>
      <c r="E432" t="str" cm="1">
        <f t="array" aca="1" ref="E432" ca="1">INDEX(SeverityList,RANDBETWEEN(1,ROWS(SeverityList)))</f>
        <v>Critical</v>
      </c>
      <c r="F432" t="str" cm="1">
        <f t="array" aca="1" ref="F432" ca="1">INDEX(RegionList,RANDBETWEEN(1,ROWS(RegionList)))</f>
        <v>Southeast</v>
      </c>
      <c r="G432" t="str" cm="1">
        <f t="array" aca="1" ref="G432" ca="1">INDEX(DepartmentList,RANDBETWEEN(1,ROWS(DepartmentList)))</f>
        <v>Claims</v>
      </c>
      <c r="H432" s="1">
        <f t="shared" ca="1" si="26"/>
        <v>45173</v>
      </c>
      <c r="I432" s="4">
        <f ca="1">IF(IncidentTable[[#This Row],[Resolution Time (Days)]]="","",IncidentTable[[#This Row],[Created Date]]+IncidentTable[[#This Row],[Resolution Time (Days)]])</f>
        <v>45280</v>
      </c>
      <c r="J432">
        <f ca="1">IF(OR(IncidentTable[[#This Row],[Status]]="Resolved",IncidentTable[[#This Row],[Status]]="Closed"),RANDBETWEEN(1,120),"")</f>
        <v>107</v>
      </c>
      <c r="K432" t="str">
        <f t="shared" ca="1" si="24"/>
        <v>Closed</v>
      </c>
      <c r="L432" t="str" cm="1">
        <f t="array" aca="1" ref="L432" ca="1">INDEX(AnalystList,RANDBETWEEN(1,ROWS(AnalystList)))</f>
        <v>Morgan Davis</v>
      </c>
      <c r="M432" t="str" cm="1">
        <f t="array" aca="1" ref="M432" ca="1">INDEX(RootCauseList,RANDBETWEEN(1,ROWS(RootCauseList)))</f>
        <v>Data Error</v>
      </c>
      <c r="N432">
        <f t="shared" ca="1" si="27"/>
        <v>36.24</v>
      </c>
      <c r="O432">
        <f ca="1">IF(OR(IncidentTable[[#This Row],[Status]]="Resolved",IncidentTable[[#This Row],[Status]]="Closed"),
ROUND(IncidentTable[[#This Row],[Estimated Impact ($)]]*(1+RANDBETWEEN(-15,25)/100)+RAND(),2),
"")</f>
        <v>33.08</v>
      </c>
      <c r="P432">
        <f ca="1">IF(IncidentTable[[#This Row],[Actual Impact ($)]]="","",ROUND(IncidentTable[[#This Row],[Actual Impact ($)]]-IncidentTable[[#This Row],[Estimated Impact ($)]],2))</f>
        <v>-3.16</v>
      </c>
      <c r="Q432" s="2">
        <f ca="1">IF(IncidentTable[[#This Row],[Actual Impact ($)]]="","",(IncidentTable[[#This Row],[Actual Impact ($)]]-IncidentTable[[#This Row],[Estimated Impact ($)]]) / IncidentTable[[#This Row],[Estimated Impact ($)]])</f>
        <v>-8.7196467991170076E-2</v>
      </c>
      <c r="R432" s="3">
        <f ca="1">IF(IncidentTable[[#This Row],[Priority]]="Critical",1,
IF(IncidentTable[[#This Row],[Priority]]="High",3,
IF(IncidentTable[[#This Row],[Priority]]="Medium",5,
IF(IncidentTable[[#This Row],[Priority]]="Low",10,""))))</f>
        <v>10</v>
      </c>
      <c r="S432" t="str">
        <f ca="1">IF(IncidentTable[[#This Row],[Resolution Time (Days)]]="","",
IF(IncidentTable[[#This Row],[Resolution Time (Days)]]&lt;=IncidentTable[[#This Row],[SLA Target (Days)]],"Yes","No"))</f>
        <v>No</v>
      </c>
    </row>
    <row r="433" spans="1:19" x14ac:dyDescent="0.25">
      <c r="A433" t="str">
        <f t="shared" ca="1" si="25"/>
        <v>INC773048</v>
      </c>
      <c r="B433" t="str" cm="1">
        <f t="array" aca="1" ref="B433" ca="1">INDEX(SystemList,RANDBETWEEN(1,ROWS(SystemList)))</f>
        <v>Regulatory System</v>
      </c>
      <c r="C433" t="str" cm="1">
        <f t="array" aca="1" ref="C433" ca="1">INDEX(IssueTypeList,RANDBETWEEN(1,ROWS(IssueTypeList)))</f>
        <v>Data Issue</v>
      </c>
      <c r="D433" t="str" cm="1">
        <f t="array" aca="1" ref="D433" ca="1">INDEX(PriorityList,RANDBETWEEN(1,ROWS(PriorityList)))</f>
        <v>Medium</v>
      </c>
      <c r="E433" t="str" cm="1">
        <f t="array" aca="1" ref="E433" ca="1">INDEX(SeverityList,RANDBETWEEN(1,ROWS(SeverityList)))</f>
        <v>Critical</v>
      </c>
      <c r="F433" t="str" cm="1">
        <f t="array" aca="1" ref="F433" ca="1">INDEX(RegionList,RANDBETWEEN(1,ROWS(RegionList)))</f>
        <v>Central</v>
      </c>
      <c r="G433" t="str" cm="1">
        <f t="array" aca="1" ref="G433" ca="1">INDEX(DepartmentList,RANDBETWEEN(1,ROWS(DepartmentList)))</f>
        <v>IT</v>
      </c>
      <c r="H433" s="1">
        <f t="shared" ca="1" si="26"/>
        <v>45152</v>
      </c>
      <c r="I433" s="4" t="str">
        <f ca="1">IF(IncidentTable[[#This Row],[Resolution Time (Days)]]="","",IncidentTable[[#This Row],[Created Date]]+IncidentTable[[#This Row],[Resolution Time (Days)]])</f>
        <v/>
      </c>
      <c r="J433" t="str">
        <f ca="1">IF(OR(IncidentTable[[#This Row],[Status]]="Resolved",IncidentTable[[#This Row],[Status]]="Closed"),RANDBETWEEN(1,120),"")</f>
        <v/>
      </c>
      <c r="K433" t="str">
        <f t="shared" ca="1" si="24"/>
        <v>Open</v>
      </c>
      <c r="L433" t="str" cm="1">
        <f t="array" aca="1" ref="L433" ca="1">INDEX(AnalystList,RANDBETWEEN(1,ROWS(AnalystList)))</f>
        <v>Taylor Smith</v>
      </c>
      <c r="M433" t="str" cm="1">
        <f t="array" aca="1" ref="M433" ca="1">INDEX(RootCauseList,RANDBETWEEN(1,ROWS(RootCauseList)))</f>
        <v>User Error</v>
      </c>
      <c r="N433">
        <f t="shared" ca="1" si="27"/>
        <v>24650.93</v>
      </c>
      <c r="O433" t="str">
        <f ca="1">IF(OR(IncidentTable[[#This Row],[Status]]="Resolved",IncidentTable[[#This Row],[Status]]="Closed"),
ROUND(IncidentTable[[#This Row],[Estimated Impact ($)]]*(1+RANDBETWEEN(-15,25)/100)+RAND(),2),
"")</f>
        <v/>
      </c>
      <c r="P433" t="str">
        <f ca="1">IF(IncidentTable[[#This Row],[Actual Impact ($)]]="","",ROUND(IncidentTable[[#This Row],[Actual Impact ($)]]-IncidentTable[[#This Row],[Estimated Impact ($)]],2))</f>
        <v/>
      </c>
      <c r="Q433" s="2" t="str">
        <f ca="1">IF(IncidentTable[[#This Row],[Actual Impact ($)]]="","",(IncidentTable[[#This Row],[Actual Impact ($)]]-IncidentTable[[#This Row],[Estimated Impact ($)]]) / IncidentTable[[#This Row],[Estimated Impact ($)]])</f>
        <v/>
      </c>
      <c r="R433" s="3">
        <f ca="1">IF(IncidentTable[[#This Row],[Priority]]="Critical",1,
IF(IncidentTable[[#This Row],[Priority]]="High",3,
IF(IncidentTable[[#This Row],[Priority]]="Medium",5,
IF(IncidentTable[[#This Row],[Priority]]="Low",10,""))))</f>
        <v>5</v>
      </c>
      <c r="S433" t="str">
        <f ca="1">IF(IncidentTable[[#This Row],[Resolution Time (Days)]]="","",
IF(IncidentTable[[#This Row],[Resolution Time (Days)]]&lt;=IncidentTable[[#This Row],[SLA Target (Days)]],"Yes","No"))</f>
        <v/>
      </c>
    </row>
    <row r="434" spans="1:19" x14ac:dyDescent="0.25">
      <c r="A434" t="str">
        <f t="shared" ca="1" si="25"/>
        <v>INC711258</v>
      </c>
      <c r="B434" t="str" cm="1">
        <f t="array" aca="1" ref="B434" ca="1">INDEX(SystemList,RANDBETWEEN(1,ROWS(SystemList)))</f>
        <v>Reporting System</v>
      </c>
      <c r="C434" t="str" cm="1">
        <f t="array" aca="1" ref="C434" ca="1">INDEX(IssueTypeList,RANDBETWEEN(1,ROWS(IssueTypeList)))</f>
        <v>User Access Issue</v>
      </c>
      <c r="D434" t="str" cm="1">
        <f t="array" aca="1" ref="D434" ca="1">INDEX(PriorityList,RANDBETWEEN(1,ROWS(PriorityList)))</f>
        <v>Medium</v>
      </c>
      <c r="E434" t="str" cm="1">
        <f t="array" aca="1" ref="E434" ca="1">INDEX(SeverityList,RANDBETWEEN(1,ROWS(SeverityList)))</f>
        <v>Critical</v>
      </c>
      <c r="F434" t="str" cm="1">
        <f t="array" aca="1" ref="F434" ca="1">INDEX(RegionList,RANDBETWEEN(1,ROWS(RegionList)))</f>
        <v>Midwest</v>
      </c>
      <c r="G434" t="str" cm="1">
        <f t="array" aca="1" ref="G434" ca="1">INDEX(DepartmentList,RANDBETWEEN(1,ROWS(DepartmentList)))</f>
        <v>Claims</v>
      </c>
      <c r="H434" s="1">
        <f t="shared" ca="1" si="26"/>
        <v>45162</v>
      </c>
      <c r="I434" s="4" t="str">
        <f ca="1">IF(IncidentTable[[#This Row],[Resolution Time (Days)]]="","",IncidentTable[[#This Row],[Created Date]]+IncidentTable[[#This Row],[Resolution Time (Days)]])</f>
        <v/>
      </c>
      <c r="J434" t="str">
        <f ca="1">IF(OR(IncidentTable[[#This Row],[Status]]="Resolved",IncidentTable[[#This Row],[Status]]="Closed"),RANDBETWEEN(1,120),"")</f>
        <v/>
      </c>
      <c r="K434" t="str">
        <f t="shared" ca="1" si="24"/>
        <v>Open</v>
      </c>
      <c r="L434" t="str" cm="1">
        <f t="array" aca="1" ref="L434" ca="1">INDEX(AnalystList,RANDBETWEEN(1,ROWS(AnalystList)))</f>
        <v>Casey Brown</v>
      </c>
      <c r="M434" t="str" cm="1">
        <f t="array" aca="1" ref="M434" ca="1">INDEX(RootCauseList,RANDBETWEEN(1,ROWS(RootCauseList)))</f>
        <v>Configuration Issue</v>
      </c>
      <c r="N434">
        <f t="shared" ca="1" si="27"/>
        <v>0.25</v>
      </c>
      <c r="O434" t="str">
        <f ca="1">IF(OR(IncidentTable[[#This Row],[Status]]="Resolved",IncidentTable[[#This Row],[Status]]="Closed"),
ROUND(IncidentTable[[#This Row],[Estimated Impact ($)]]*(1+RANDBETWEEN(-15,25)/100)+RAND(),2),
"")</f>
        <v/>
      </c>
      <c r="P434" t="str">
        <f ca="1">IF(IncidentTable[[#This Row],[Actual Impact ($)]]="","",ROUND(IncidentTable[[#This Row],[Actual Impact ($)]]-IncidentTable[[#This Row],[Estimated Impact ($)]],2))</f>
        <v/>
      </c>
      <c r="Q434" s="2" t="str">
        <f ca="1">IF(IncidentTable[[#This Row],[Actual Impact ($)]]="","",(IncidentTable[[#This Row],[Actual Impact ($)]]-IncidentTable[[#This Row],[Estimated Impact ($)]]) / IncidentTable[[#This Row],[Estimated Impact ($)]])</f>
        <v/>
      </c>
      <c r="R434" s="3">
        <f ca="1">IF(IncidentTable[[#This Row],[Priority]]="Critical",1,
IF(IncidentTable[[#This Row],[Priority]]="High",3,
IF(IncidentTable[[#This Row],[Priority]]="Medium",5,
IF(IncidentTable[[#This Row],[Priority]]="Low",10,""))))</f>
        <v>5</v>
      </c>
      <c r="S434" t="str">
        <f ca="1">IF(IncidentTable[[#This Row],[Resolution Time (Days)]]="","",
IF(IncidentTable[[#This Row],[Resolution Time (Days)]]&lt;=IncidentTable[[#This Row],[SLA Target (Days)]],"Yes","No"))</f>
        <v/>
      </c>
    </row>
    <row r="435" spans="1:19" x14ac:dyDescent="0.25">
      <c r="A435" t="str">
        <f t="shared" ca="1" si="25"/>
        <v>INC940514</v>
      </c>
      <c r="B435" t="str" cm="1">
        <f t="array" aca="1" ref="B435" ca="1">INDEX(SystemList,RANDBETWEEN(1,ROWS(SystemList)))</f>
        <v>Billing System</v>
      </c>
      <c r="C435" t="str" cm="1">
        <f t="array" aca="1" ref="C435" ca="1">INDEX(IssueTypeList,RANDBETWEEN(1,ROWS(IssueTypeList)))</f>
        <v>System Error</v>
      </c>
      <c r="D435" t="str" cm="1">
        <f t="array" aca="1" ref="D435" ca="1">INDEX(PriorityList,RANDBETWEEN(1,ROWS(PriorityList)))</f>
        <v>Medium</v>
      </c>
      <c r="E435" t="str" cm="1">
        <f t="array" aca="1" ref="E435" ca="1">INDEX(SeverityList,RANDBETWEEN(1,ROWS(SeverityList)))</f>
        <v>Major</v>
      </c>
      <c r="F435" t="str" cm="1">
        <f t="array" aca="1" ref="F435" ca="1">INDEX(RegionList,RANDBETWEEN(1,ROWS(RegionList)))</f>
        <v>Midwest</v>
      </c>
      <c r="G435" t="str" cm="1">
        <f t="array" aca="1" ref="G435" ca="1">INDEX(DepartmentList,RANDBETWEEN(1,ROWS(DepartmentList)))</f>
        <v>Customer Service</v>
      </c>
      <c r="H435" s="1">
        <f t="shared" ca="1" si="26"/>
        <v>45022</v>
      </c>
      <c r="I435" s="4" t="str">
        <f ca="1">IF(IncidentTable[[#This Row],[Resolution Time (Days)]]="","",IncidentTable[[#This Row],[Created Date]]+IncidentTable[[#This Row],[Resolution Time (Days)]])</f>
        <v/>
      </c>
      <c r="J435" t="str">
        <f ca="1">IF(OR(IncidentTable[[#This Row],[Status]]="Resolved",IncidentTable[[#This Row],[Status]]="Closed"),RANDBETWEEN(1,120),"")</f>
        <v/>
      </c>
      <c r="K435" t="str">
        <f t="shared" ca="1" si="24"/>
        <v>Pending</v>
      </c>
      <c r="L435" t="str" cm="1">
        <f t="array" aca="1" ref="L435" ca="1">INDEX(AnalystList,RANDBETWEEN(1,ROWS(AnalystList)))</f>
        <v>Taylor Smith</v>
      </c>
      <c r="M435" t="str" cm="1">
        <f t="array" aca="1" ref="M435" ca="1">INDEX(RootCauseList,RANDBETWEEN(1,ROWS(RootCauseList)))</f>
        <v>Unknown</v>
      </c>
      <c r="N435">
        <f t="shared" ca="1" si="27"/>
        <v>1487.59</v>
      </c>
      <c r="O435" t="str">
        <f ca="1">IF(OR(IncidentTable[[#This Row],[Status]]="Resolved",IncidentTable[[#This Row],[Status]]="Closed"),
ROUND(IncidentTable[[#This Row],[Estimated Impact ($)]]*(1+RANDBETWEEN(-15,25)/100)+RAND(),2),
"")</f>
        <v/>
      </c>
      <c r="P435" t="str">
        <f ca="1">IF(IncidentTable[[#This Row],[Actual Impact ($)]]="","",ROUND(IncidentTable[[#This Row],[Actual Impact ($)]]-IncidentTable[[#This Row],[Estimated Impact ($)]],2))</f>
        <v/>
      </c>
      <c r="Q435" s="2" t="str">
        <f ca="1">IF(IncidentTable[[#This Row],[Actual Impact ($)]]="","",(IncidentTable[[#This Row],[Actual Impact ($)]]-IncidentTable[[#This Row],[Estimated Impact ($)]]) / IncidentTable[[#This Row],[Estimated Impact ($)]])</f>
        <v/>
      </c>
      <c r="R435" s="3">
        <f ca="1">IF(IncidentTable[[#This Row],[Priority]]="Critical",1,
IF(IncidentTable[[#This Row],[Priority]]="High",3,
IF(IncidentTable[[#This Row],[Priority]]="Medium",5,
IF(IncidentTable[[#This Row],[Priority]]="Low",10,""))))</f>
        <v>5</v>
      </c>
      <c r="S435" t="str">
        <f ca="1">IF(IncidentTable[[#This Row],[Resolution Time (Days)]]="","",
IF(IncidentTable[[#This Row],[Resolution Time (Days)]]&lt;=IncidentTable[[#This Row],[SLA Target (Days)]],"Yes","No"))</f>
        <v/>
      </c>
    </row>
    <row r="436" spans="1:19" x14ac:dyDescent="0.25">
      <c r="A436" t="str">
        <f t="shared" ca="1" si="25"/>
        <v>INC590389</v>
      </c>
      <c r="B436" t="str" cm="1">
        <f t="array" aca="1" ref="B436" ca="1">INDEX(SystemList,RANDBETWEEN(1,ROWS(SystemList)))</f>
        <v>Regulatory System</v>
      </c>
      <c r="C436" t="str" cm="1">
        <f t="array" aca="1" ref="C436" ca="1">INDEX(IssueTypeList,RANDBETWEEN(1,ROWS(IssueTypeList)))</f>
        <v>Data Issue</v>
      </c>
      <c r="D436" t="str" cm="1">
        <f t="array" aca="1" ref="D436" ca="1">INDEX(PriorityList,RANDBETWEEN(1,ROWS(PriorityList)))</f>
        <v>Medium</v>
      </c>
      <c r="E436" t="str" cm="1">
        <f t="array" aca="1" ref="E436" ca="1">INDEX(SeverityList,RANDBETWEEN(1,ROWS(SeverityList)))</f>
        <v>Major</v>
      </c>
      <c r="F436" t="str" cm="1">
        <f t="array" aca="1" ref="F436" ca="1">INDEX(RegionList,RANDBETWEEN(1,ROWS(RegionList)))</f>
        <v>Southeast</v>
      </c>
      <c r="G436" t="str" cm="1">
        <f t="array" aca="1" ref="G436" ca="1">INDEX(DepartmentList,RANDBETWEEN(1,ROWS(DepartmentList)))</f>
        <v>Billing</v>
      </c>
      <c r="H436" s="1">
        <f t="shared" ca="1" si="26"/>
        <v>45111</v>
      </c>
      <c r="I436" s="4" t="str">
        <f ca="1">IF(IncidentTable[[#This Row],[Resolution Time (Days)]]="","",IncidentTable[[#This Row],[Created Date]]+IncidentTable[[#This Row],[Resolution Time (Days)]])</f>
        <v/>
      </c>
      <c r="J436" t="str">
        <f ca="1">IF(OR(IncidentTable[[#This Row],[Status]]="Resolved",IncidentTable[[#This Row],[Status]]="Closed"),RANDBETWEEN(1,120),"")</f>
        <v/>
      </c>
      <c r="K436" t="str">
        <f t="shared" ca="1" si="24"/>
        <v>Open</v>
      </c>
      <c r="L436" t="str" cm="1">
        <f t="array" aca="1" ref="L436" ca="1">INDEX(AnalystList,RANDBETWEEN(1,ROWS(AnalystList)))</f>
        <v>Morgan Davis</v>
      </c>
      <c r="M436" t="str" cm="1">
        <f t="array" aca="1" ref="M436" ca="1">INDEX(RootCauseList,RANDBETWEEN(1,ROWS(RootCauseList)))</f>
        <v>Network Failure</v>
      </c>
      <c r="N436">
        <f t="shared" ca="1" si="27"/>
        <v>8.11</v>
      </c>
      <c r="O436" t="str">
        <f ca="1">IF(OR(IncidentTable[[#This Row],[Status]]="Resolved",IncidentTable[[#This Row],[Status]]="Closed"),
ROUND(IncidentTable[[#This Row],[Estimated Impact ($)]]*(1+RANDBETWEEN(-15,25)/100)+RAND(),2),
"")</f>
        <v/>
      </c>
      <c r="P436" t="str">
        <f ca="1">IF(IncidentTable[[#This Row],[Actual Impact ($)]]="","",ROUND(IncidentTable[[#This Row],[Actual Impact ($)]]-IncidentTable[[#This Row],[Estimated Impact ($)]],2))</f>
        <v/>
      </c>
      <c r="Q436" s="2" t="str">
        <f ca="1">IF(IncidentTable[[#This Row],[Actual Impact ($)]]="","",(IncidentTable[[#This Row],[Actual Impact ($)]]-IncidentTable[[#This Row],[Estimated Impact ($)]]) / IncidentTable[[#This Row],[Estimated Impact ($)]])</f>
        <v/>
      </c>
      <c r="R436" s="3">
        <f ca="1">IF(IncidentTable[[#This Row],[Priority]]="Critical",1,
IF(IncidentTable[[#This Row],[Priority]]="High",3,
IF(IncidentTable[[#This Row],[Priority]]="Medium",5,
IF(IncidentTable[[#This Row],[Priority]]="Low",10,""))))</f>
        <v>5</v>
      </c>
      <c r="S436" t="str">
        <f ca="1">IF(IncidentTable[[#This Row],[Resolution Time (Days)]]="","",
IF(IncidentTable[[#This Row],[Resolution Time (Days)]]&lt;=IncidentTable[[#This Row],[SLA Target (Days)]],"Yes","No"))</f>
        <v/>
      </c>
    </row>
    <row r="437" spans="1:19" x14ac:dyDescent="0.25">
      <c r="A437" t="str">
        <f t="shared" ca="1" si="25"/>
        <v>INC137445</v>
      </c>
      <c r="B437" t="str" cm="1">
        <f t="array" aca="1" ref="B437" ca="1">INDEX(SystemList,RANDBETWEEN(1,ROWS(SystemList)))</f>
        <v>Billing System</v>
      </c>
      <c r="C437" t="str" cm="1">
        <f t="array" aca="1" ref="C437" ca="1">INDEX(IssueTypeList,RANDBETWEEN(1,ROWS(IssueTypeList)))</f>
        <v>Performance Issue</v>
      </c>
      <c r="D437" t="str" cm="1">
        <f t="array" aca="1" ref="D437" ca="1">INDEX(PriorityList,RANDBETWEEN(1,ROWS(PriorityList)))</f>
        <v>Low</v>
      </c>
      <c r="E437" t="str" cm="1">
        <f t="array" aca="1" ref="E437" ca="1">INDEX(SeverityList,RANDBETWEEN(1,ROWS(SeverityList)))</f>
        <v>Moderate</v>
      </c>
      <c r="F437" t="str" cm="1">
        <f t="array" aca="1" ref="F437" ca="1">INDEX(RegionList,RANDBETWEEN(1,ROWS(RegionList)))</f>
        <v>West</v>
      </c>
      <c r="G437" t="str" cm="1">
        <f t="array" aca="1" ref="G437" ca="1">INDEX(DepartmentList,RANDBETWEEN(1,ROWS(DepartmentList)))</f>
        <v>IT</v>
      </c>
      <c r="H437" s="1">
        <f t="shared" ca="1" si="26"/>
        <v>45468</v>
      </c>
      <c r="I437" s="4" t="str">
        <f ca="1">IF(IncidentTable[[#This Row],[Resolution Time (Days)]]="","",IncidentTable[[#This Row],[Created Date]]+IncidentTable[[#This Row],[Resolution Time (Days)]])</f>
        <v/>
      </c>
      <c r="J437" t="str">
        <f ca="1">IF(OR(IncidentTable[[#This Row],[Status]]="Resolved",IncidentTable[[#This Row],[Status]]="Closed"),RANDBETWEEN(1,120),"")</f>
        <v/>
      </c>
      <c r="K437" t="str">
        <f t="shared" ca="1" si="24"/>
        <v>In Progress</v>
      </c>
      <c r="L437" t="str" cm="1">
        <f t="array" aca="1" ref="L437" ca="1">INDEX(AnalystList,RANDBETWEEN(1,ROWS(AnalystList)))</f>
        <v>Riley Wilson</v>
      </c>
      <c r="M437" t="str" cm="1">
        <f t="array" aca="1" ref="M437" ca="1">INDEX(RootCauseList,RANDBETWEEN(1,ROWS(RootCauseList)))</f>
        <v>Integration Failure</v>
      </c>
      <c r="N437">
        <f t="shared" ca="1" si="27"/>
        <v>461.05</v>
      </c>
      <c r="O437" t="str">
        <f ca="1">IF(OR(IncidentTable[[#This Row],[Status]]="Resolved",IncidentTable[[#This Row],[Status]]="Closed"),
ROUND(IncidentTable[[#This Row],[Estimated Impact ($)]]*(1+RANDBETWEEN(-15,25)/100)+RAND(),2),
"")</f>
        <v/>
      </c>
      <c r="P437" t="str">
        <f ca="1">IF(IncidentTable[[#This Row],[Actual Impact ($)]]="","",ROUND(IncidentTable[[#This Row],[Actual Impact ($)]]-IncidentTable[[#This Row],[Estimated Impact ($)]],2))</f>
        <v/>
      </c>
      <c r="Q437" s="2" t="str">
        <f ca="1">IF(IncidentTable[[#This Row],[Actual Impact ($)]]="","",(IncidentTable[[#This Row],[Actual Impact ($)]]-IncidentTable[[#This Row],[Estimated Impact ($)]]) / IncidentTable[[#This Row],[Estimated Impact ($)]])</f>
        <v/>
      </c>
      <c r="R437" s="3">
        <f ca="1">IF(IncidentTable[[#This Row],[Priority]]="Critical",1,
IF(IncidentTable[[#This Row],[Priority]]="High",3,
IF(IncidentTable[[#This Row],[Priority]]="Medium",5,
IF(IncidentTable[[#This Row],[Priority]]="Low",10,""))))</f>
        <v>10</v>
      </c>
      <c r="S437" t="str">
        <f ca="1">IF(IncidentTable[[#This Row],[Resolution Time (Days)]]="","",
IF(IncidentTable[[#This Row],[Resolution Time (Days)]]&lt;=IncidentTable[[#This Row],[SLA Target (Days)]],"Yes","No"))</f>
        <v/>
      </c>
    </row>
    <row r="438" spans="1:19" x14ac:dyDescent="0.25">
      <c r="A438" t="str">
        <f t="shared" ca="1" si="25"/>
        <v>INC812651</v>
      </c>
      <c r="B438" t="str" cm="1">
        <f t="array" aca="1" ref="B438" ca="1">INDEX(SystemList,RANDBETWEEN(1,ROWS(SystemList)))</f>
        <v>Claims System</v>
      </c>
      <c r="C438" t="str" cm="1">
        <f t="array" aca="1" ref="C438" ca="1">INDEX(IssueTypeList,RANDBETWEEN(1,ROWS(IssueTypeList)))</f>
        <v>Data Issue</v>
      </c>
      <c r="D438" t="str" cm="1">
        <f t="array" aca="1" ref="D438" ca="1">INDEX(PriorityList,RANDBETWEEN(1,ROWS(PriorityList)))</f>
        <v>Medium</v>
      </c>
      <c r="E438" t="str" cm="1">
        <f t="array" aca="1" ref="E438" ca="1">INDEX(SeverityList,RANDBETWEEN(1,ROWS(SeverityList)))</f>
        <v>Major</v>
      </c>
      <c r="F438" t="str" cm="1">
        <f t="array" aca="1" ref="F438" ca="1">INDEX(RegionList,RANDBETWEEN(1,ROWS(RegionList)))</f>
        <v>Midwest</v>
      </c>
      <c r="G438" t="str" cm="1">
        <f t="array" aca="1" ref="G438" ca="1">INDEX(DepartmentList,RANDBETWEEN(1,ROWS(DepartmentList)))</f>
        <v>Compliance</v>
      </c>
      <c r="H438" s="1">
        <f t="shared" ca="1" si="26"/>
        <v>45417</v>
      </c>
      <c r="I438" s="4" t="str">
        <f ca="1">IF(IncidentTable[[#This Row],[Resolution Time (Days)]]="","",IncidentTable[[#This Row],[Created Date]]+IncidentTable[[#This Row],[Resolution Time (Days)]])</f>
        <v/>
      </c>
      <c r="J438" t="str">
        <f ca="1">IF(OR(IncidentTable[[#This Row],[Status]]="Resolved",IncidentTable[[#This Row],[Status]]="Closed"),RANDBETWEEN(1,120),"")</f>
        <v/>
      </c>
      <c r="K438" t="str">
        <f t="shared" ca="1" si="24"/>
        <v>Open</v>
      </c>
      <c r="L438" t="str" cm="1">
        <f t="array" aca="1" ref="L438" ca="1">INDEX(AnalystList,RANDBETWEEN(1,ROWS(AnalystList)))</f>
        <v>Jordan Lee</v>
      </c>
      <c r="M438" t="str" cm="1">
        <f t="array" aca="1" ref="M438" ca="1">INDEX(RootCauseList,RANDBETWEEN(1,ROWS(RootCauseList)))</f>
        <v>System Bug</v>
      </c>
      <c r="N438">
        <f t="shared" ca="1" si="27"/>
        <v>35131.699999999997</v>
      </c>
      <c r="O438" t="str">
        <f ca="1">IF(OR(IncidentTable[[#This Row],[Status]]="Resolved",IncidentTable[[#This Row],[Status]]="Closed"),
ROUND(IncidentTable[[#This Row],[Estimated Impact ($)]]*(1+RANDBETWEEN(-15,25)/100)+RAND(),2),
"")</f>
        <v/>
      </c>
      <c r="P438" t="str">
        <f ca="1">IF(IncidentTable[[#This Row],[Actual Impact ($)]]="","",ROUND(IncidentTable[[#This Row],[Actual Impact ($)]]-IncidentTable[[#This Row],[Estimated Impact ($)]],2))</f>
        <v/>
      </c>
      <c r="Q438" s="2" t="str">
        <f ca="1">IF(IncidentTable[[#This Row],[Actual Impact ($)]]="","",(IncidentTable[[#This Row],[Actual Impact ($)]]-IncidentTable[[#This Row],[Estimated Impact ($)]]) / IncidentTable[[#This Row],[Estimated Impact ($)]])</f>
        <v/>
      </c>
      <c r="R438" s="3">
        <f ca="1">IF(IncidentTable[[#This Row],[Priority]]="Critical",1,
IF(IncidentTable[[#This Row],[Priority]]="High",3,
IF(IncidentTable[[#This Row],[Priority]]="Medium",5,
IF(IncidentTable[[#This Row],[Priority]]="Low",10,""))))</f>
        <v>5</v>
      </c>
      <c r="S438" t="str">
        <f ca="1">IF(IncidentTable[[#This Row],[Resolution Time (Days)]]="","",
IF(IncidentTable[[#This Row],[Resolution Time (Days)]]&lt;=IncidentTable[[#This Row],[SLA Target (Days)]],"Yes","No"))</f>
        <v/>
      </c>
    </row>
    <row r="439" spans="1:19" x14ac:dyDescent="0.25">
      <c r="A439" t="str">
        <f t="shared" ca="1" si="25"/>
        <v>INC691552</v>
      </c>
      <c r="B439" t="str" cm="1">
        <f t="array" aca="1" ref="B439" ca="1">INDEX(SystemList,RANDBETWEEN(1,ROWS(SystemList)))</f>
        <v>Payment Processing</v>
      </c>
      <c r="C439" t="str" cm="1">
        <f t="array" aca="1" ref="C439" ca="1">INDEX(IssueTypeList,RANDBETWEEN(1,ROWS(IssueTypeList)))</f>
        <v>User Access Issue</v>
      </c>
      <c r="D439" t="str" cm="1">
        <f t="array" aca="1" ref="D439" ca="1">INDEX(PriorityList,RANDBETWEEN(1,ROWS(PriorityList)))</f>
        <v>Medium</v>
      </c>
      <c r="E439" t="str" cm="1">
        <f t="array" aca="1" ref="E439" ca="1">INDEX(SeverityList,RANDBETWEEN(1,ROWS(SeverityList)))</f>
        <v>Moderate</v>
      </c>
      <c r="F439" t="str" cm="1">
        <f t="array" aca="1" ref="F439" ca="1">INDEX(RegionList,RANDBETWEEN(1,ROWS(RegionList)))</f>
        <v>Southeast</v>
      </c>
      <c r="G439" t="str" cm="1">
        <f t="array" aca="1" ref="G439" ca="1">INDEX(DepartmentList,RANDBETWEEN(1,ROWS(DepartmentList)))</f>
        <v>Billing</v>
      </c>
      <c r="H439" s="1">
        <f t="shared" ca="1" si="26"/>
        <v>45303</v>
      </c>
      <c r="I439" s="4" t="str">
        <f ca="1">IF(IncidentTable[[#This Row],[Resolution Time (Days)]]="","",IncidentTable[[#This Row],[Created Date]]+IncidentTable[[#This Row],[Resolution Time (Days)]])</f>
        <v/>
      </c>
      <c r="J439" t="str">
        <f ca="1">IF(OR(IncidentTable[[#This Row],[Status]]="Resolved",IncidentTable[[#This Row],[Status]]="Closed"),RANDBETWEEN(1,120),"")</f>
        <v/>
      </c>
      <c r="K439" t="str">
        <f t="shared" ca="1" si="24"/>
        <v>In Progress</v>
      </c>
      <c r="L439" t="str" cm="1">
        <f t="array" aca="1" ref="L439" ca="1">INDEX(AnalystList,RANDBETWEEN(1,ROWS(AnalystList)))</f>
        <v>Alex Johnson</v>
      </c>
      <c r="M439" t="str" cm="1">
        <f t="array" aca="1" ref="M439" ca="1">INDEX(RootCauseList,RANDBETWEEN(1,ROWS(RootCauseList)))</f>
        <v>Process Gap</v>
      </c>
      <c r="N439">
        <f t="shared" ca="1" si="27"/>
        <v>2661.8</v>
      </c>
      <c r="O439" t="str">
        <f ca="1">IF(OR(IncidentTable[[#This Row],[Status]]="Resolved",IncidentTable[[#This Row],[Status]]="Closed"),
ROUND(IncidentTable[[#This Row],[Estimated Impact ($)]]*(1+RANDBETWEEN(-15,25)/100)+RAND(),2),
"")</f>
        <v/>
      </c>
      <c r="P439" t="str">
        <f ca="1">IF(IncidentTable[[#This Row],[Actual Impact ($)]]="","",ROUND(IncidentTable[[#This Row],[Actual Impact ($)]]-IncidentTable[[#This Row],[Estimated Impact ($)]],2))</f>
        <v/>
      </c>
      <c r="Q439" s="2" t="str">
        <f ca="1">IF(IncidentTable[[#This Row],[Actual Impact ($)]]="","",(IncidentTable[[#This Row],[Actual Impact ($)]]-IncidentTable[[#This Row],[Estimated Impact ($)]]) / IncidentTable[[#This Row],[Estimated Impact ($)]])</f>
        <v/>
      </c>
      <c r="R439" s="3">
        <f ca="1">IF(IncidentTable[[#This Row],[Priority]]="Critical",1,
IF(IncidentTable[[#This Row],[Priority]]="High",3,
IF(IncidentTable[[#This Row],[Priority]]="Medium",5,
IF(IncidentTable[[#This Row],[Priority]]="Low",10,""))))</f>
        <v>5</v>
      </c>
      <c r="S439" t="str">
        <f ca="1">IF(IncidentTable[[#This Row],[Resolution Time (Days)]]="","",
IF(IncidentTable[[#This Row],[Resolution Time (Days)]]&lt;=IncidentTable[[#This Row],[SLA Target (Days)]],"Yes","No"))</f>
        <v/>
      </c>
    </row>
    <row r="440" spans="1:19" x14ac:dyDescent="0.25">
      <c r="A440" t="str">
        <f t="shared" ca="1" si="25"/>
        <v>INC940827</v>
      </c>
      <c r="B440" t="str" cm="1">
        <f t="array" aca="1" ref="B440" ca="1">INDEX(SystemList,RANDBETWEEN(1,ROWS(SystemList)))</f>
        <v>Billing System</v>
      </c>
      <c r="C440" t="str" cm="1">
        <f t="array" aca="1" ref="C440" ca="1">INDEX(IssueTypeList,RANDBETWEEN(1,ROWS(IssueTypeList)))</f>
        <v>User Access Issue</v>
      </c>
      <c r="D440" t="str" cm="1">
        <f t="array" aca="1" ref="D440" ca="1">INDEX(PriorityList,RANDBETWEEN(1,ROWS(PriorityList)))</f>
        <v>High</v>
      </c>
      <c r="E440" t="str" cm="1">
        <f t="array" aca="1" ref="E440" ca="1">INDEX(SeverityList,RANDBETWEEN(1,ROWS(SeverityList)))</f>
        <v>Critical</v>
      </c>
      <c r="F440" t="str" cm="1">
        <f t="array" aca="1" ref="F440" ca="1">INDEX(RegionList,RANDBETWEEN(1,ROWS(RegionList)))</f>
        <v>Midwest</v>
      </c>
      <c r="G440" t="str" cm="1">
        <f t="array" aca="1" ref="G440" ca="1">INDEX(DepartmentList,RANDBETWEEN(1,ROWS(DepartmentList)))</f>
        <v>Finance</v>
      </c>
      <c r="H440" s="1">
        <f t="shared" ca="1" si="26"/>
        <v>45163</v>
      </c>
      <c r="I440" s="4" t="str">
        <f ca="1">IF(IncidentTable[[#This Row],[Resolution Time (Days)]]="","",IncidentTable[[#This Row],[Created Date]]+IncidentTable[[#This Row],[Resolution Time (Days)]])</f>
        <v/>
      </c>
      <c r="J440" t="str">
        <f ca="1">IF(OR(IncidentTable[[#This Row],[Status]]="Resolved",IncidentTable[[#This Row],[Status]]="Closed"),RANDBETWEEN(1,120),"")</f>
        <v/>
      </c>
      <c r="K440" t="str">
        <f t="shared" ca="1" si="24"/>
        <v>In Progress</v>
      </c>
      <c r="L440" t="str" cm="1">
        <f t="array" aca="1" ref="L440" ca="1">INDEX(AnalystList,RANDBETWEEN(1,ROWS(AnalystList)))</f>
        <v>Taylor Smith</v>
      </c>
      <c r="M440" t="str" cm="1">
        <f t="array" aca="1" ref="M440" ca="1">INDEX(RootCauseList,RANDBETWEEN(1,ROWS(RootCauseList)))</f>
        <v>Unknown</v>
      </c>
      <c r="N440">
        <f t="shared" ca="1" si="27"/>
        <v>2258.83</v>
      </c>
      <c r="O440" t="str">
        <f ca="1">IF(OR(IncidentTable[[#This Row],[Status]]="Resolved",IncidentTable[[#This Row],[Status]]="Closed"),
ROUND(IncidentTable[[#This Row],[Estimated Impact ($)]]*(1+RANDBETWEEN(-15,25)/100)+RAND(),2),
"")</f>
        <v/>
      </c>
      <c r="P440" t="str">
        <f ca="1">IF(IncidentTable[[#This Row],[Actual Impact ($)]]="","",ROUND(IncidentTable[[#This Row],[Actual Impact ($)]]-IncidentTable[[#This Row],[Estimated Impact ($)]],2))</f>
        <v/>
      </c>
      <c r="Q440" s="2" t="str">
        <f ca="1">IF(IncidentTable[[#This Row],[Actual Impact ($)]]="","",(IncidentTable[[#This Row],[Actual Impact ($)]]-IncidentTable[[#This Row],[Estimated Impact ($)]]) / IncidentTable[[#This Row],[Estimated Impact ($)]])</f>
        <v/>
      </c>
      <c r="R440" s="3">
        <f ca="1">IF(IncidentTable[[#This Row],[Priority]]="Critical",1,
IF(IncidentTable[[#This Row],[Priority]]="High",3,
IF(IncidentTable[[#This Row],[Priority]]="Medium",5,
IF(IncidentTable[[#This Row],[Priority]]="Low",10,""))))</f>
        <v>3</v>
      </c>
      <c r="S440" t="str">
        <f ca="1">IF(IncidentTable[[#This Row],[Resolution Time (Days)]]="","",
IF(IncidentTable[[#This Row],[Resolution Time (Days)]]&lt;=IncidentTable[[#This Row],[SLA Target (Days)]],"Yes","No"))</f>
        <v/>
      </c>
    </row>
    <row r="441" spans="1:19" x14ac:dyDescent="0.25">
      <c r="A441" t="str">
        <f t="shared" ca="1" si="25"/>
        <v>INC766219</v>
      </c>
      <c r="B441" t="str" cm="1">
        <f t="array" aca="1" ref="B441" ca="1">INDEX(SystemList,RANDBETWEEN(1,ROWS(SystemList)))</f>
        <v>Claims System</v>
      </c>
      <c r="C441" t="str" cm="1">
        <f t="array" aca="1" ref="C441" ca="1">INDEX(IssueTypeList,RANDBETWEEN(1,ROWS(IssueTypeList)))</f>
        <v>Data Issue</v>
      </c>
      <c r="D441" t="str" cm="1">
        <f t="array" aca="1" ref="D441" ca="1">INDEX(PriorityList,RANDBETWEEN(1,ROWS(PriorityList)))</f>
        <v>High</v>
      </c>
      <c r="E441" t="str" cm="1">
        <f t="array" aca="1" ref="E441" ca="1">INDEX(SeverityList,RANDBETWEEN(1,ROWS(SeverityList)))</f>
        <v>Major</v>
      </c>
      <c r="F441" t="str" cm="1">
        <f t="array" aca="1" ref="F441" ca="1">INDEX(RegionList,RANDBETWEEN(1,ROWS(RegionList)))</f>
        <v>East</v>
      </c>
      <c r="G441" t="str" cm="1">
        <f t="array" aca="1" ref="G441" ca="1">INDEX(DepartmentList,RANDBETWEEN(1,ROWS(DepartmentList)))</f>
        <v>IT</v>
      </c>
      <c r="H441" s="1">
        <f t="shared" ca="1" si="26"/>
        <v>45425</v>
      </c>
      <c r="I441" s="4">
        <f ca="1">IF(IncidentTable[[#This Row],[Resolution Time (Days)]]="","",IncidentTable[[#This Row],[Created Date]]+IncidentTable[[#This Row],[Resolution Time (Days)]])</f>
        <v>45459</v>
      </c>
      <c r="J441">
        <f ca="1">IF(OR(IncidentTable[[#This Row],[Status]]="Resolved",IncidentTable[[#This Row],[Status]]="Closed"),RANDBETWEEN(1,120),"")</f>
        <v>34</v>
      </c>
      <c r="K441" t="str">
        <f t="shared" ca="1" si="24"/>
        <v>Resolved</v>
      </c>
      <c r="L441" t="str" cm="1">
        <f t="array" aca="1" ref="L441" ca="1">INDEX(AnalystList,RANDBETWEEN(1,ROWS(AnalystList)))</f>
        <v>Morgan Davis</v>
      </c>
      <c r="M441" t="str" cm="1">
        <f t="array" aca="1" ref="M441" ca="1">INDEX(RootCauseList,RANDBETWEEN(1,ROWS(RootCauseList)))</f>
        <v>Data Error</v>
      </c>
      <c r="N441">
        <f t="shared" ca="1" si="27"/>
        <v>20980.21</v>
      </c>
      <c r="O441">
        <f ca="1">IF(OR(IncidentTable[[#This Row],[Status]]="Resolved",IncidentTable[[#This Row],[Status]]="Closed"),
ROUND(IncidentTable[[#This Row],[Estimated Impact ($)]]*(1+RANDBETWEEN(-15,25)/100)+RAND(),2),
"")</f>
        <v>18043.66</v>
      </c>
      <c r="P441">
        <f ca="1">IF(IncidentTable[[#This Row],[Actual Impact ($)]]="","",ROUND(IncidentTable[[#This Row],[Actual Impact ($)]]-IncidentTable[[#This Row],[Estimated Impact ($)]],2))</f>
        <v>-2936.55</v>
      </c>
      <c r="Q441" s="2">
        <f ca="1">IF(IncidentTable[[#This Row],[Actual Impact ($)]]="","",(IncidentTable[[#This Row],[Actual Impact ($)]]-IncidentTable[[#This Row],[Estimated Impact ($)]]) / IncidentTable[[#This Row],[Estimated Impact ($)]])</f>
        <v>-0.13996761710202135</v>
      </c>
      <c r="R441" s="3">
        <f ca="1">IF(IncidentTable[[#This Row],[Priority]]="Critical",1,
IF(IncidentTable[[#This Row],[Priority]]="High",3,
IF(IncidentTable[[#This Row],[Priority]]="Medium",5,
IF(IncidentTable[[#This Row],[Priority]]="Low",10,""))))</f>
        <v>3</v>
      </c>
      <c r="S441" t="str">
        <f ca="1">IF(IncidentTable[[#This Row],[Resolution Time (Days)]]="","",
IF(IncidentTable[[#This Row],[Resolution Time (Days)]]&lt;=IncidentTable[[#This Row],[SLA Target (Days)]],"Yes","No"))</f>
        <v>No</v>
      </c>
    </row>
    <row r="442" spans="1:19" x14ac:dyDescent="0.25">
      <c r="A442" t="str">
        <f t="shared" ca="1" si="25"/>
        <v>INC537410</v>
      </c>
      <c r="B442" t="str" cm="1">
        <f t="array" aca="1" ref="B442" ca="1">INDEX(SystemList,RANDBETWEEN(1,ROWS(SystemList)))</f>
        <v>Customer Portal</v>
      </c>
      <c r="C442" t="str" cm="1">
        <f t="array" aca="1" ref="C442" ca="1">INDEX(IssueTypeList,RANDBETWEEN(1,ROWS(IssueTypeList)))</f>
        <v>Performance Issue</v>
      </c>
      <c r="D442" t="str" cm="1">
        <f t="array" aca="1" ref="D442" ca="1">INDEX(PriorityList,RANDBETWEEN(1,ROWS(PriorityList)))</f>
        <v>Critical</v>
      </c>
      <c r="E442" t="str" cm="1">
        <f t="array" aca="1" ref="E442" ca="1">INDEX(SeverityList,RANDBETWEEN(1,ROWS(SeverityList)))</f>
        <v>Major</v>
      </c>
      <c r="F442" t="str" cm="1">
        <f t="array" aca="1" ref="F442" ca="1">INDEX(RegionList,RANDBETWEEN(1,ROWS(RegionList)))</f>
        <v>Central</v>
      </c>
      <c r="G442" t="str" cm="1">
        <f t="array" aca="1" ref="G442" ca="1">INDEX(DepartmentList,RANDBETWEEN(1,ROWS(DepartmentList)))</f>
        <v>IT</v>
      </c>
      <c r="H442" s="1">
        <f t="shared" ca="1" si="26"/>
        <v>44978</v>
      </c>
      <c r="I442" s="4">
        <f ca="1">IF(IncidentTable[[#This Row],[Resolution Time (Days)]]="","",IncidentTable[[#This Row],[Created Date]]+IncidentTable[[#This Row],[Resolution Time (Days)]])</f>
        <v>45019</v>
      </c>
      <c r="J442">
        <f ca="1">IF(OR(IncidentTable[[#This Row],[Status]]="Resolved",IncidentTable[[#This Row],[Status]]="Closed"),RANDBETWEEN(1,120),"")</f>
        <v>41</v>
      </c>
      <c r="K442" t="str">
        <f t="shared" ca="1" si="24"/>
        <v>Closed</v>
      </c>
      <c r="L442" t="str" cm="1">
        <f t="array" aca="1" ref="L442" ca="1">INDEX(AnalystList,RANDBETWEEN(1,ROWS(AnalystList)))</f>
        <v>Riley Wilson</v>
      </c>
      <c r="M442" t="str" cm="1">
        <f t="array" aca="1" ref="M442" ca="1">INDEX(RootCauseList,RANDBETWEEN(1,ROWS(RootCauseList)))</f>
        <v>System Bug</v>
      </c>
      <c r="N442">
        <f t="shared" ca="1" si="27"/>
        <v>9000.68</v>
      </c>
      <c r="O442">
        <f ca="1">IF(OR(IncidentTable[[#This Row],[Status]]="Resolved",IncidentTable[[#This Row],[Status]]="Closed"),
ROUND(IncidentTable[[#This Row],[Estimated Impact ($)]]*(1+RANDBETWEEN(-15,25)/100)+RAND(),2),
"")</f>
        <v>7650.83</v>
      </c>
      <c r="P442">
        <f ca="1">IF(IncidentTable[[#This Row],[Actual Impact ($)]]="","",ROUND(IncidentTable[[#This Row],[Actual Impact ($)]]-IncidentTable[[#This Row],[Estimated Impact ($)]],2))</f>
        <v>-1349.85</v>
      </c>
      <c r="Q442" s="2">
        <f ca="1">IF(IncidentTable[[#This Row],[Actual Impact ($)]]="","",(IncidentTable[[#This Row],[Actual Impact ($)]]-IncidentTable[[#This Row],[Estimated Impact ($)]]) / IncidentTable[[#This Row],[Estimated Impact ($)]])</f>
        <v>-0.14997200211539577</v>
      </c>
      <c r="R442" s="3">
        <f ca="1">IF(IncidentTable[[#This Row],[Priority]]="Critical",1,
IF(IncidentTable[[#This Row],[Priority]]="High",3,
IF(IncidentTable[[#This Row],[Priority]]="Medium",5,
IF(IncidentTable[[#This Row],[Priority]]="Low",10,""))))</f>
        <v>1</v>
      </c>
      <c r="S442" t="str">
        <f ca="1">IF(IncidentTable[[#This Row],[Resolution Time (Days)]]="","",
IF(IncidentTable[[#This Row],[Resolution Time (Days)]]&lt;=IncidentTable[[#This Row],[SLA Target (Days)]],"Yes","No"))</f>
        <v>No</v>
      </c>
    </row>
    <row r="443" spans="1:19" x14ac:dyDescent="0.25">
      <c r="A443" t="str">
        <f t="shared" ca="1" si="25"/>
        <v>INC792128</v>
      </c>
      <c r="B443" t="str" cm="1">
        <f t="array" aca="1" ref="B443" ca="1">INDEX(SystemList,RANDBETWEEN(1,ROWS(SystemList)))</f>
        <v>Claims System</v>
      </c>
      <c r="C443" t="str" cm="1">
        <f t="array" aca="1" ref="C443" ca="1">INDEX(IssueTypeList,RANDBETWEEN(1,ROWS(IssueTypeList)))</f>
        <v>Complaint</v>
      </c>
      <c r="D443" t="str" cm="1">
        <f t="array" aca="1" ref="D443" ca="1">INDEX(PriorityList,RANDBETWEEN(1,ROWS(PriorityList)))</f>
        <v>Medium</v>
      </c>
      <c r="E443" t="str" cm="1">
        <f t="array" aca="1" ref="E443" ca="1">INDEX(SeverityList,RANDBETWEEN(1,ROWS(SeverityList)))</f>
        <v>Critical</v>
      </c>
      <c r="F443" t="str" cm="1">
        <f t="array" aca="1" ref="F443" ca="1">INDEX(RegionList,RANDBETWEEN(1,ROWS(RegionList)))</f>
        <v>West</v>
      </c>
      <c r="G443" t="str" cm="1">
        <f t="array" aca="1" ref="G443" ca="1">INDEX(DepartmentList,RANDBETWEEN(1,ROWS(DepartmentList)))</f>
        <v>Finance</v>
      </c>
      <c r="H443" s="1">
        <f t="shared" ca="1" si="26"/>
        <v>44963</v>
      </c>
      <c r="I443" s="4" t="str">
        <f ca="1">IF(IncidentTable[[#This Row],[Resolution Time (Days)]]="","",IncidentTable[[#This Row],[Created Date]]+IncidentTable[[#This Row],[Resolution Time (Days)]])</f>
        <v/>
      </c>
      <c r="J443" t="str">
        <f ca="1">IF(OR(IncidentTable[[#This Row],[Status]]="Resolved",IncidentTable[[#This Row],[Status]]="Closed"),RANDBETWEEN(1,120),"")</f>
        <v/>
      </c>
      <c r="K443" t="str">
        <f t="shared" ca="1" si="24"/>
        <v>Pending</v>
      </c>
      <c r="L443" t="str" cm="1">
        <f t="array" aca="1" ref="L443" ca="1">INDEX(AnalystList,RANDBETWEEN(1,ROWS(AnalystList)))</f>
        <v>Morgan Davis</v>
      </c>
      <c r="M443" t="str" cm="1">
        <f t="array" aca="1" ref="M443" ca="1">INDEX(RootCauseList,RANDBETWEEN(1,ROWS(RootCauseList)))</f>
        <v>Network Failure</v>
      </c>
      <c r="N443">
        <f t="shared" ca="1" si="27"/>
        <v>30936.45</v>
      </c>
      <c r="O443" t="str">
        <f ca="1">IF(OR(IncidentTable[[#This Row],[Status]]="Resolved",IncidentTable[[#This Row],[Status]]="Closed"),
ROUND(IncidentTable[[#This Row],[Estimated Impact ($)]]*(1+RANDBETWEEN(-15,25)/100)+RAND(),2),
"")</f>
        <v/>
      </c>
      <c r="P443" t="str">
        <f ca="1">IF(IncidentTable[[#This Row],[Actual Impact ($)]]="","",ROUND(IncidentTable[[#This Row],[Actual Impact ($)]]-IncidentTable[[#This Row],[Estimated Impact ($)]],2))</f>
        <v/>
      </c>
      <c r="Q443" s="2" t="str">
        <f ca="1">IF(IncidentTable[[#This Row],[Actual Impact ($)]]="","",(IncidentTable[[#This Row],[Actual Impact ($)]]-IncidentTable[[#This Row],[Estimated Impact ($)]]) / IncidentTable[[#This Row],[Estimated Impact ($)]])</f>
        <v/>
      </c>
      <c r="R443" s="3">
        <f ca="1">IF(IncidentTable[[#This Row],[Priority]]="Critical",1,
IF(IncidentTable[[#This Row],[Priority]]="High",3,
IF(IncidentTable[[#This Row],[Priority]]="Medium",5,
IF(IncidentTable[[#This Row],[Priority]]="Low",10,""))))</f>
        <v>5</v>
      </c>
      <c r="S443" t="str">
        <f ca="1">IF(IncidentTable[[#This Row],[Resolution Time (Days)]]="","",
IF(IncidentTable[[#This Row],[Resolution Time (Days)]]&lt;=IncidentTable[[#This Row],[SLA Target (Days)]],"Yes","No"))</f>
        <v/>
      </c>
    </row>
    <row r="444" spans="1:19" x14ac:dyDescent="0.25">
      <c r="A444" t="str">
        <f t="shared" ca="1" si="25"/>
        <v>INC606260</v>
      </c>
      <c r="B444" t="str" cm="1">
        <f t="array" aca="1" ref="B444" ca="1">INDEX(SystemList,RANDBETWEEN(1,ROWS(SystemList)))</f>
        <v>Billing System</v>
      </c>
      <c r="C444" t="str" cm="1">
        <f t="array" aca="1" ref="C444" ca="1">INDEX(IssueTypeList,RANDBETWEEN(1,ROWS(IssueTypeList)))</f>
        <v>Data Issue</v>
      </c>
      <c r="D444" t="str" cm="1">
        <f t="array" aca="1" ref="D444" ca="1">INDEX(PriorityList,RANDBETWEEN(1,ROWS(PriorityList)))</f>
        <v>Critical</v>
      </c>
      <c r="E444" t="str" cm="1">
        <f t="array" aca="1" ref="E444" ca="1">INDEX(SeverityList,RANDBETWEEN(1,ROWS(SeverityList)))</f>
        <v>Moderate</v>
      </c>
      <c r="F444" t="str" cm="1">
        <f t="array" aca="1" ref="F444" ca="1">INDEX(RegionList,RANDBETWEEN(1,ROWS(RegionList)))</f>
        <v>West</v>
      </c>
      <c r="G444" t="str" cm="1">
        <f t="array" aca="1" ref="G444" ca="1">INDEX(DepartmentList,RANDBETWEEN(1,ROWS(DepartmentList)))</f>
        <v>Finance</v>
      </c>
      <c r="H444" s="1">
        <f t="shared" ca="1" si="26"/>
        <v>45443</v>
      </c>
      <c r="I444" s="4">
        <f ca="1">IF(IncidentTable[[#This Row],[Resolution Time (Days)]]="","",IncidentTable[[#This Row],[Created Date]]+IncidentTable[[#This Row],[Resolution Time (Days)]])</f>
        <v>45483</v>
      </c>
      <c r="J444">
        <f ca="1">IF(OR(IncidentTable[[#This Row],[Status]]="Resolved",IncidentTable[[#This Row],[Status]]="Closed"),RANDBETWEEN(1,120),"")</f>
        <v>40</v>
      </c>
      <c r="K444" t="str">
        <f t="shared" ca="1" si="24"/>
        <v>Resolved</v>
      </c>
      <c r="L444" t="str" cm="1">
        <f t="array" aca="1" ref="L444" ca="1">INDEX(AnalystList,RANDBETWEEN(1,ROWS(AnalystList)))</f>
        <v>Taylor Smith</v>
      </c>
      <c r="M444" t="str" cm="1">
        <f t="array" aca="1" ref="M444" ca="1">INDEX(RootCauseList,RANDBETWEEN(1,ROWS(RootCauseList)))</f>
        <v>Network Failure</v>
      </c>
      <c r="N444">
        <f t="shared" ca="1" si="27"/>
        <v>12710.65</v>
      </c>
      <c r="O444">
        <f ca="1">IF(OR(IncidentTable[[#This Row],[Status]]="Resolved",IncidentTable[[#This Row],[Status]]="Closed"),
ROUND(IncidentTable[[#This Row],[Estimated Impact ($)]]*(1+RANDBETWEEN(-15,25)/100)+RAND(),2),
"")</f>
        <v>13346.49</v>
      </c>
      <c r="P444">
        <f ca="1">IF(IncidentTable[[#This Row],[Actual Impact ($)]]="","",ROUND(IncidentTable[[#This Row],[Actual Impact ($)]]-IncidentTable[[#This Row],[Estimated Impact ($)]],2))</f>
        <v>635.84</v>
      </c>
      <c r="Q444" s="2">
        <f ca="1">IF(IncidentTable[[#This Row],[Actual Impact ($)]]="","",(IncidentTable[[#This Row],[Actual Impact ($)]]-IncidentTable[[#This Row],[Estimated Impact ($)]]) / IncidentTable[[#This Row],[Estimated Impact ($)]])</f>
        <v>5.0024192311172139E-2</v>
      </c>
      <c r="R444" s="3">
        <f ca="1">IF(IncidentTable[[#This Row],[Priority]]="Critical",1,
IF(IncidentTable[[#This Row],[Priority]]="High",3,
IF(IncidentTable[[#This Row],[Priority]]="Medium",5,
IF(IncidentTable[[#This Row],[Priority]]="Low",10,""))))</f>
        <v>1</v>
      </c>
      <c r="S444" t="str">
        <f ca="1">IF(IncidentTable[[#This Row],[Resolution Time (Days)]]="","",
IF(IncidentTable[[#This Row],[Resolution Time (Days)]]&lt;=IncidentTable[[#This Row],[SLA Target (Days)]],"Yes","No"))</f>
        <v>No</v>
      </c>
    </row>
    <row r="445" spans="1:19" x14ac:dyDescent="0.25">
      <c r="A445" t="str">
        <f t="shared" ca="1" si="25"/>
        <v>INC516361</v>
      </c>
      <c r="B445" t="str" cm="1">
        <f t="array" aca="1" ref="B445" ca="1">INDEX(SystemList,RANDBETWEEN(1,ROWS(SystemList)))</f>
        <v>Claims System</v>
      </c>
      <c r="C445" t="str" cm="1">
        <f t="array" aca="1" ref="C445" ca="1">INDEX(IssueTypeList,RANDBETWEEN(1,ROWS(IssueTypeList)))</f>
        <v>Performance Issue</v>
      </c>
      <c r="D445" t="str" cm="1">
        <f t="array" aca="1" ref="D445" ca="1">INDEX(PriorityList,RANDBETWEEN(1,ROWS(PriorityList)))</f>
        <v>Critical</v>
      </c>
      <c r="E445" t="str" cm="1">
        <f t="array" aca="1" ref="E445" ca="1">INDEX(SeverityList,RANDBETWEEN(1,ROWS(SeverityList)))</f>
        <v>Major</v>
      </c>
      <c r="F445" t="str" cm="1">
        <f t="array" aca="1" ref="F445" ca="1">INDEX(RegionList,RANDBETWEEN(1,ROWS(RegionList)))</f>
        <v>West</v>
      </c>
      <c r="G445" t="str" cm="1">
        <f t="array" aca="1" ref="G445" ca="1">INDEX(DepartmentList,RANDBETWEEN(1,ROWS(DepartmentList)))</f>
        <v>Finance</v>
      </c>
      <c r="H445" s="1">
        <f t="shared" ca="1" si="26"/>
        <v>45455</v>
      </c>
      <c r="I445" s="4">
        <f ca="1">IF(IncidentTable[[#This Row],[Resolution Time (Days)]]="","",IncidentTable[[#This Row],[Created Date]]+IncidentTable[[#This Row],[Resolution Time (Days)]])</f>
        <v>45541</v>
      </c>
      <c r="J445">
        <f ca="1">IF(OR(IncidentTable[[#This Row],[Status]]="Resolved",IncidentTable[[#This Row],[Status]]="Closed"),RANDBETWEEN(1,120),"")</f>
        <v>86</v>
      </c>
      <c r="K445" t="str">
        <f t="shared" ca="1" si="24"/>
        <v>Resolved</v>
      </c>
      <c r="L445" t="str" cm="1">
        <f t="array" aca="1" ref="L445" ca="1">INDEX(AnalystList,RANDBETWEEN(1,ROWS(AnalystList)))</f>
        <v>Alex Johnson</v>
      </c>
      <c r="M445" t="str" cm="1">
        <f t="array" aca="1" ref="M445" ca="1">INDEX(RootCauseList,RANDBETWEEN(1,ROWS(RootCauseList)))</f>
        <v>Configuration Issue</v>
      </c>
      <c r="N445">
        <f t="shared" ca="1" si="27"/>
        <v>728.65</v>
      </c>
      <c r="O445">
        <f ca="1">IF(OR(IncidentTable[[#This Row],[Status]]="Resolved",IncidentTable[[#This Row],[Status]]="Closed"),
ROUND(IncidentTable[[#This Row],[Estimated Impact ($)]]*(1+RANDBETWEEN(-15,25)/100)+RAND(),2),
"")</f>
        <v>722.34</v>
      </c>
      <c r="P445">
        <f ca="1">IF(IncidentTable[[#This Row],[Actual Impact ($)]]="","",ROUND(IncidentTable[[#This Row],[Actual Impact ($)]]-IncidentTable[[#This Row],[Estimated Impact ($)]],2))</f>
        <v>-6.31</v>
      </c>
      <c r="Q445" s="2">
        <f ca="1">IF(IncidentTable[[#This Row],[Actual Impact ($)]]="","",(IncidentTable[[#This Row],[Actual Impact ($)]]-IncidentTable[[#This Row],[Estimated Impact ($)]]) / IncidentTable[[#This Row],[Estimated Impact ($)]])</f>
        <v>-8.6598504082892273E-3</v>
      </c>
      <c r="R445" s="3">
        <f ca="1">IF(IncidentTable[[#This Row],[Priority]]="Critical",1,
IF(IncidentTable[[#This Row],[Priority]]="High",3,
IF(IncidentTable[[#This Row],[Priority]]="Medium",5,
IF(IncidentTable[[#This Row],[Priority]]="Low",10,""))))</f>
        <v>1</v>
      </c>
      <c r="S445" t="str">
        <f ca="1">IF(IncidentTable[[#This Row],[Resolution Time (Days)]]="","",
IF(IncidentTable[[#This Row],[Resolution Time (Days)]]&lt;=IncidentTable[[#This Row],[SLA Target (Days)]],"Yes","No"))</f>
        <v>No</v>
      </c>
    </row>
    <row r="446" spans="1:19" x14ac:dyDescent="0.25">
      <c r="A446" t="str">
        <f t="shared" ca="1" si="25"/>
        <v>INC115780</v>
      </c>
      <c r="B446" t="str" cm="1">
        <f t="array" aca="1" ref="B446" ca="1">INDEX(SystemList,RANDBETWEEN(1,ROWS(SystemList)))</f>
        <v>Regulatory System</v>
      </c>
      <c r="C446" t="str" cm="1">
        <f t="array" aca="1" ref="C446" ca="1">INDEX(IssueTypeList,RANDBETWEEN(1,ROWS(IssueTypeList)))</f>
        <v>Data Issue</v>
      </c>
      <c r="D446" t="str" cm="1">
        <f t="array" aca="1" ref="D446" ca="1">INDEX(PriorityList,RANDBETWEEN(1,ROWS(PriorityList)))</f>
        <v>Low</v>
      </c>
      <c r="E446" t="str" cm="1">
        <f t="array" aca="1" ref="E446" ca="1">INDEX(SeverityList,RANDBETWEEN(1,ROWS(SeverityList)))</f>
        <v>Major</v>
      </c>
      <c r="F446" t="str" cm="1">
        <f t="array" aca="1" ref="F446" ca="1">INDEX(RegionList,RANDBETWEEN(1,ROWS(RegionList)))</f>
        <v>West</v>
      </c>
      <c r="G446" t="str" cm="1">
        <f t="array" aca="1" ref="G446" ca="1">INDEX(DepartmentList,RANDBETWEEN(1,ROWS(DepartmentList)))</f>
        <v>Customer Service</v>
      </c>
      <c r="H446" s="1">
        <f t="shared" ca="1" si="26"/>
        <v>45290</v>
      </c>
      <c r="I446" s="4">
        <f ca="1">IF(IncidentTable[[#This Row],[Resolution Time (Days)]]="","",IncidentTable[[#This Row],[Created Date]]+IncidentTable[[#This Row],[Resolution Time (Days)]])</f>
        <v>45307</v>
      </c>
      <c r="J446">
        <f ca="1">IF(OR(IncidentTable[[#This Row],[Status]]="Resolved",IncidentTable[[#This Row],[Status]]="Closed"),RANDBETWEEN(1,120),"")</f>
        <v>17</v>
      </c>
      <c r="K446" t="str">
        <f t="shared" ca="1" si="24"/>
        <v>Closed</v>
      </c>
      <c r="L446" t="str" cm="1">
        <f t="array" aca="1" ref="L446" ca="1">INDEX(AnalystList,RANDBETWEEN(1,ROWS(AnalystList)))</f>
        <v>Taylor Smith</v>
      </c>
      <c r="M446" t="str" cm="1">
        <f t="array" aca="1" ref="M446" ca="1">INDEX(RootCauseList,RANDBETWEEN(1,ROWS(RootCauseList)))</f>
        <v>Data Error</v>
      </c>
      <c r="N446">
        <f t="shared" ca="1" si="27"/>
        <v>762.29</v>
      </c>
      <c r="O446">
        <f ca="1">IF(OR(IncidentTable[[#This Row],[Status]]="Resolved",IncidentTable[[#This Row],[Status]]="Closed"),
ROUND(IncidentTable[[#This Row],[Estimated Impact ($)]]*(1+RANDBETWEEN(-15,25)/100)+RAND(),2),
"")</f>
        <v>777.83</v>
      </c>
      <c r="P446">
        <f ca="1">IF(IncidentTable[[#This Row],[Actual Impact ($)]]="","",ROUND(IncidentTable[[#This Row],[Actual Impact ($)]]-IncidentTable[[#This Row],[Estimated Impact ($)]],2))</f>
        <v>15.54</v>
      </c>
      <c r="Q446" s="2">
        <f ca="1">IF(IncidentTable[[#This Row],[Actual Impact ($)]]="","",(IncidentTable[[#This Row],[Actual Impact ($)]]-IncidentTable[[#This Row],[Estimated Impact ($)]]) / IncidentTable[[#This Row],[Estimated Impact ($)]])</f>
        <v>2.0385942357895391E-2</v>
      </c>
      <c r="R446" s="3">
        <f ca="1">IF(IncidentTable[[#This Row],[Priority]]="Critical",1,
IF(IncidentTable[[#This Row],[Priority]]="High",3,
IF(IncidentTable[[#This Row],[Priority]]="Medium",5,
IF(IncidentTable[[#This Row],[Priority]]="Low",10,""))))</f>
        <v>10</v>
      </c>
      <c r="S446" t="str">
        <f ca="1">IF(IncidentTable[[#This Row],[Resolution Time (Days)]]="","",
IF(IncidentTable[[#This Row],[Resolution Time (Days)]]&lt;=IncidentTable[[#This Row],[SLA Target (Days)]],"Yes","No"))</f>
        <v>No</v>
      </c>
    </row>
    <row r="447" spans="1:19" x14ac:dyDescent="0.25">
      <c r="A447" t="str">
        <f t="shared" ca="1" si="25"/>
        <v>INC496563</v>
      </c>
      <c r="B447" t="str" cm="1">
        <f t="array" aca="1" ref="B447" ca="1">INDEX(SystemList,RANDBETWEEN(1,ROWS(SystemList)))</f>
        <v>Customer Portal</v>
      </c>
      <c r="C447" t="str" cm="1">
        <f t="array" aca="1" ref="C447" ca="1">INDEX(IssueTypeList,RANDBETWEEN(1,ROWS(IssueTypeList)))</f>
        <v>Payment Failure</v>
      </c>
      <c r="D447" t="str" cm="1">
        <f t="array" aca="1" ref="D447" ca="1">INDEX(PriorityList,RANDBETWEEN(1,ROWS(PriorityList)))</f>
        <v>Medium</v>
      </c>
      <c r="E447" t="str" cm="1">
        <f t="array" aca="1" ref="E447" ca="1">INDEX(SeverityList,RANDBETWEEN(1,ROWS(SeverityList)))</f>
        <v>Moderate</v>
      </c>
      <c r="F447" t="str" cm="1">
        <f t="array" aca="1" ref="F447" ca="1">INDEX(RegionList,RANDBETWEEN(1,ROWS(RegionList)))</f>
        <v>Central</v>
      </c>
      <c r="G447" t="str" cm="1">
        <f t="array" aca="1" ref="G447" ca="1">INDEX(DepartmentList,RANDBETWEEN(1,ROWS(DepartmentList)))</f>
        <v>Finance</v>
      </c>
      <c r="H447" s="1">
        <f t="shared" ca="1" si="26"/>
        <v>45452</v>
      </c>
      <c r="I447" s="4">
        <f ca="1">IF(IncidentTable[[#This Row],[Resolution Time (Days)]]="","",IncidentTable[[#This Row],[Created Date]]+IncidentTable[[#This Row],[Resolution Time (Days)]])</f>
        <v>45517</v>
      </c>
      <c r="J447">
        <f ca="1">IF(OR(IncidentTable[[#This Row],[Status]]="Resolved",IncidentTable[[#This Row],[Status]]="Closed"),RANDBETWEEN(1,120),"")</f>
        <v>65</v>
      </c>
      <c r="K447" t="str">
        <f t="shared" ca="1" si="24"/>
        <v>Resolved</v>
      </c>
      <c r="L447" t="str" cm="1">
        <f t="array" aca="1" ref="L447" ca="1">INDEX(AnalystList,RANDBETWEEN(1,ROWS(AnalystList)))</f>
        <v>Casey Brown</v>
      </c>
      <c r="M447" t="str" cm="1">
        <f t="array" aca="1" ref="M447" ca="1">INDEX(RootCauseList,RANDBETWEEN(1,ROWS(RootCauseList)))</f>
        <v>User Error</v>
      </c>
      <c r="N447">
        <f t="shared" ca="1" si="27"/>
        <v>19232.8</v>
      </c>
      <c r="O447">
        <f ca="1">IF(OR(IncidentTable[[#This Row],[Status]]="Resolved",IncidentTable[[#This Row],[Status]]="Closed"),
ROUND(IncidentTable[[#This Row],[Estimated Impact ($)]]*(1+RANDBETWEEN(-15,25)/100)+RAND(),2),
"")</f>
        <v>19040.55</v>
      </c>
      <c r="P447">
        <f ca="1">IF(IncidentTable[[#This Row],[Actual Impact ($)]]="","",ROUND(IncidentTable[[#This Row],[Actual Impact ($)]]-IncidentTable[[#This Row],[Estimated Impact ($)]],2))</f>
        <v>-192.25</v>
      </c>
      <c r="Q447" s="2">
        <f ca="1">IF(IncidentTable[[#This Row],[Actual Impact ($)]]="","",(IncidentTable[[#This Row],[Actual Impact ($)]]-IncidentTable[[#This Row],[Estimated Impact ($)]]) / IncidentTable[[#This Row],[Estimated Impact ($)]])</f>
        <v>-9.9959444282683753E-3</v>
      </c>
      <c r="R447" s="3">
        <f ca="1">IF(IncidentTable[[#This Row],[Priority]]="Critical",1,
IF(IncidentTable[[#This Row],[Priority]]="High",3,
IF(IncidentTable[[#This Row],[Priority]]="Medium",5,
IF(IncidentTable[[#This Row],[Priority]]="Low",10,""))))</f>
        <v>5</v>
      </c>
      <c r="S447" t="str">
        <f ca="1">IF(IncidentTable[[#This Row],[Resolution Time (Days)]]="","",
IF(IncidentTable[[#This Row],[Resolution Time (Days)]]&lt;=IncidentTable[[#This Row],[SLA Target (Days)]],"Yes","No"))</f>
        <v>No</v>
      </c>
    </row>
    <row r="448" spans="1:19" x14ac:dyDescent="0.25">
      <c r="A448" t="str">
        <f t="shared" ca="1" si="25"/>
        <v>INC574811</v>
      </c>
      <c r="B448" t="str" cm="1">
        <f t="array" aca="1" ref="B448" ca="1">INDEX(SystemList,RANDBETWEEN(1,ROWS(SystemList)))</f>
        <v>Billing System</v>
      </c>
      <c r="C448" t="str" cm="1">
        <f t="array" aca="1" ref="C448" ca="1">INDEX(IssueTypeList,RANDBETWEEN(1,ROWS(IssueTypeList)))</f>
        <v>Payment Failure</v>
      </c>
      <c r="D448" t="str" cm="1">
        <f t="array" aca="1" ref="D448" ca="1">INDEX(PriorityList,RANDBETWEEN(1,ROWS(PriorityList)))</f>
        <v>Medium</v>
      </c>
      <c r="E448" t="str" cm="1">
        <f t="array" aca="1" ref="E448" ca="1">INDEX(SeverityList,RANDBETWEEN(1,ROWS(SeverityList)))</f>
        <v>Moderate</v>
      </c>
      <c r="F448" t="str" cm="1">
        <f t="array" aca="1" ref="F448" ca="1">INDEX(RegionList,RANDBETWEEN(1,ROWS(RegionList)))</f>
        <v>Southeast</v>
      </c>
      <c r="G448" t="str" cm="1">
        <f t="array" aca="1" ref="G448" ca="1">INDEX(DepartmentList,RANDBETWEEN(1,ROWS(DepartmentList)))</f>
        <v>Compliance</v>
      </c>
      <c r="H448" s="1">
        <f t="shared" ca="1" si="26"/>
        <v>45148</v>
      </c>
      <c r="I448" s="4" t="str">
        <f ca="1">IF(IncidentTable[[#This Row],[Resolution Time (Days)]]="","",IncidentTable[[#This Row],[Created Date]]+IncidentTable[[#This Row],[Resolution Time (Days)]])</f>
        <v/>
      </c>
      <c r="J448" t="str">
        <f ca="1">IF(OR(IncidentTable[[#This Row],[Status]]="Resolved",IncidentTable[[#This Row],[Status]]="Closed"),RANDBETWEEN(1,120),"")</f>
        <v/>
      </c>
      <c r="K448" t="str">
        <f t="shared" ca="1" si="24"/>
        <v>Open</v>
      </c>
      <c r="L448" t="str" cm="1">
        <f t="array" aca="1" ref="L448" ca="1">INDEX(AnalystList,RANDBETWEEN(1,ROWS(AnalystList)))</f>
        <v>Morgan Davis</v>
      </c>
      <c r="M448" t="str" cm="1">
        <f t="array" aca="1" ref="M448" ca="1">INDEX(RootCauseList,RANDBETWEEN(1,ROWS(RootCauseList)))</f>
        <v>Unknown</v>
      </c>
      <c r="N448">
        <f t="shared" ca="1" si="27"/>
        <v>274.88</v>
      </c>
      <c r="O448" t="str">
        <f ca="1">IF(OR(IncidentTable[[#This Row],[Status]]="Resolved",IncidentTable[[#This Row],[Status]]="Closed"),
ROUND(IncidentTable[[#This Row],[Estimated Impact ($)]]*(1+RANDBETWEEN(-15,25)/100)+RAND(),2),
"")</f>
        <v/>
      </c>
      <c r="P448" t="str">
        <f ca="1">IF(IncidentTable[[#This Row],[Actual Impact ($)]]="","",ROUND(IncidentTable[[#This Row],[Actual Impact ($)]]-IncidentTable[[#This Row],[Estimated Impact ($)]],2))</f>
        <v/>
      </c>
      <c r="Q448" s="2" t="str">
        <f ca="1">IF(IncidentTable[[#This Row],[Actual Impact ($)]]="","",(IncidentTable[[#This Row],[Actual Impact ($)]]-IncidentTable[[#This Row],[Estimated Impact ($)]]) / IncidentTable[[#This Row],[Estimated Impact ($)]])</f>
        <v/>
      </c>
      <c r="R448" s="3">
        <f ca="1">IF(IncidentTable[[#This Row],[Priority]]="Critical",1,
IF(IncidentTable[[#This Row],[Priority]]="High",3,
IF(IncidentTable[[#This Row],[Priority]]="Medium",5,
IF(IncidentTable[[#This Row],[Priority]]="Low",10,""))))</f>
        <v>5</v>
      </c>
      <c r="S448" t="str">
        <f ca="1">IF(IncidentTable[[#This Row],[Resolution Time (Days)]]="","",
IF(IncidentTable[[#This Row],[Resolution Time (Days)]]&lt;=IncidentTable[[#This Row],[SLA Target (Days)]],"Yes","No"))</f>
        <v/>
      </c>
    </row>
    <row r="449" spans="1:19" x14ac:dyDescent="0.25">
      <c r="A449" t="str">
        <f t="shared" ca="1" si="25"/>
        <v>INC728255</v>
      </c>
      <c r="B449" t="str" cm="1">
        <f t="array" aca="1" ref="B449" ca="1">INDEX(SystemList,RANDBETWEEN(1,ROWS(SystemList)))</f>
        <v>Customer Portal</v>
      </c>
      <c r="C449" t="str" cm="1">
        <f t="array" aca="1" ref="C449" ca="1">INDEX(IssueTypeList,RANDBETWEEN(1,ROWS(IssueTypeList)))</f>
        <v>User Access Issue</v>
      </c>
      <c r="D449" t="str" cm="1">
        <f t="array" aca="1" ref="D449" ca="1">INDEX(PriorityList,RANDBETWEEN(1,ROWS(PriorityList)))</f>
        <v>Medium</v>
      </c>
      <c r="E449" t="str" cm="1">
        <f t="array" aca="1" ref="E449" ca="1">INDEX(SeverityList,RANDBETWEEN(1,ROWS(SeverityList)))</f>
        <v>Critical</v>
      </c>
      <c r="F449" t="str" cm="1">
        <f t="array" aca="1" ref="F449" ca="1">INDEX(RegionList,RANDBETWEEN(1,ROWS(RegionList)))</f>
        <v>East</v>
      </c>
      <c r="G449" t="str" cm="1">
        <f t="array" aca="1" ref="G449" ca="1">INDEX(DepartmentList,RANDBETWEEN(1,ROWS(DepartmentList)))</f>
        <v>Customer Service</v>
      </c>
      <c r="H449" s="1">
        <f t="shared" ca="1" si="26"/>
        <v>45245</v>
      </c>
      <c r="I449" s="4">
        <f ca="1">IF(IncidentTable[[#This Row],[Resolution Time (Days)]]="","",IncidentTable[[#This Row],[Created Date]]+IncidentTable[[#This Row],[Resolution Time (Days)]])</f>
        <v>45255</v>
      </c>
      <c r="J449">
        <f ca="1">IF(OR(IncidentTable[[#This Row],[Status]]="Resolved",IncidentTable[[#This Row],[Status]]="Closed"),RANDBETWEEN(1,120),"")</f>
        <v>10</v>
      </c>
      <c r="K449" t="str">
        <f t="shared" ca="1" si="24"/>
        <v>Resolved</v>
      </c>
      <c r="L449" t="str" cm="1">
        <f t="array" aca="1" ref="L449" ca="1">INDEX(AnalystList,RANDBETWEEN(1,ROWS(AnalystList)))</f>
        <v>Jordan Lee</v>
      </c>
      <c r="M449" t="str" cm="1">
        <f t="array" aca="1" ref="M449" ca="1">INDEX(RootCauseList,RANDBETWEEN(1,ROWS(RootCauseList)))</f>
        <v>Integration Failure</v>
      </c>
      <c r="N449">
        <f t="shared" ca="1" si="27"/>
        <v>30305.45</v>
      </c>
      <c r="O449">
        <f ca="1">IF(OR(IncidentTable[[#This Row],[Status]]="Resolved",IncidentTable[[#This Row],[Status]]="Closed"),
ROUND(IncidentTable[[#This Row],[Estimated Impact ($)]]*(1+RANDBETWEEN(-15,25)/100)+RAND(),2),
"")</f>
        <v>32123.95</v>
      </c>
      <c r="P449">
        <f ca="1">IF(IncidentTable[[#This Row],[Actual Impact ($)]]="","",ROUND(IncidentTable[[#This Row],[Actual Impact ($)]]-IncidentTable[[#This Row],[Estimated Impact ($)]],2))</f>
        <v>1818.5</v>
      </c>
      <c r="Q449" s="2">
        <f ca="1">IF(IncidentTable[[#This Row],[Actual Impact ($)]]="","",(IncidentTable[[#This Row],[Actual Impact ($)]]-IncidentTable[[#This Row],[Estimated Impact ($)]]) / IncidentTable[[#This Row],[Estimated Impact ($)]])</f>
        <v>6.0005708544172746E-2</v>
      </c>
      <c r="R449" s="3">
        <f ca="1">IF(IncidentTable[[#This Row],[Priority]]="Critical",1,
IF(IncidentTable[[#This Row],[Priority]]="High",3,
IF(IncidentTable[[#This Row],[Priority]]="Medium",5,
IF(IncidentTable[[#This Row],[Priority]]="Low",10,""))))</f>
        <v>5</v>
      </c>
      <c r="S449" t="str">
        <f ca="1">IF(IncidentTable[[#This Row],[Resolution Time (Days)]]="","",
IF(IncidentTable[[#This Row],[Resolution Time (Days)]]&lt;=IncidentTable[[#This Row],[SLA Target (Days)]],"Yes","No"))</f>
        <v>No</v>
      </c>
    </row>
    <row r="450" spans="1:19" x14ac:dyDescent="0.25">
      <c r="A450" t="str">
        <f t="shared" ca="1" si="25"/>
        <v>INC272090</v>
      </c>
      <c r="B450" t="str" cm="1">
        <f t="array" aca="1" ref="B450" ca="1">INDEX(SystemList,RANDBETWEEN(1,ROWS(SystemList)))</f>
        <v>Customer Portal</v>
      </c>
      <c r="C450" t="str" cm="1">
        <f t="array" aca="1" ref="C450" ca="1">INDEX(IssueTypeList,RANDBETWEEN(1,ROWS(IssueTypeList)))</f>
        <v>Performance Issue</v>
      </c>
      <c r="D450" t="str" cm="1">
        <f t="array" aca="1" ref="D450" ca="1">INDEX(PriorityList,RANDBETWEEN(1,ROWS(PriorityList)))</f>
        <v>Low</v>
      </c>
      <c r="E450" t="str" cm="1">
        <f t="array" aca="1" ref="E450" ca="1">INDEX(SeverityList,RANDBETWEEN(1,ROWS(SeverityList)))</f>
        <v>Critical</v>
      </c>
      <c r="F450" t="str" cm="1">
        <f t="array" aca="1" ref="F450" ca="1">INDEX(RegionList,RANDBETWEEN(1,ROWS(RegionList)))</f>
        <v>Midwest</v>
      </c>
      <c r="G450" t="str" cm="1">
        <f t="array" aca="1" ref="G450" ca="1">INDEX(DepartmentList,RANDBETWEEN(1,ROWS(DepartmentList)))</f>
        <v>IT</v>
      </c>
      <c r="H450" s="1">
        <f t="shared" ca="1" si="26"/>
        <v>45008</v>
      </c>
      <c r="I450" s="4">
        <f ca="1">IF(IncidentTable[[#This Row],[Resolution Time (Days)]]="","",IncidentTable[[#This Row],[Created Date]]+IncidentTable[[#This Row],[Resolution Time (Days)]])</f>
        <v>45040</v>
      </c>
      <c r="J450">
        <f ca="1">IF(OR(IncidentTable[[#This Row],[Status]]="Resolved",IncidentTable[[#This Row],[Status]]="Closed"),RANDBETWEEN(1,120),"")</f>
        <v>32</v>
      </c>
      <c r="K450" t="str">
        <f t="shared" ref="K450:K500" ca="1" si="28">CHOOSE(RANDBETWEEN(1,5),"Open","In Progress","Pending","Resolved","Closed")</f>
        <v>Closed</v>
      </c>
      <c r="L450" t="str" cm="1">
        <f t="array" aca="1" ref="L450" ca="1">INDEX(AnalystList,RANDBETWEEN(1,ROWS(AnalystList)))</f>
        <v>Jordan Lee</v>
      </c>
      <c r="M450" t="str" cm="1">
        <f t="array" aca="1" ref="M450" ca="1">INDEX(RootCauseList,RANDBETWEEN(1,ROWS(RootCauseList)))</f>
        <v>Data Error</v>
      </c>
      <c r="N450">
        <f t="shared" ca="1" si="27"/>
        <v>10.83</v>
      </c>
      <c r="O450">
        <f ca="1">IF(OR(IncidentTable[[#This Row],[Status]]="Resolved",IncidentTable[[#This Row],[Status]]="Closed"),
ROUND(IncidentTable[[#This Row],[Estimated Impact ($)]]*(1+RANDBETWEEN(-15,25)/100)+RAND(),2),
"")</f>
        <v>10.76</v>
      </c>
      <c r="P450">
        <f ca="1">IF(IncidentTable[[#This Row],[Actual Impact ($)]]="","",ROUND(IncidentTable[[#This Row],[Actual Impact ($)]]-IncidentTable[[#This Row],[Estimated Impact ($)]],2))</f>
        <v>-7.0000000000000007E-2</v>
      </c>
      <c r="Q450" s="2">
        <f ca="1">IF(IncidentTable[[#This Row],[Actual Impact ($)]]="","",(IncidentTable[[#This Row],[Actual Impact ($)]]-IncidentTable[[#This Row],[Estimated Impact ($)]]) / IncidentTable[[#This Row],[Estimated Impact ($)]])</f>
        <v>-6.4635272391505337E-3</v>
      </c>
      <c r="R450" s="3">
        <f ca="1">IF(IncidentTable[[#This Row],[Priority]]="Critical",1,
IF(IncidentTable[[#This Row],[Priority]]="High",3,
IF(IncidentTable[[#This Row],[Priority]]="Medium",5,
IF(IncidentTable[[#This Row],[Priority]]="Low",10,""))))</f>
        <v>10</v>
      </c>
      <c r="S450" t="str">
        <f ca="1">IF(IncidentTable[[#This Row],[Resolution Time (Days)]]="","",
IF(IncidentTable[[#This Row],[Resolution Time (Days)]]&lt;=IncidentTable[[#This Row],[SLA Target (Days)]],"Yes","No"))</f>
        <v>No</v>
      </c>
    </row>
    <row r="451" spans="1:19" x14ac:dyDescent="0.25">
      <c r="A451" t="str">
        <f t="shared" ref="A451:A500" ca="1" si="29">"INC"&amp;TEXT(RANDBETWEEN(100000,999999),"000000")</f>
        <v>INC298575</v>
      </c>
      <c r="B451" t="str" cm="1">
        <f t="array" aca="1" ref="B451" ca="1">INDEX(SystemList,RANDBETWEEN(1,ROWS(SystemList)))</f>
        <v>Payment Processing</v>
      </c>
      <c r="C451" t="str" cm="1">
        <f t="array" aca="1" ref="C451" ca="1">INDEX(IssueTypeList,RANDBETWEEN(1,ROWS(IssueTypeList)))</f>
        <v>Performance Issue</v>
      </c>
      <c r="D451" t="str" cm="1">
        <f t="array" aca="1" ref="D451" ca="1">INDEX(PriorityList,RANDBETWEEN(1,ROWS(PriorityList)))</f>
        <v>Critical</v>
      </c>
      <c r="E451" t="str" cm="1">
        <f t="array" aca="1" ref="E451" ca="1">INDEX(SeverityList,RANDBETWEEN(1,ROWS(SeverityList)))</f>
        <v>Minor</v>
      </c>
      <c r="F451" t="str" cm="1">
        <f t="array" aca="1" ref="F451" ca="1">INDEX(RegionList,RANDBETWEEN(1,ROWS(RegionList)))</f>
        <v>West</v>
      </c>
      <c r="G451" t="str" cm="1">
        <f t="array" aca="1" ref="G451" ca="1">INDEX(DepartmentList,RANDBETWEEN(1,ROWS(DepartmentList)))</f>
        <v>Billing</v>
      </c>
      <c r="H451" s="1">
        <f t="shared" ref="H451:H500" ca="1" si="30">DATE(2023,1,1)+RANDBETWEEN(0,545)</f>
        <v>45351</v>
      </c>
      <c r="I451" s="4">
        <f ca="1">IF(IncidentTable[[#This Row],[Resolution Time (Days)]]="","",IncidentTable[[#This Row],[Created Date]]+IncidentTable[[#This Row],[Resolution Time (Days)]])</f>
        <v>45440</v>
      </c>
      <c r="J451">
        <f ca="1">IF(OR(IncidentTable[[#This Row],[Status]]="Resolved",IncidentTable[[#This Row],[Status]]="Closed"),RANDBETWEEN(1,120),"")</f>
        <v>89</v>
      </c>
      <c r="K451" t="str">
        <f t="shared" ca="1" si="28"/>
        <v>Closed</v>
      </c>
      <c r="L451" t="str" cm="1">
        <f t="array" aca="1" ref="L451" ca="1">INDEX(AnalystList,RANDBETWEEN(1,ROWS(AnalystList)))</f>
        <v>Riley Wilson</v>
      </c>
      <c r="M451" t="str" cm="1">
        <f t="array" aca="1" ref="M451" ca="1">INDEX(RootCauseList,RANDBETWEEN(1,ROWS(RootCauseList)))</f>
        <v>User Error</v>
      </c>
      <c r="N451">
        <f t="shared" ref="N451:N500" ca="1" si="31">ROUND(RANDBETWEEN(500,50000)*(RAND()^3),2)</f>
        <v>1412.32</v>
      </c>
      <c r="O451">
        <f ca="1">IF(OR(IncidentTable[[#This Row],[Status]]="Resolved",IncidentTable[[#This Row],[Status]]="Closed"),
ROUND(IncidentTable[[#This Row],[Estimated Impact ($)]]*(1+RANDBETWEEN(-15,25)/100)+RAND(),2),
"")</f>
        <v>1483.27</v>
      </c>
      <c r="P451">
        <f ca="1">IF(IncidentTable[[#This Row],[Actual Impact ($)]]="","",ROUND(IncidentTable[[#This Row],[Actual Impact ($)]]-IncidentTable[[#This Row],[Estimated Impact ($)]],2))</f>
        <v>70.95</v>
      </c>
      <c r="Q451" s="2">
        <f ca="1">IF(IncidentTable[[#This Row],[Actual Impact ($)]]="","",(IncidentTable[[#This Row],[Actual Impact ($)]]-IncidentTable[[#This Row],[Estimated Impact ($)]]) / IncidentTable[[#This Row],[Estimated Impact ($)]])</f>
        <v>5.0236490313809938E-2</v>
      </c>
      <c r="R451" s="3">
        <f ca="1">IF(IncidentTable[[#This Row],[Priority]]="Critical",1,
IF(IncidentTable[[#This Row],[Priority]]="High",3,
IF(IncidentTable[[#This Row],[Priority]]="Medium",5,
IF(IncidentTable[[#This Row],[Priority]]="Low",10,""))))</f>
        <v>1</v>
      </c>
      <c r="S451" t="str">
        <f ca="1">IF(IncidentTable[[#This Row],[Resolution Time (Days)]]="","",
IF(IncidentTable[[#This Row],[Resolution Time (Days)]]&lt;=IncidentTable[[#This Row],[SLA Target (Days)]],"Yes","No"))</f>
        <v>No</v>
      </c>
    </row>
    <row r="452" spans="1:19" x14ac:dyDescent="0.25">
      <c r="A452" t="str">
        <f t="shared" ca="1" si="29"/>
        <v>INC153774</v>
      </c>
      <c r="B452" t="str" cm="1">
        <f t="array" aca="1" ref="B452" ca="1">INDEX(SystemList,RANDBETWEEN(1,ROWS(SystemList)))</f>
        <v>Payment Processing</v>
      </c>
      <c r="C452" t="str" cm="1">
        <f t="array" aca="1" ref="C452" ca="1">INDEX(IssueTypeList,RANDBETWEEN(1,ROWS(IssueTypeList)))</f>
        <v>Integration Failure</v>
      </c>
      <c r="D452" t="str" cm="1">
        <f t="array" aca="1" ref="D452" ca="1">INDEX(PriorityList,RANDBETWEEN(1,ROWS(PriorityList)))</f>
        <v>Low</v>
      </c>
      <c r="E452" t="str" cm="1">
        <f t="array" aca="1" ref="E452" ca="1">INDEX(SeverityList,RANDBETWEEN(1,ROWS(SeverityList)))</f>
        <v>Minor</v>
      </c>
      <c r="F452" t="str" cm="1">
        <f t="array" aca="1" ref="F452" ca="1">INDEX(RegionList,RANDBETWEEN(1,ROWS(RegionList)))</f>
        <v>East</v>
      </c>
      <c r="G452" t="str" cm="1">
        <f t="array" aca="1" ref="G452" ca="1">INDEX(DepartmentList,RANDBETWEEN(1,ROWS(DepartmentList)))</f>
        <v>Customer Service</v>
      </c>
      <c r="H452" s="1">
        <f t="shared" ca="1" si="30"/>
        <v>45247</v>
      </c>
      <c r="I452" s="4">
        <f ca="1">IF(IncidentTable[[#This Row],[Resolution Time (Days)]]="","",IncidentTable[[#This Row],[Created Date]]+IncidentTable[[#This Row],[Resolution Time (Days)]])</f>
        <v>45341</v>
      </c>
      <c r="J452">
        <f ca="1">IF(OR(IncidentTable[[#This Row],[Status]]="Resolved",IncidentTable[[#This Row],[Status]]="Closed"),RANDBETWEEN(1,120),"")</f>
        <v>94</v>
      </c>
      <c r="K452" t="str">
        <f t="shared" ca="1" si="28"/>
        <v>Closed</v>
      </c>
      <c r="L452" t="str" cm="1">
        <f t="array" aca="1" ref="L452" ca="1">INDEX(AnalystList,RANDBETWEEN(1,ROWS(AnalystList)))</f>
        <v>Alex Johnson</v>
      </c>
      <c r="M452" t="str" cm="1">
        <f t="array" aca="1" ref="M452" ca="1">INDEX(RootCauseList,RANDBETWEEN(1,ROWS(RootCauseList)))</f>
        <v>Network Failure</v>
      </c>
      <c r="N452">
        <f t="shared" ca="1" si="31"/>
        <v>0.56000000000000005</v>
      </c>
      <c r="O452">
        <f ca="1">IF(OR(IncidentTable[[#This Row],[Status]]="Resolved",IncidentTable[[#This Row],[Status]]="Closed"),
ROUND(IncidentTable[[#This Row],[Estimated Impact ($)]]*(1+RANDBETWEEN(-15,25)/100)+RAND(),2),
"")</f>
        <v>1.21</v>
      </c>
      <c r="P452">
        <f ca="1">IF(IncidentTable[[#This Row],[Actual Impact ($)]]="","",ROUND(IncidentTable[[#This Row],[Actual Impact ($)]]-IncidentTable[[#This Row],[Estimated Impact ($)]],2))</f>
        <v>0.65</v>
      </c>
      <c r="Q452" s="2">
        <f ca="1">IF(IncidentTable[[#This Row],[Actual Impact ($)]]="","",(IncidentTable[[#This Row],[Actual Impact ($)]]-IncidentTable[[#This Row],[Estimated Impact ($)]]) / IncidentTable[[#This Row],[Estimated Impact ($)]])</f>
        <v>1.1607142857142854</v>
      </c>
      <c r="R452" s="3">
        <f ca="1">IF(IncidentTable[[#This Row],[Priority]]="Critical",1,
IF(IncidentTable[[#This Row],[Priority]]="High",3,
IF(IncidentTable[[#This Row],[Priority]]="Medium",5,
IF(IncidentTable[[#This Row],[Priority]]="Low",10,""))))</f>
        <v>10</v>
      </c>
      <c r="S452" t="str">
        <f ca="1">IF(IncidentTable[[#This Row],[Resolution Time (Days)]]="","",
IF(IncidentTable[[#This Row],[Resolution Time (Days)]]&lt;=IncidentTable[[#This Row],[SLA Target (Days)]],"Yes","No"))</f>
        <v>No</v>
      </c>
    </row>
    <row r="453" spans="1:19" x14ac:dyDescent="0.25">
      <c r="A453" t="str">
        <f t="shared" ca="1" si="29"/>
        <v>INC537557</v>
      </c>
      <c r="B453" t="str" cm="1">
        <f t="array" aca="1" ref="B453" ca="1">INDEX(SystemList,RANDBETWEEN(1,ROWS(SystemList)))</f>
        <v>Policy Admin System</v>
      </c>
      <c r="C453" t="str" cm="1">
        <f t="array" aca="1" ref="C453" ca="1">INDEX(IssueTypeList,RANDBETWEEN(1,ROWS(IssueTypeList)))</f>
        <v>Processing Delay</v>
      </c>
      <c r="D453" t="str" cm="1">
        <f t="array" aca="1" ref="D453" ca="1">INDEX(PriorityList,RANDBETWEEN(1,ROWS(PriorityList)))</f>
        <v>High</v>
      </c>
      <c r="E453" t="str" cm="1">
        <f t="array" aca="1" ref="E453" ca="1">INDEX(SeverityList,RANDBETWEEN(1,ROWS(SeverityList)))</f>
        <v>Critical</v>
      </c>
      <c r="F453" t="str" cm="1">
        <f t="array" aca="1" ref="F453" ca="1">INDEX(RegionList,RANDBETWEEN(1,ROWS(RegionList)))</f>
        <v>East</v>
      </c>
      <c r="G453" t="str" cm="1">
        <f t="array" aca="1" ref="G453" ca="1">INDEX(DepartmentList,RANDBETWEEN(1,ROWS(DepartmentList)))</f>
        <v>Finance</v>
      </c>
      <c r="H453" s="1">
        <f t="shared" ca="1" si="30"/>
        <v>45163</v>
      </c>
      <c r="I453" s="4" t="str">
        <f ca="1">IF(IncidentTable[[#This Row],[Resolution Time (Days)]]="","",IncidentTable[[#This Row],[Created Date]]+IncidentTable[[#This Row],[Resolution Time (Days)]])</f>
        <v/>
      </c>
      <c r="J453" t="str">
        <f ca="1">IF(OR(IncidentTable[[#This Row],[Status]]="Resolved",IncidentTable[[#This Row],[Status]]="Closed"),RANDBETWEEN(1,120),"")</f>
        <v/>
      </c>
      <c r="K453" t="str">
        <f t="shared" ca="1" si="28"/>
        <v>Pending</v>
      </c>
      <c r="L453" t="str" cm="1">
        <f t="array" aca="1" ref="L453" ca="1">INDEX(AnalystList,RANDBETWEEN(1,ROWS(AnalystList)))</f>
        <v>Riley Wilson</v>
      </c>
      <c r="M453" t="str" cm="1">
        <f t="array" aca="1" ref="M453" ca="1">INDEX(RootCauseList,RANDBETWEEN(1,ROWS(RootCauseList)))</f>
        <v>Network Failure</v>
      </c>
      <c r="N453">
        <f t="shared" ca="1" si="31"/>
        <v>6512.05</v>
      </c>
      <c r="O453" t="str">
        <f ca="1">IF(OR(IncidentTable[[#This Row],[Status]]="Resolved",IncidentTable[[#This Row],[Status]]="Closed"),
ROUND(IncidentTable[[#This Row],[Estimated Impact ($)]]*(1+RANDBETWEEN(-15,25)/100)+RAND(),2),
"")</f>
        <v/>
      </c>
      <c r="P453" t="str">
        <f ca="1">IF(IncidentTable[[#This Row],[Actual Impact ($)]]="","",ROUND(IncidentTable[[#This Row],[Actual Impact ($)]]-IncidentTable[[#This Row],[Estimated Impact ($)]],2))</f>
        <v/>
      </c>
      <c r="Q453" s="2" t="str">
        <f ca="1">IF(IncidentTable[[#This Row],[Actual Impact ($)]]="","",(IncidentTable[[#This Row],[Actual Impact ($)]]-IncidentTable[[#This Row],[Estimated Impact ($)]]) / IncidentTable[[#This Row],[Estimated Impact ($)]])</f>
        <v/>
      </c>
      <c r="R453" s="3">
        <f ca="1">IF(IncidentTable[[#This Row],[Priority]]="Critical",1,
IF(IncidentTable[[#This Row],[Priority]]="High",3,
IF(IncidentTable[[#This Row],[Priority]]="Medium",5,
IF(IncidentTable[[#This Row],[Priority]]="Low",10,""))))</f>
        <v>3</v>
      </c>
      <c r="S453" t="str">
        <f ca="1">IF(IncidentTable[[#This Row],[Resolution Time (Days)]]="","",
IF(IncidentTable[[#This Row],[Resolution Time (Days)]]&lt;=IncidentTable[[#This Row],[SLA Target (Days)]],"Yes","No"))</f>
        <v/>
      </c>
    </row>
    <row r="454" spans="1:19" x14ac:dyDescent="0.25">
      <c r="A454" t="str">
        <f t="shared" ca="1" si="29"/>
        <v>INC690783</v>
      </c>
      <c r="B454" t="str" cm="1">
        <f t="array" aca="1" ref="B454" ca="1">INDEX(SystemList,RANDBETWEEN(1,ROWS(SystemList)))</f>
        <v>Customer Portal</v>
      </c>
      <c r="C454" t="str" cm="1">
        <f t="array" aca="1" ref="C454" ca="1">INDEX(IssueTypeList,RANDBETWEEN(1,ROWS(IssueTypeList)))</f>
        <v>Performance Issue</v>
      </c>
      <c r="D454" t="str" cm="1">
        <f t="array" aca="1" ref="D454" ca="1">INDEX(PriorityList,RANDBETWEEN(1,ROWS(PriorityList)))</f>
        <v>High</v>
      </c>
      <c r="E454" t="str" cm="1">
        <f t="array" aca="1" ref="E454" ca="1">INDEX(SeverityList,RANDBETWEEN(1,ROWS(SeverityList)))</f>
        <v>Major</v>
      </c>
      <c r="F454" t="str" cm="1">
        <f t="array" aca="1" ref="F454" ca="1">INDEX(RegionList,RANDBETWEEN(1,ROWS(RegionList)))</f>
        <v>Midwest</v>
      </c>
      <c r="G454" t="str" cm="1">
        <f t="array" aca="1" ref="G454" ca="1">INDEX(DepartmentList,RANDBETWEEN(1,ROWS(DepartmentList)))</f>
        <v>Compliance</v>
      </c>
      <c r="H454" s="1">
        <f t="shared" ca="1" si="30"/>
        <v>45185</v>
      </c>
      <c r="I454" s="4" t="str">
        <f ca="1">IF(IncidentTable[[#This Row],[Resolution Time (Days)]]="","",IncidentTable[[#This Row],[Created Date]]+IncidentTable[[#This Row],[Resolution Time (Days)]])</f>
        <v/>
      </c>
      <c r="J454" t="str">
        <f ca="1">IF(OR(IncidentTable[[#This Row],[Status]]="Resolved",IncidentTable[[#This Row],[Status]]="Closed"),RANDBETWEEN(1,120),"")</f>
        <v/>
      </c>
      <c r="K454" t="str">
        <f t="shared" ca="1" si="28"/>
        <v>Pending</v>
      </c>
      <c r="L454" t="str" cm="1">
        <f t="array" aca="1" ref="L454" ca="1">INDEX(AnalystList,RANDBETWEEN(1,ROWS(AnalystList)))</f>
        <v>Riley Wilson</v>
      </c>
      <c r="M454" t="str" cm="1">
        <f t="array" aca="1" ref="M454" ca="1">INDEX(RootCauseList,RANDBETWEEN(1,ROWS(RootCauseList)))</f>
        <v>Data Error</v>
      </c>
      <c r="N454">
        <f t="shared" ca="1" si="31"/>
        <v>1055.05</v>
      </c>
      <c r="O454" t="str">
        <f ca="1">IF(OR(IncidentTable[[#This Row],[Status]]="Resolved",IncidentTable[[#This Row],[Status]]="Closed"),
ROUND(IncidentTable[[#This Row],[Estimated Impact ($)]]*(1+RANDBETWEEN(-15,25)/100)+RAND(),2),
"")</f>
        <v/>
      </c>
      <c r="P454" t="str">
        <f ca="1">IF(IncidentTable[[#This Row],[Actual Impact ($)]]="","",ROUND(IncidentTable[[#This Row],[Actual Impact ($)]]-IncidentTable[[#This Row],[Estimated Impact ($)]],2))</f>
        <v/>
      </c>
      <c r="Q454" s="2" t="str">
        <f ca="1">IF(IncidentTable[[#This Row],[Actual Impact ($)]]="","",(IncidentTable[[#This Row],[Actual Impact ($)]]-IncidentTable[[#This Row],[Estimated Impact ($)]]) / IncidentTable[[#This Row],[Estimated Impact ($)]])</f>
        <v/>
      </c>
      <c r="R454" s="3">
        <f ca="1">IF(IncidentTable[[#This Row],[Priority]]="Critical",1,
IF(IncidentTable[[#This Row],[Priority]]="High",3,
IF(IncidentTable[[#This Row],[Priority]]="Medium",5,
IF(IncidentTable[[#This Row],[Priority]]="Low",10,""))))</f>
        <v>3</v>
      </c>
      <c r="S454" t="str">
        <f ca="1">IF(IncidentTable[[#This Row],[Resolution Time (Days)]]="","",
IF(IncidentTable[[#This Row],[Resolution Time (Days)]]&lt;=IncidentTable[[#This Row],[SLA Target (Days)]],"Yes","No"))</f>
        <v/>
      </c>
    </row>
    <row r="455" spans="1:19" x14ac:dyDescent="0.25">
      <c r="A455" t="str">
        <f t="shared" ca="1" si="29"/>
        <v>INC808236</v>
      </c>
      <c r="B455" t="str" cm="1">
        <f t="array" aca="1" ref="B455" ca="1">INDEX(SystemList,RANDBETWEEN(1,ROWS(SystemList)))</f>
        <v>Billing System</v>
      </c>
      <c r="C455" t="str" cm="1">
        <f t="array" aca="1" ref="C455" ca="1">INDEX(IssueTypeList,RANDBETWEEN(1,ROWS(IssueTypeList)))</f>
        <v>System Error</v>
      </c>
      <c r="D455" t="str" cm="1">
        <f t="array" aca="1" ref="D455" ca="1">INDEX(PriorityList,RANDBETWEEN(1,ROWS(PriorityList)))</f>
        <v>Critical</v>
      </c>
      <c r="E455" t="str" cm="1">
        <f t="array" aca="1" ref="E455" ca="1">INDEX(SeverityList,RANDBETWEEN(1,ROWS(SeverityList)))</f>
        <v>Moderate</v>
      </c>
      <c r="F455" t="str" cm="1">
        <f t="array" aca="1" ref="F455" ca="1">INDEX(RegionList,RANDBETWEEN(1,ROWS(RegionList)))</f>
        <v>East</v>
      </c>
      <c r="G455" t="str" cm="1">
        <f t="array" aca="1" ref="G455" ca="1">INDEX(DepartmentList,RANDBETWEEN(1,ROWS(DepartmentList)))</f>
        <v>Claims</v>
      </c>
      <c r="H455" s="1">
        <f t="shared" ca="1" si="30"/>
        <v>45168</v>
      </c>
      <c r="I455" s="4" t="str">
        <f ca="1">IF(IncidentTable[[#This Row],[Resolution Time (Days)]]="","",IncidentTable[[#This Row],[Created Date]]+IncidentTable[[#This Row],[Resolution Time (Days)]])</f>
        <v/>
      </c>
      <c r="J455" t="str">
        <f ca="1">IF(OR(IncidentTable[[#This Row],[Status]]="Resolved",IncidentTable[[#This Row],[Status]]="Closed"),RANDBETWEEN(1,120),"")</f>
        <v/>
      </c>
      <c r="K455" t="str">
        <f t="shared" ca="1" si="28"/>
        <v>In Progress</v>
      </c>
      <c r="L455" t="str" cm="1">
        <f t="array" aca="1" ref="L455" ca="1">INDEX(AnalystList,RANDBETWEEN(1,ROWS(AnalystList)))</f>
        <v>Casey Brown</v>
      </c>
      <c r="M455" t="str" cm="1">
        <f t="array" aca="1" ref="M455" ca="1">INDEX(RootCauseList,RANDBETWEEN(1,ROWS(RootCauseList)))</f>
        <v>Configuration Issue</v>
      </c>
      <c r="N455">
        <f t="shared" ca="1" si="31"/>
        <v>2351.87</v>
      </c>
      <c r="O455" t="str">
        <f ca="1">IF(OR(IncidentTable[[#This Row],[Status]]="Resolved",IncidentTable[[#This Row],[Status]]="Closed"),
ROUND(IncidentTable[[#This Row],[Estimated Impact ($)]]*(1+RANDBETWEEN(-15,25)/100)+RAND(),2),
"")</f>
        <v/>
      </c>
      <c r="P455" t="str">
        <f ca="1">IF(IncidentTable[[#This Row],[Actual Impact ($)]]="","",ROUND(IncidentTable[[#This Row],[Actual Impact ($)]]-IncidentTable[[#This Row],[Estimated Impact ($)]],2))</f>
        <v/>
      </c>
      <c r="Q455" s="2" t="str">
        <f ca="1">IF(IncidentTable[[#This Row],[Actual Impact ($)]]="","",(IncidentTable[[#This Row],[Actual Impact ($)]]-IncidentTable[[#This Row],[Estimated Impact ($)]]) / IncidentTable[[#This Row],[Estimated Impact ($)]])</f>
        <v/>
      </c>
      <c r="R455" s="3">
        <f ca="1">IF(IncidentTable[[#This Row],[Priority]]="Critical",1,
IF(IncidentTable[[#This Row],[Priority]]="High",3,
IF(IncidentTable[[#This Row],[Priority]]="Medium",5,
IF(IncidentTable[[#This Row],[Priority]]="Low",10,""))))</f>
        <v>1</v>
      </c>
      <c r="S455" t="str">
        <f ca="1">IF(IncidentTable[[#This Row],[Resolution Time (Days)]]="","",
IF(IncidentTable[[#This Row],[Resolution Time (Days)]]&lt;=IncidentTable[[#This Row],[SLA Target (Days)]],"Yes","No"))</f>
        <v/>
      </c>
    </row>
    <row r="456" spans="1:19" x14ac:dyDescent="0.25">
      <c r="A456" t="str">
        <f t="shared" ca="1" si="29"/>
        <v>INC370012</v>
      </c>
      <c r="B456" t="str" cm="1">
        <f t="array" aca="1" ref="B456" ca="1">INDEX(SystemList,RANDBETWEEN(1,ROWS(SystemList)))</f>
        <v>Customer Portal</v>
      </c>
      <c r="C456" t="str" cm="1">
        <f t="array" aca="1" ref="C456" ca="1">INDEX(IssueTypeList,RANDBETWEEN(1,ROWS(IssueTypeList)))</f>
        <v>System Error</v>
      </c>
      <c r="D456" t="str" cm="1">
        <f t="array" aca="1" ref="D456" ca="1">INDEX(PriorityList,RANDBETWEEN(1,ROWS(PriorityList)))</f>
        <v>Medium</v>
      </c>
      <c r="E456" t="str" cm="1">
        <f t="array" aca="1" ref="E456" ca="1">INDEX(SeverityList,RANDBETWEEN(1,ROWS(SeverityList)))</f>
        <v>Moderate</v>
      </c>
      <c r="F456" t="str" cm="1">
        <f t="array" aca="1" ref="F456" ca="1">INDEX(RegionList,RANDBETWEEN(1,ROWS(RegionList)))</f>
        <v>East</v>
      </c>
      <c r="G456" t="str" cm="1">
        <f t="array" aca="1" ref="G456" ca="1">INDEX(DepartmentList,RANDBETWEEN(1,ROWS(DepartmentList)))</f>
        <v>IT</v>
      </c>
      <c r="H456" s="1">
        <f t="shared" ca="1" si="30"/>
        <v>45026</v>
      </c>
      <c r="I456" s="4" t="str">
        <f ca="1">IF(IncidentTable[[#This Row],[Resolution Time (Days)]]="","",IncidentTable[[#This Row],[Created Date]]+IncidentTable[[#This Row],[Resolution Time (Days)]])</f>
        <v/>
      </c>
      <c r="J456" t="str">
        <f ca="1">IF(OR(IncidentTable[[#This Row],[Status]]="Resolved",IncidentTable[[#This Row],[Status]]="Closed"),RANDBETWEEN(1,120),"")</f>
        <v/>
      </c>
      <c r="K456" t="str">
        <f t="shared" ca="1" si="28"/>
        <v>Open</v>
      </c>
      <c r="L456" t="str" cm="1">
        <f t="array" aca="1" ref="L456" ca="1">INDEX(AnalystList,RANDBETWEEN(1,ROWS(AnalystList)))</f>
        <v>Taylor Smith</v>
      </c>
      <c r="M456" t="str" cm="1">
        <f t="array" aca="1" ref="M456" ca="1">INDEX(RootCauseList,RANDBETWEEN(1,ROWS(RootCauseList)))</f>
        <v>Data Error</v>
      </c>
      <c r="N456">
        <f t="shared" ca="1" si="31"/>
        <v>19.399999999999999</v>
      </c>
      <c r="O456" t="str">
        <f ca="1">IF(OR(IncidentTable[[#This Row],[Status]]="Resolved",IncidentTable[[#This Row],[Status]]="Closed"),
ROUND(IncidentTable[[#This Row],[Estimated Impact ($)]]*(1+RANDBETWEEN(-15,25)/100)+RAND(),2),
"")</f>
        <v/>
      </c>
      <c r="P456" t="str">
        <f ca="1">IF(IncidentTable[[#This Row],[Actual Impact ($)]]="","",ROUND(IncidentTable[[#This Row],[Actual Impact ($)]]-IncidentTable[[#This Row],[Estimated Impact ($)]],2))</f>
        <v/>
      </c>
      <c r="Q456" s="2" t="str">
        <f ca="1">IF(IncidentTable[[#This Row],[Actual Impact ($)]]="","",(IncidentTable[[#This Row],[Actual Impact ($)]]-IncidentTable[[#This Row],[Estimated Impact ($)]]) / IncidentTable[[#This Row],[Estimated Impact ($)]])</f>
        <v/>
      </c>
      <c r="R456" s="3">
        <f ca="1">IF(IncidentTable[[#This Row],[Priority]]="Critical",1,
IF(IncidentTable[[#This Row],[Priority]]="High",3,
IF(IncidentTable[[#This Row],[Priority]]="Medium",5,
IF(IncidentTable[[#This Row],[Priority]]="Low",10,""))))</f>
        <v>5</v>
      </c>
      <c r="S456" t="str">
        <f ca="1">IF(IncidentTable[[#This Row],[Resolution Time (Days)]]="","",
IF(IncidentTable[[#This Row],[Resolution Time (Days)]]&lt;=IncidentTable[[#This Row],[SLA Target (Days)]],"Yes","No"))</f>
        <v/>
      </c>
    </row>
    <row r="457" spans="1:19" x14ac:dyDescent="0.25">
      <c r="A457" t="str">
        <f t="shared" ca="1" si="29"/>
        <v>INC976717</v>
      </c>
      <c r="B457" t="str" cm="1">
        <f t="array" aca="1" ref="B457" ca="1">INDEX(SystemList,RANDBETWEEN(1,ROWS(SystemList)))</f>
        <v>Reporting System</v>
      </c>
      <c r="C457" t="str" cm="1">
        <f t="array" aca="1" ref="C457" ca="1">INDEX(IssueTypeList,RANDBETWEEN(1,ROWS(IssueTypeList)))</f>
        <v>Processing Delay</v>
      </c>
      <c r="D457" t="str" cm="1">
        <f t="array" aca="1" ref="D457" ca="1">INDEX(PriorityList,RANDBETWEEN(1,ROWS(PriorityList)))</f>
        <v>Medium</v>
      </c>
      <c r="E457" t="str" cm="1">
        <f t="array" aca="1" ref="E457" ca="1">INDEX(SeverityList,RANDBETWEEN(1,ROWS(SeverityList)))</f>
        <v>Minor</v>
      </c>
      <c r="F457" t="str" cm="1">
        <f t="array" aca="1" ref="F457" ca="1">INDEX(RegionList,RANDBETWEEN(1,ROWS(RegionList)))</f>
        <v>Midwest</v>
      </c>
      <c r="G457" t="str" cm="1">
        <f t="array" aca="1" ref="G457" ca="1">INDEX(DepartmentList,RANDBETWEEN(1,ROWS(DepartmentList)))</f>
        <v>Customer Service</v>
      </c>
      <c r="H457" s="1">
        <f t="shared" ca="1" si="30"/>
        <v>45115</v>
      </c>
      <c r="I457" s="4">
        <f ca="1">IF(IncidentTable[[#This Row],[Resolution Time (Days)]]="","",IncidentTable[[#This Row],[Created Date]]+IncidentTable[[#This Row],[Resolution Time (Days)]])</f>
        <v>45122</v>
      </c>
      <c r="J457">
        <f ca="1">IF(OR(IncidentTable[[#This Row],[Status]]="Resolved",IncidentTable[[#This Row],[Status]]="Closed"),RANDBETWEEN(1,120),"")</f>
        <v>7</v>
      </c>
      <c r="K457" t="str">
        <f t="shared" ca="1" si="28"/>
        <v>Closed</v>
      </c>
      <c r="L457" t="str" cm="1">
        <f t="array" aca="1" ref="L457" ca="1">INDEX(AnalystList,RANDBETWEEN(1,ROWS(AnalystList)))</f>
        <v>Taylor Smith</v>
      </c>
      <c r="M457" t="str" cm="1">
        <f t="array" aca="1" ref="M457" ca="1">INDEX(RootCauseList,RANDBETWEEN(1,ROWS(RootCauseList)))</f>
        <v>Configuration Issue</v>
      </c>
      <c r="N457">
        <f t="shared" ca="1" si="31"/>
        <v>26375.38</v>
      </c>
      <c r="O457">
        <f ca="1">IF(OR(IncidentTable[[#This Row],[Status]]="Resolved",IncidentTable[[#This Row],[Status]]="Closed"),
ROUND(IncidentTable[[#This Row],[Estimated Impact ($)]]*(1+RANDBETWEEN(-15,25)/100)+RAND(),2),
"")</f>
        <v>26375.77</v>
      </c>
      <c r="P457">
        <f ca="1">IF(IncidentTable[[#This Row],[Actual Impact ($)]]="","",ROUND(IncidentTable[[#This Row],[Actual Impact ($)]]-IncidentTable[[#This Row],[Estimated Impact ($)]],2))</f>
        <v>0.39</v>
      </c>
      <c r="Q457" s="2">
        <f ca="1">IF(IncidentTable[[#This Row],[Actual Impact ($)]]="","",(IncidentTable[[#This Row],[Actual Impact ($)]]-IncidentTable[[#This Row],[Estimated Impact ($)]]) / IncidentTable[[#This Row],[Estimated Impact ($)]])</f>
        <v>1.4786516819830384E-5</v>
      </c>
      <c r="R457" s="3">
        <f ca="1">IF(IncidentTable[[#This Row],[Priority]]="Critical",1,
IF(IncidentTable[[#This Row],[Priority]]="High",3,
IF(IncidentTable[[#This Row],[Priority]]="Medium",5,
IF(IncidentTable[[#This Row],[Priority]]="Low",10,""))))</f>
        <v>5</v>
      </c>
      <c r="S457" t="str">
        <f ca="1">IF(IncidentTable[[#This Row],[Resolution Time (Days)]]="","",
IF(IncidentTable[[#This Row],[Resolution Time (Days)]]&lt;=IncidentTable[[#This Row],[SLA Target (Days)]],"Yes","No"))</f>
        <v>No</v>
      </c>
    </row>
    <row r="458" spans="1:19" x14ac:dyDescent="0.25">
      <c r="A458" t="str">
        <f t="shared" ca="1" si="29"/>
        <v>INC830701</v>
      </c>
      <c r="B458" t="str" cm="1">
        <f t="array" aca="1" ref="B458" ca="1">INDEX(SystemList,RANDBETWEEN(1,ROWS(SystemList)))</f>
        <v>Billing System</v>
      </c>
      <c r="C458" t="str" cm="1">
        <f t="array" aca="1" ref="C458" ca="1">INDEX(IssueTypeList,RANDBETWEEN(1,ROWS(IssueTypeList)))</f>
        <v>User Access Issue</v>
      </c>
      <c r="D458" t="str" cm="1">
        <f t="array" aca="1" ref="D458" ca="1">INDEX(PriorityList,RANDBETWEEN(1,ROWS(PriorityList)))</f>
        <v>Medium</v>
      </c>
      <c r="E458" t="str" cm="1">
        <f t="array" aca="1" ref="E458" ca="1">INDEX(SeverityList,RANDBETWEEN(1,ROWS(SeverityList)))</f>
        <v>Critical</v>
      </c>
      <c r="F458" t="str" cm="1">
        <f t="array" aca="1" ref="F458" ca="1">INDEX(RegionList,RANDBETWEEN(1,ROWS(RegionList)))</f>
        <v>Southeast</v>
      </c>
      <c r="G458" t="str" cm="1">
        <f t="array" aca="1" ref="G458" ca="1">INDEX(DepartmentList,RANDBETWEEN(1,ROWS(DepartmentList)))</f>
        <v>Finance</v>
      </c>
      <c r="H458" s="1">
        <f t="shared" ca="1" si="30"/>
        <v>45450</v>
      </c>
      <c r="I458" s="4" t="str">
        <f ca="1">IF(IncidentTable[[#This Row],[Resolution Time (Days)]]="","",IncidentTable[[#This Row],[Created Date]]+IncidentTable[[#This Row],[Resolution Time (Days)]])</f>
        <v/>
      </c>
      <c r="J458" t="str">
        <f ca="1">IF(OR(IncidentTable[[#This Row],[Status]]="Resolved",IncidentTable[[#This Row],[Status]]="Closed"),RANDBETWEEN(1,120),"")</f>
        <v/>
      </c>
      <c r="K458" t="str">
        <f t="shared" ca="1" si="28"/>
        <v>Pending</v>
      </c>
      <c r="L458" t="str" cm="1">
        <f t="array" aca="1" ref="L458" ca="1">INDEX(AnalystList,RANDBETWEEN(1,ROWS(AnalystList)))</f>
        <v>Alex Johnson</v>
      </c>
      <c r="M458" t="str" cm="1">
        <f t="array" aca="1" ref="M458" ca="1">INDEX(RootCauseList,RANDBETWEEN(1,ROWS(RootCauseList)))</f>
        <v>Data Error</v>
      </c>
      <c r="N458">
        <f t="shared" ca="1" si="31"/>
        <v>1588.84</v>
      </c>
      <c r="O458" t="str">
        <f ca="1">IF(OR(IncidentTable[[#This Row],[Status]]="Resolved",IncidentTable[[#This Row],[Status]]="Closed"),
ROUND(IncidentTable[[#This Row],[Estimated Impact ($)]]*(1+RANDBETWEEN(-15,25)/100)+RAND(),2),
"")</f>
        <v/>
      </c>
      <c r="P458" t="str">
        <f ca="1">IF(IncidentTable[[#This Row],[Actual Impact ($)]]="","",ROUND(IncidentTable[[#This Row],[Actual Impact ($)]]-IncidentTable[[#This Row],[Estimated Impact ($)]],2))</f>
        <v/>
      </c>
      <c r="Q458" s="2" t="str">
        <f ca="1">IF(IncidentTable[[#This Row],[Actual Impact ($)]]="","",(IncidentTable[[#This Row],[Actual Impact ($)]]-IncidentTable[[#This Row],[Estimated Impact ($)]]) / IncidentTable[[#This Row],[Estimated Impact ($)]])</f>
        <v/>
      </c>
      <c r="R458" s="3">
        <f ca="1">IF(IncidentTable[[#This Row],[Priority]]="Critical",1,
IF(IncidentTable[[#This Row],[Priority]]="High",3,
IF(IncidentTable[[#This Row],[Priority]]="Medium",5,
IF(IncidentTable[[#This Row],[Priority]]="Low",10,""))))</f>
        <v>5</v>
      </c>
      <c r="S458" t="str">
        <f ca="1">IF(IncidentTable[[#This Row],[Resolution Time (Days)]]="","",
IF(IncidentTable[[#This Row],[Resolution Time (Days)]]&lt;=IncidentTable[[#This Row],[SLA Target (Days)]],"Yes","No"))</f>
        <v/>
      </c>
    </row>
    <row r="459" spans="1:19" x14ac:dyDescent="0.25">
      <c r="A459" t="str">
        <f t="shared" ca="1" si="29"/>
        <v>INC178881</v>
      </c>
      <c r="B459" t="str" cm="1">
        <f t="array" aca="1" ref="B459" ca="1">INDEX(SystemList,RANDBETWEEN(1,ROWS(SystemList)))</f>
        <v>Policy Admin System</v>
      </c>
      <c r="C459" t="str" cm="1">
        <f t="array" aca="1" ref="C459" ca="1">INDEX(IssueTypeList,RANDBETWEEN(1,ROWS(IssueTypeList)))</f>
        <v>Performance Issue</v>
      </c>
      <c r="D459" t="str" cm="1">
        <f t="array" aca="1" ref="D459" ca="1">INDEX(PriorityList,RANDBETWEEN(1,ROWS(PriorityList)))</f>
        <v>Critical</v>
      </c>
      <c r="E459" t="str" cm="1">
        <f t="array" aca="1" ref="E459" ca="1">INDEX(SeverityList,RANDBETWEEN(1,ROWS(SeverityList)))</f>
        <v>Moderate</v>
      </c>
      <c r="F459" t="str" cm="1">
        <f t="array" aca="1" ref="F459" ca="1">INDEX(RegionList,RANDBETWEEN(1,ROWS(RegionList)))</f>
        <v>Central</v>
      </c>
      <c r="G459" t="str" cm="1">
        <f t="array" aca="1" ref="G459" ca="1">INDEX(DepartmentList,RANDBETWEEN(1,ROWS(DepartmentList)))</f>
        <v>Claims</v>
      </c>
      <c r="H459" s="1">
        <f t="shared" ca="1" si="30"/>
        <v>45154</v>
      </c>
      <c r="I459" s="4" t="str">
        <f ca="1">IF(IncidentTable[[#This Row],[Resolution Time (Days)]]="","",IncidentTable[[#This Row],[Created Date]]+IncidentTable[[#This Row],[Resolution Time (Days)]])</f>
        <v/>
      </c>
      <c r="J459" t="str">
        <f ca="1">IF(OR(IncidentTable[[#This Row],[Status]]="Resolved",IncidentTable[[#This Row],[Status]]="Closed"),RANDBETWEEN(1,120),"")</f>
        <v/>
      </c>
      <c r="K459" t="str">
        <f t="shared" ca="1" si="28"/>
        <v>Open</v>
      </c>
      <c r="L459" t="str" cm="1">
        <f t="array" aca="1" ref="L459" ca="1">INDEX(AnalystList,RANDBETWEEN(1,ROWS(AnalystList)))</f>
        <v>Riley Wilson</v>
      </c>
      <c r="M459" t="str" cm="1">
        <f t="array" aca="1" ref="M459" ca="1">INDEX(RootCauseList,RANDBETWEEN(1,ROWS(RootCauseList)))</f>
        <v>Unknown</v>
      </c>
      <c r="N459">
        <f t="shared" ca="1" si="31"/>
        <v>5347.75</v>
      </c>
      <c r="O459" t="str">
        <f ca="1">IF(OR(IncidentTable[[#This Row],[Status]]="Resolved",IncidentTable[[#This Row],[Status]]="Closed"),
ROUND(IncidentTable[[#This Row],[Estimated Impact ($)]]*(1+RANDBETWEEN(-15,25)/100)+RAND(),2),
"")</f>
        <v/>
      </c>
      <c r="P459" t="str">
        <f ca="1">IF(IncidentTable[[#This Row],[Actual Impact ($)]]="","",ROUND(IncidentTable[[#This Row],[Actual Impact ($)]]-IncidentTable[[#This Row],[Estimated Impact ($)]],2))</f>
        <v/>
      </c>
      <c r="Q459" s="2" t="str">
        <f ca="1">IF(IncidentTable[[#This Row],[Actual Impact ($)]]="","",(IncidentTable[[#This Row],[Actual Impact ($)]]-IncidentTable[[#This Row],[Estimated Impact ($)]]) / IncidentTable[[#This Row],[Estimated Impact ($)]])</f>
        <v/>
      </c>
      <c r="R459" s="3">
        <f ca="1">IF(IncidentTable[[#This Row],[Priority]]="Critical",1,
IF(IncidentTable[[#This Row],[Priority]]="High",3,
IF(IncidentTable[[#This Row],[Priority]]="Medium",5,
IF(IncidentTable[[#This Row],[Priority]]="Low",10,""))))</f>
        <v>1</v>
      </c>
      <c r="S459" t="str">
        <f ca="1">IF(IncidentTable[[#This Row],[Resolution Time (Days)]]="","",
IF(IncidentTable[[#This Row],[Resolution Time (Days)]]&lt;=IncidentTable[[#This Row],[SLA Target (Days)]],"Yes","No"))</f>
        <v/>
      </c>
    </row>
    <row r="460" spans="1:19" x14ac:dyDescent="0.25">
      <c r="A460" t="str">
        <f t="shared" ca="1" si="29"/>
        <v>INC292048</v>
      </c>
      <c r="B460" t="str" cm="1">
        <f t="array" aca="1" ref="B460" ca="1">INDEX(SystemList,RANDBETWEEN(1,ROWS(SystemList)))</f>
        <v>Regulatory System</v>
      </c>
      <c r="C460" t="str" cm="1">
        <f t="array" aca="1" ref="C460" ca="1">INDEX(IssueTypeList,RANDBETWEEN(1,ROWS(IssueTypeList)))</f>
        <v>Payment Failure</v>
      </c>
      <c r="D460" t="str" cm="1">
        <f t="array" aca="1" ref="D460" ca="1">INDEX(PriorityList,RANDBETWEEN(1,ROWS(PriorityList)))</f>
        <v>High</v>
      </c>
      <c r="E460" t="str" cm="1">
        <f t="array" aca="1" ref="E460" ca="1">INDEX(SeverityList,RANDBETWEEN(1,ROWS(SeverityList)))</f>
        <v>Critical</v>
      </c>
      <c r="F460" t="str" cm="1">
        <f t="array" aca="1" ref="F460" ca="1">INDEX(RegionList,RANDBETWEEN(1,ROWS(RegionList)))</f>
        <v>Midwest</v>
      </c>
      <c r="G460" t="str" cm="1">
        <f t="array" aca="1" ref="G460" ca="1">INDEX(DepartmentList,RANDBETWEEN(1,ROWS(DepartmentList)))</f>
        <v>Claims</v>
      </c>
      <c r="H460" s="1">
        <f t="shared" ca="1" si="30"/>
        <v>45113</v>
      </c>
      <c r="I460" s="4" t="str">
        <f ca="1">IF(IncidentTable[[#This Row],[Resolution Time (Days)]]="","",IncidentTable[[#This Row],[Created Date]]+IncidentTable[[#This Row],[Resolution Time (Days)]])</f>
        <v/>
      </c>
      <c r="J460" t="str">
        <f ca="1">IF(OR(IncidentTable[[#This Row],[Status]]="Resolved",IncidentTable[[#This Row],[Status]]="Closed"),RANDBETWEEN(1,120),"")</f>
        <v/>
      </c>
      <c r="K460" t="str">
        <f t="shared" ca="1" si="28"/>
        <v>Pending</v>
      </c>
      <c r="L460" t="str" cm="1">
        <f t="array" aca="1" ref="L460" ca="1">INDEX(AnalystList,RANDBETWEEN(1,ROWS(AnalystList)))</f>
        <v>Taylor Smith</v>
      </c>
      <c r="M460" t="str" cm="1">
        <f t="array" aca="1" ref="M460" ca="1">INDEX(RootCauseList,RANDBETWEEN(1,ROWS(RootCauseList)))</f>
        <v>Network Failure</v>
      </c>
      <c r="N460">
        <f t="shared" ca="1" si="31"/>
        <v>39158.71</v>
      </c>
      <c r="O460" t="str">
        <f ca="1">IF(OR(IncidentTable[[#This Row],[Status]]="Resolved",IncidentTable[[#This Row],[Status]]="Closed"),
ROUND(IncidentTable[[#This Row],[Estimated Impact ($)]]*(1+RANDBETWEEN(-15,25)/100)+RAND(),2),
"")</f>
        <v/>
      </c>
      <c r="P460" t="str">
        <f ca="1">IF(IncidentTable[[#This Row],[Actual Impact ($)]]="","",ROUND(IncidentTable[[#This Row],[Actual Impact ($)]]-IncidentTable[[#This Row],[Estimated Impact ($)]],2))</f>
        <v/>
      </c>
      <c r="Q460" s="2" t="str">
        <f ca="1">IF(IncidentTable[[#This Row],[Actual Impact ($)]]="","",(IncidentTable[[#This Row],[Actual Impact ($)]]-IncidentTable[[#This Row],[Estimated Impact ($)]]) / IncidentTable[[#This Row],[Estimated Impact ($)]])</f>
        <v/>
      </c>
      <c r="R460" s="3">
        <f ca="1">IF(IncidentTable[[#This Row],[Priority]]="Critical",1,
IF(IncidentTable[[#This Row],[Priority]]="High",3,
IF(IncidentTable[[#This Row],[Priority]]="Medium",5,
IF(IncidentTable[[#This Row],[Priority]]="Low",10,""))))</f>
        <v>3</v>
      </c>
      <c r="S460" t="str">
        <f ca="1">IF(IncidentTable[[#This Row],[Resolution Time (Days)]]="","",
IF(IncidentTable[[#This Row],[Resolution Time (Days)]]&lt;=IncidentTable[[#This Row],[SLA Target (Days)]],"Yes","No"))</f>
        <v/>
      </c>
    </row>
    <row r="461" spans="1:19" x14ac:dyDescent="0.25">
      <c r="A461" t="str">
        <f t="shared" ca="1" si="29"/>
        <v>INC701005</v>
      </c>
      <c r="B461" t="str" cm="1">
        <f t="array" aca="1" ref="B461" ca="1">INDEX(SystemList,RANDBETWEEN(1,ROWS(SystemList)))</f>
        <v>Payment Processing</v>
      </c>
      <c r="C461" t="str" cm="1">
        <f t="array" aca="1" ref="C461" ca="1">INDEX(IssueTypeList,RANDBETWEEN(1,ROWS(IssueTypeList)))</f>
        <v>Integration Failure</v>
      </c>
      <c r="D461" t="str" cm="1">
        <f t="array" aca="1" ref="D461" ca="1">INDEX(PriorityList,RANDBETWEEN(1,ROWS(PriorityList)))</f>
        <v>Medium</v>
      </c>
      <c r="E461" t="str" cm="1">
        <f t="array" aca="1" ref="E461" ca="1">INDEX(SeverityList,RANDBETWEEN(1,ROWS(SeverityList)))</f>
        <v>Critical</v>
      </c>
      <c r="F461" t="str" cm="1">
        <f t="array" aca="1" ref="F461" ca="1">INDEX(RegionList,RANDBETWEEN(1,ROWS(RegionList)))</f>
        <v>Southeast</v>
      </c>
      <c r="G461" t="str" cm="1">
        <f t="array" aca="1" ref="G461" ca="1">INDEX(DepartmentList,RANDBETWEEN(1,ROWS(DepartmentList)))</f>
        <v>Claims</v>
      </c>
      <c r="H461" s="1">
        <f t="shared" ca="1" si="30"/>
        <v>45412</v>
      </c>
      <c r="I461" s="4">
        <f ca="1">IF(IncidentTable[[#This Row],[Resolution Time (Days)]]="","",IncidentTable[[#This Row],[Created Date]]+IncidentTable[[#This Row],[Resolution Time (Days)]])</f>
        <v>45442</v>
      </c>
      <c r="J461">
        <f ca="1">IF(OR(IncidentTable[[#This Row],[Status]]="Resolved",IncidentTable[[#This Row],[Status]]="Closed"),RANDBETWEEN(1,120),"")</f>
        <v>30</v>
      </c>
      <c r="K461" t="str">
        <f t="shared" ca="1" si="28"/>
        <v>Closed</v>
      </c>
      <c r="L461" t="str" cm="1">
        <f t="array" aca="1" ref="L461" ca="1">INDEX(AnalystList,RANDBETWEEN(1,ROWS(AnalystList)))</f>
        <v>Jordan Lee</v>
      </c>
      <c r="M461" t="str" cm="1">
        <f t="array" aca="1" ref="M461" ca="1">INDEX(RootCauseList,RANDBETWEEN(1,ROWS(RootCauseList)))</f>
        <v>Integration Failure</v>
      </c>
      <c r="N461">
        <f t="shared" ca="1" si="31"/>
        <v>14687.58</v>
      </c>
      <c r="O461">
        <f ca="1">IF(OR(IncidentTable[[#This Row],[Status]]="Resolved",IncidentTable[[#This Row],[Status]]="Closed"),
ROUND(IncidentTable[[#This Row],[Estimated Impact ($)]]*(1+RANDBETWEEN(-15,25)/100)+RAND(),2),
"")</f>
        <v>18359.849999999999</v>
      </c>
      <c r="P461">
        <f ca="1">IF(IncidentTable[[#This Row],[Actual Impact ($)]]="","",ROUND(IncidentTable[[#This Row],[Actual Impact ($)]]-IncidentTable[[#This Row],[Estimated Impact ($)]],2))</f>
        <v>3672.27</v>
      </c>
      <c r="Q461" s="2">
        <f ca="1">IF(IncidentTable[[#This Row],[Actual Impact ($)]]="","",(IncidentTable[[#This Row],[Actual Impact ($)]]-IncidentTable[[#This Row],[Estimated Impact ($)]]) / IncidentTable[[#This Row],[Estimated Impact ($)]])</f>
        <v>0.25002553177582681</v>
      </c>
      <c r="R461" s="3">
        <f ca="1">IF(IncidentTable[[#This Row],[Priority]]="Critical",1,
IF(IncidentTable[[#This Row],[Priority]]="High",3,
IF(IncidentTable[[#This Row],[Priority]]="Medium",5,
IF(IncidentTable[[#This Row],[Priority]]="Low",10,""))))</f>
        <v>5</v>
      </c>
      <c r="S461" t="str">
        <f ca="1">IF(IncidentTable[[#This Row],[Resolution Time (Days)]]="","",
IF(IncidentTable[[#This Row],[Resolution Time (Days)]]&lt;=IncidentTable[[#This Row],[SLA Target (Days)]],"Yes","No"))</f>
        <v>No</v>
      </c>
    </row>
    <row r="462" spans="1:19" x14ac:dyDescent="0.25">
      <c r="A462" t="str">
        <f t="shared" ca="1" si="29"/>
        <v>INC230089</v>
      </c>
      <c r="B462" t="str" cm="1">
        <f t="array" aca="1" ref="B462" ca="1">INDEX(SystemList,RANDBETWEEN(1,ROWS(SystemList)))</f>
        <v>Reporting System</v>
      </c>
      <c r="C462" t="str" cm="1">
        <f t="array" aca="1" ref="C462" ca="1">INDEX(IssueTypeList,RANDBETWEEN(1,ROWS(IssueTypeList)))</f>
        <v>Processing Delay</v>
      </c>
      <c r="D462" t="str" cm="1">
        <f t="array" aca="1" ref="D462" ca="1">INDEX(PriorityList,RANDBETWEEN(1,ROWS(PriorityList)))</f>
        <v>High</v>
      </c>
      <c r="E462" t="str" cm="1">
        <f t="array" aca="1" ref="E462" ca="1">INDEX(SeverityList,RANDBETWEEN(1,ROWS(SeverityList)))</f>
        <v>Minor</v>
      </c>
      <c r="F462" t="str" cm="1">
        <f t="array" aca="1" ref="F462" ca="1">INDEX(RegionList,RANDBETWEEN(1,ROWS(RegionList)))</f>
        <v>Southeast</v>
      </c>
      <c r="G462" t="str" cm="1">
        <f t="array" aca="1" ref="G462" ca="1">INDEX(DepartmentList,RANDBETWEEN(1,ROWS(DepartmentList)))</f>
        <v>Customer Service</v>
      </c>
      <c r="H462" s="1">
        <f t="shared" ca="1" si="30"/>
        <v>45272</v>
      </c>
      <c r="I462" s="4">
        <f ca="1">IF(IncidentTable[[#This Row],[Resolution Time (Days)]]="","",IncidentTable[[#This Row],[Created Date]]+IncidentTable[[#This Row],[Resolution Time (Days)]])</f>
        <v>45378</v>
      </c>
      <c r="J462">
        <f ca="1">IF(OR(IncidentTable[[#This Row],[Status]]="Resolved",IncidentTable[[#This Row],[Status]]="Closed"),RANDBETWEEN(1,120),"")</f>
        <v>106</v>
      </c>
      <c r="K462" t="str">
        <f t="shared" ca="1" si="28"/>
        <v>Resolved</v>
      </c>
      <c r="L462" t="str" cm="1">
        <f t="array" aca="1" ref="L462" ca="1">INDEX(AnalystList,RANDBETWEEN(1,ROWS(AnalystList)))</f>
        <v>Casey Brown</v>
      </c>
      <c r="M462" t="str" cm="1">
        <f t="array" aca="1" ref="M462" ca="1">INDEX(RootCauseList,RANDBETWEEN(1,ROWS(RootCauseList)))</f>
        <v>Integration Failure</v>
      </c>
      <c r="N462">
        <f t="shared" ca="1" si="31"/>
        <v>124.47</v>
      </c>
      <c r="O462">
        <f ca="1">IF(OR(IncidentTable[[#This Row],[Status]]="Resolved",IncidentTable[[#This Row],[Status]]="Closed"),
ROUND(IncidentTable[[#This Row],[Estimated Impact ($)]]*(1+RANDBETWEEN(-15,25)/100)+RAND(),2),
"")</f>
        <v>128.28</v>
      </c>
      <c r="P462">
        <f ca="1">IF(IncidentTable[[#This Row],[Actual Impact ($)]]="","",ROUND(IncidentTable[[#This Row],[Actual Impact ($)]]-IncidentTable[[#This Row],[Estimated Impact ($)]],2))</f>
        <v>3.81</v>
      </c>
      <c r="Q462" s="2">
        <f ca="1">IF(IncidentTable[[#This Row],[Actual Impact ($)]]="","",(IncidentTable[[#This Row],[Actual Impact ($)]]-IncidentTable[[#This Row],[Estimated Impact ($)]]) / IncidentTable[[#This Row],[Estimated Impact ($)]])</f>
        <v>3.0609785490479654E-2</v>
      </c>
      <c r="R462" s="3">
        <f ca="1">IF(IncidentTable[[#This Row],[Priority]]="Critical",1,
IF(IncidentTable[[#This Row],[Priority]]="High",3,
IF(IncidentTable[[#This Row],[Priority]]="Medium",5,
IF(IncidentTable[[#This Row],[Priority]]="Low",10,""))))</f>
        <v>3</v>
      </c>
      <c r="S462" t="str">
        <f ca="1">IF(IncidentTable[[#This Row],[Resolution Time (Days)]]="","",
IF(IncidentTable[[#This Row],[Resolution Time (Days)]]&lt;=IncidentTable[[#This Row],[SLA Target (Days)]],"Yes","No"))</f>
        <v>No</v>
      </c>
    </row>
    <row r="463" spans="1:19" x14ac:dyDescent="0.25">
      <c r="A463" t="str">
        <f t="shared" ca="1" si="29"/>
        <v>INC817805</v>
      </c>
      <c r="B463" t="str" cm="1">
        <f t="array" aca="1" ref="B463" ca="1">INDEX(SystemList,RANDBETWEEN(1,ROWS(SystemList)))</f>
        <v>Claims System</v>
      </c>
      <c r="C463" t="str" cm="1">
        <f t="array" aca="1" ref="C463" ca="1">INDEX(IssueTypeList,RANDBETWEEN(1,ROWS(IssueTypeList)))</f>
        <v>Performance Issue</v>
      </c>
      <c r="D463" t="str" cm="1">
        <f t="array" aca="1" ref="D463" ca="1">INDEX(PriorityList,RANDBETWEEN(1,ROWS(PriorityList)))</f>
        <v>High</v>
      </c>
      <c r="E463" t="str" cm="1">
        <f t="array" aca="1" ref="E463" ca="1">INDEX(SeverityList,RANDBETWEEN(1,ROWS(SeverityList)))</f>
        <v>Critical</v>
      </c>
      <c r="F463" t="str" cm="1">
        <f t="array" aca="1" ref="F463" ca="1">INDEX(RegionList,RANDBETWEEN(1,ROWS(RegionList)))</f>
        <v>West</v>
      </c>
      <c r="G463" t="str" cm="1">
        <f t="array" aca="1" ref="G463" ca="1">INDEX(DepartmentList,RANDBETWEEN(1,ROWS(DepartmentList)))</f>
        <v>Compliance</v>
      </c>
      <c r="H463" s="1">
        <f t="shared" ca="1" si="30"/>
        <v>45349</v>
      </c>
      <c r="I463" s="4" t="str">
        <f ca="1">IF(IncidentTable[[#This Row],[Resolution Time (Days)]]="","",IncidentTable[[#This Row],[Created Date]]+IncidentTable[[#This Row],[Resolution Time (Days)]])</f>
        <v/>
      </c>
      <c r="J463" t="str">
        <f ca="1">IF(OR(IncidentTable[[#This Row],[Status]]="Resolved",IncidentTable[[#This Row],[Status]]="Closed"),RANDBETWEEN(1,120),"")</f>
        <v/>
      </c>
      <c r="K463" t="str">
        <f t="shared" ca="1" si="28"/>
        <v>Pending</v>
      </c>
      <c r="L463" t="str" cm="1">
        <f t="array" aca="1" ref="L463" ca="1">INDEX(AnalystList,RANDBETWEEN(1,ROWS(AnalystList)))</f>
        <v>Casey Brown</v>
      </c>
      <c r="M463" t="str" cm="1">
        <f t="array" aca="1" ref="M463" ca="1">INDEX(RootCauseList,RANDBETWEEN(1,ROWS(RootCauseList)))</f>
        <v>Integration Failure</v>
      </c>
      <c r="N463">
        <f t="shared" ca="1" si="31"/>
        <v>13.45</v>
      </c>
      <c r="O463" t="str">
        <f ca="1">IF(OR(IncidentTable[[#This Row],[Status]]="Resolved",IncidentTable[[#This Row],[Status]]="Closed"),
ROUND(IncidentTable[[#This Row],[Estimated Impact ($)]]*(1+RANDBETWEEN(-15,25)/100)+RAND(),2),
"")</f>
        <v/>
      </c>
      <c r="P463" t="str">
        <f ca="1">IF(IncidentTable[[#This Row],[Actual Impact ($)]]="","",ROUND(IncidentTable[[#This Row],[Actual Impact ($)]]-IncidentTable[[#This Row],[Estimated Impact ($)]],2))</f>
        <v/>
      </c>
      <c r="Q463" s="2" t="str">
        <f ca="1">IF(IncidentTable[[#This Row],[Actual Impact ($)]]="","",(IncidentTable[[#This Row],[Actual Impact ($)]]-IncidentTable[[#This Row],[Estimated Impact ($)]]) / IncidentTable[[#This Row],[Estimated Impact ($)]])</f>
        <v/>
      </c>
      <c r="R463" s="3">
        <f ca="1">IF(IncidentTable[[#This Row],[Priority]]="Critical",1,
IF(IncidentTable[[#This Row],[Priority]]="High",3,
IF(IncidentTable[[#This Row],[Priority]]="Medium",5,
IF(IncidentTable[[#This Row],[Priority]]="Low",10,""))))</f>
        <v>3</v>
      </c>
      <c r="S463" t="str">
        <f ca="1">IF(IncidentTable[[#This Row],[Resolution Time (Days)]]="","",
IF(IncidentTable[[#This Row],[Resolution Time (Days)]]&lt;=IncidentTable[[#This Row],[SLA Target (Days)]],"Yes","No"))</f>
        <v/>
      </c>
    </row>
    <row r="464" spans="1:19" x14ac:dyDescent="0.25">
      <c r="A464" t="str">
        <f t="shared" ca="1" si="29"/>
        <v>INC975043</v>
      </c>
      <c r="B464" t="str" cm="1">
        <f t="array" aca="1" ref="B464" ca="1">INDEX(SystemList,RANDBETWEEN(1,ROWS(SystemList)))</f>
        <v>Payment Processing</v>
      </c>
      <c r="C464" t="str" cm="1">
        <f t="array" aca="1" ref="C464" ca="1">INDEX(IssueTypeList,RANDBETWEEN(1,ROWS(IssueTypeList)))</f>
        <v>Data Issue</v>
      </c>
      <c r="D464" t="str" cm="1">
        <f t="array" aca="1" ref="D464" ca="1">INDEX(PriorityList,RANDBETWEEN(1,ROWS(PriorityList)))</f>
        <v>Critical</v>
      </c>
      <c r="E464" t="str" cm="1">
        <f t="array" aca="1" ref="E464" ca="1">INDEX(SeverityList,RANDBETWEEN(1,ROWS(SeverityList)))</f>
        <v>Major</v>
      </c>
      <c r="F464" t="str" cm="1">
        <f t="array" aca="1" ref="F464" ca="1">INDEX(RegionList,RANDBETWEEN(1,ROWS(RegionList)))</f>
        <v>Central</v>
      </c>
      <c r="G464" t="str" cm="1">
        <f t="array" aca="1" ref="G464" ca="1">INDEX(DepartmentList,RANDBETWEEN(1,ROWS(DepartmentList)))</f>
        <v>Claims</v>
      </c>
      <c r="H464" s="1">
        <f t="shared" ca="1" si="30"/>
        <v>45360</v>
      </c>
      <c r="I464" s="4">
        <f ca="1">IF(IncidentTable[[#This Row],[Resolution Time (Days)]]="","",IncidentTable[[#This Row],[Created Date]]+IncidentTable[[#This Row],[Resolution Time (Days)]])</f>
        <v>45426</v>
      </c>
      <c r="J464">
        <f ca="1">IF(OR(IncidentTable[[#This Row],[Status]]="Resolved",IncidentTable[[#This Row],[Status]]="Closed"),RANDBETWEEN(1,120),"")</f>
        <v>66</v>
      </c>
      <c r="K464" t="str">
        <f t="shared" ca="1" si="28"/>
        <v>Closed</v>
      </c>
      <c r="L464" t="str" cm="1">
        <f t="array" aca="1" ref="L464" ca="1">INDEX(AnalystList,RANDBETWEEN(1,ROWS(AnalystList)))</f>
        <v>Riley Wilson</v>
      </c>
      <c r="M464" t="str" cm="1">
        <f t="array" aca="1" ref="M464" ca="1">INDEX(RootCauseList,RANDBETWEEN(1,ROWS(RootCauseList)))</f>
        <v>Unknown</v>
      </c>
      <c r="N464">
        <f t="shared" ca="1" si="31"/>
        <v>1940.29</v>
      </c>
      <c r="O464">
        <f ca="1">IF(OR(IncidentTable[[#This Row],[Status]]="Resolved",IncidentTable[[#This Row],[Status]]="Closed"),
ROUND(IncidentTable[[#This Row],[Estimated Impact ($)]]*(1+RANDBETWEEN(-15,25)/100)+RAND(),2),
"")</f>
        <v>2056.9</v>
      </c>
      <c r="P464">
        <f ca="1">IF(IncidentTable[[#This Row],[Actual Impact ($)]]="","",ROUND(IncidentTable[[#This Row],[Actual Impact ($)]]-IncidentTable[[#This Row],[Estimated Impact ($)]],2))</f>
        <v>116.61</v>
      </c>
      <c r="Q464" s="2">
        <f ca="1">IF(IncidentTable[[#This Row],[Actual Impact ($)]]="","",(IncidentTable[[#This Row],[Actual Impact ($)]]-IncidentTable[[#This Row],[Estimated Impact ($)]]) / IncidentTable[[#This Row],[Estimated Impact ($)]])</f>
        <v>6.0099263512155464E-2</v>
      </c>
      <c r="R464" s="3">
        <f ca="1">IF(IncidentTable[[#This Row],[Priority]]="Critical",1,
IF(IncidentTable[[#This Row],[Priority]]="High",3,
IF(IncidentTable[[#This Row],[Priority]]="Medium",5,
IF(IncidentTable[[#This Row],[Priority]]="Low",10,""))))</f>
        <v>1</v>
      </c>
      <c r="S464" t="str">
        <f ca="1">IF(IncidentTable[[#This Row],[Resolution Time (Days)]]="","",
IF(IncidentTable[[#This Row],[Resolution Time (Days)]]&lt;=IncidentTable[[#This Row],[SLA Target (Days)]],"Yes","No"))</f>
        <v>No</v>
      </c>
    </row>
    <row r="465" spans="1:19" x14ac:dyDescent="0.25">
      <c r="A465" t="str">
        <f t="shared" ca="1" si="29"/>
        <v>INC460541</v>
      </c>
      <c r="B465" t="str" cm="1">
        <f t="array" aca="1" ref="B465" ca="1">INDEX(SystemList,RANDBETWEEN(1,ROWS(SystemList)))</f>
        <v>Billing System</v>
      </c>
      <c r="C465" t="str" cm="1">
        <f t="array" aca="1" ref="C465" ca="1">INDEX(IssueTypeList,RANDBETWEEN(1,ROWS(IssueTypeList)))</f>
        <v>User Access Issue</v>
      </c>
      <c r="D465" t="str" cm="1">
        <f t="array" aca="1" ref="D465" ca="1">INDEX(PriorityList,RANDBETWEEN(1,ROWS(PriorityList)))</f>
        <v>Critical</v>
      </c>
      <c r="E465" t="str" cm="1">
        <f t="array" aca="1" ref="E465" ca="1">INDEX(SeverityList,RANDBETWEEN(1,ROWS(SeverityList)))</f>
        <v>Minor</v>
      </c>
      <c r="F465" t="str" cm="1">
        <f t="array" aca="1" ref="F465" ca="1">INDEX(RegionList,RANDBETWEEN(1,ROWS(RegionList)))</f>
        <v>West</v>
      </c>
      <c r="G465" t="str" cm="1">
        <f t="array" aca="1" ref="G465" ca="1">INDEX(DepartmentList,RANDBETWEEN(1,ROWS(DepartmentList)))</f>
        <v>Customer Service</v>
      </c>
      <c r="H465" s="1">
        <f t="shared" ca="1" si="30"/>
        <v>45041</v>
      </c>
      <c r="I465" s="4">
        <f ca="1">IF(IncidentTable[[#This Row],[Resolution Time (Days)]]="","",IncidentTable[[#This Row],[Created Date]]+IncidentTable[[#This Row],[Resolution Time (Days)]])</f>
        <v>45079</v>
      </c>
      <c r="J465">
        <f ca="1">IF(OR(IncidentTable[[#This Row],[Status]]="Resolved",IncidentTable[[#This Row],[Status]]="Closed"),RANDBETWEEN(1,120),"")</f>
        <v>38</v>
      </c>
      <c r="K465" t="str">
        <f t="shared" ca="1" si="28"/>
        <v>Closed</v>
      </c>
      <c r="L465" t="str" cm="1">
        <f t="array" aca="1" ref="L465" ca="1">INDEX(AnalystList,RANDBETWEEN(1,ROWS(AnalystList)))</f>
        <v>Jordan Lee</v>
      </c>
      <c r="M465" t="str" cm="1">
        <f t="array" aca="1" ref="M465" ca="1">INDEX(RootCauseList,RANDBETWEEN(1,ROWS(RootCauseList)))</f>
        <v>Network Failure</v>
      </c>
      <c r="N465">
        <f t="shared" ca="1" si="31"/>
        <v>101.92</v>
      </c>
      <c r="O465">
        <f ca="1">IF(OR(IncidentTable[[#This Row],[Status]]="Resolved",IncidentTable[[#This Row],[Status]]="Closed"),
ROUND(IncidentTable[[#This Row],[Estimated Impact ($)]]*(1+RANDBETWEEN(-15,25)/100)+RAND(),2),
"")</f>
        <v>94.63</v>
      </c>
      <c r="P465">
        <f ca="1">IF(IncidentTable[[#This Row],[Actual Impact ($)]]="","",ROUND(IncidentTable[[#This Row],[Actual Impact ($)]]-IncidentTable[[#This Row],[Estimated Impact ($)]],2))</f>
        <v>-7.29</v>
      </c>
      <c r="Q465" s="2">
        <f ca="1">IF(IncidentTable[[#This Row],[Actual Impact ($)]]="","",(IncidentTable[[#This Row],[Actual Impact ($)]]-IncidentTable[[#This Row],[Estimated Impact ($)]]) / IncidentTable[[#This Row],[Estimated Impact ($)]])</f>
        <v>-7.1526687598116229E-2</v>
      </c>
      <c r="R465" s="3">
        <f ca="1">IF(IncidentTable[[#This Row],[Priority]]="Critical",1,
IF(IncidentTable[[#This Row],[Priority]]="High",3,
IF(IncidentTable[[#This Row],[Priority]]="Medium",5,
IF(IncidentTable[[#This Row],[Priority]]="Low",10,""))))</f>
        <v>1</v>
      </c>
      <c r="S465" t="str">
        <f ca="1">IF(IncidentTable[[#This Row],[Resolution Time (Days)]]="","",
IF(IncidentTable[[#This Row],[Resolution Time (Days)]]&lt;=IncidentTable[[#This Row],[SLA Target (Days)]],"Yes","No"))</f>
        <v>No</v>
      </c>
    </row>
    <row r="466" spans="1:19" x14ac:dyDescent="0.25">
      <c r="A466" t="str">
        <f t="shared" ca="1" si="29"/>
        <v>INC215859</v>
      </c>
      <c r="B466" t="str" cm="1">
        <f t="array" aca="1" ref="B466" ca="1">INDEX(SystemList,RANDBETWEEN(1,ROWS(SystemList)))</f>
        <v>Billing System</v>
      </c>
      <c r="C466" t="str" cm="1">
        <f t="array" aca="1" ref="C466" ca="1">INDEX(IssueTypeList,RANDBETWEEN(1,ROWS(IssueTypeList)))</f>
        <v>Payment Failure</v>
      </c>
      <c r="D466" t="str" cm="1">
        <f t="array" aca="1" ref="D466" ca="1">INDEX(PriorityList,RANDBETWEEN(1,ROWS(PriorityList)))</f>
        <v>Medium</v>
      </c>
      <c r="E466" t="str" cm="1">
        <f t="array" aca="1" ref="E466" ca="1">INDEX(SeverityList,RANDBETWEEN(1,ROWS(SeverityList)))</f>
        <v>Major</v>
      </c>
      <c r="F466" t="str" cm="1">
        <f t="array" aca="1" ref="F466" ca="1">INDEX(RegionList,RANDBETWEEN(1,ROWS(RegionList)))</f>
        <v>Central</v>
      </c>
      <c r="G466" t="str" cm="1">
        <f t="array" aca="1" ref="G466" ca="1">INDEX(DepartmentList,RANDBETWEEN(1,ROWS(DepartmentList)))</f>
        <v>IT</v>
      </c>
      <c r="H466" s="1">
        <f t="shared" ca="1" si="30"/>
        <v>45144</v>
      </c>
      <c r="I466" s="4" t="str">
        <f ca="1">IF(IncidentTable[[#This Row],[Resolution Time (Days)]]="","",IncidentTable[[#This Row],[Created Date]]+IncidentTable[[#This Row],[Resolution Time (Days)]])</f>
        <v/>
      </c>
      <c r="J466" t="str">
        <f ca="1">IF(OR(IncidentTable[[#This Row],[Status]]="Resolved",IncidentTable[[#This Row],[Status]]="Closed"),RANDBETWEEN(1,120),"")</f>
        <v/>
      </c>
      <c r="K466" t="str">
        <f t="shared" ca="1" si="28"/>
        <v>In Progress</v>
      </c>
      <c r="L466" t="str" cm="1">
        <f t="array" aca="1" ref="L466" ca="1">INDEX(AnalystList,RANDBETWEEN(1,ROWS(AnalystList)))</f>
        <v>Casey Brown</v>
      </c>
      <c r="M466" t="str" cm="1">
        <f t="array" aca="1" ref="M466" ca="1">INDEX(RootCauseList,RANDBETWEEN(1,ROWS(RootCauseList)))</f>
        <v>Unknown</v>
      </c>
      <c r="N466">
        <f t="shared" ca="1" si="31"/>
        <v>136.03</v>
      </c>
      <c r="O466" t="str">
        <f ca="1">IF(OR(IncidentTable[[#This Row],[Status]]="Resolved",IncidentTable[[#This Row],[Status]]="Closed"),
ROUND(IncidentTable[[#This Row],[Estimated Impact ($)]]*(1+RANDBETWEEN(-15,25)/100)+RAND(),2),
"")</f>
        <v/>
      </c>
      <c r="P466" t="str">
        <f ca="1">IF(IncidentTable[[#This Row],[Actual Impact ($)]]="","",ROUND(IncidentTable[[#This Row],[Actual Impact ($)]]-IncidentTable[[#This Row],[Estimated Impact ($)]],2))</f>
        <v/>
      </c>
      <c r="Q466" s="2" t="str">
        <f ca="1">IF(IncidentTable[[#This Row],[Actual Impact ($)]]="","",(IncidentTable[[#This Row],[Actual Impact ($)]]-IncidentTable[[#This Row],[Estimated Impact ($)]]) / IncidentTable[[#This Row],[Estimated Impact ($)]])</f>
        <v/>
      </c>
      <c r="R466" s="3">
        <f ca="1">IF(IncidentTable[[#This Row],[Priority]]="Critical",1,
IF(IncidentTable[[#This Row],[Priority]]="High",3,
IF(IncidentTable[[#This Row],[Priority]]="Medium",5,
IF(IncidentTable[[#This Row],[Priority]]="Low",10,""))))</f>
        <v>5</v>
      </c>
      <c r="S466" t="str">
        <f ca="1">IF(IncidentTable[[#This Row],[Resolution Time (Days)]]="","",
IF(IncidentTable[[#This Row],[Resolution Time (Days)]]&lt;=IncidentTable[[#This Row],[SLA Target (Days)]],"Yes","No"))</f>
        <v/>
      </c>
    </row>
    <row r="467" spans="1:19" x14ac:dyDescent="0.25">
      <c r="A467" t="str">
        <f t="shared" ca="1" si="29"/>
        <v>INC490071</v>
      </c>
      <c r="B467" t="str" cm="1">
        <f t="array" aca="1" ref="B467" ca="1">INDEX(SystemList,RANDBETWEEN(1,ROWS(SystemList)))</f>
        <v>Regulatory System</v>
      </c>
      <c r="C467" t="str" cm="1">
        <f t="array" aca="1" ref="C467" ca="1">INDEX(IssueTypeList,RANDBETWEEN(1,ROWS(IssueTypeList)))</f>
        <v>Data Issue</v>
      </c>
      <c r="D467" t="str" cm="1">
        <f t="array" aca="1" ref="D467" ca="1">INDEX(PriorityList,RANDBETWEEN(1,ROWS(PriorityList)))</f>
        <v>Medium</v>
      </c>
      <c r="E467" t="str" cm="1">
        <f t="array" aca="1" ref="E467" ca="1">INDEX(SeverityList,RANDBETWEEN(1,ROWS(SeverityList)))</f>
        <v>Critical</v>
      </c>
      <c r="F467" t="str" cm="1">
        <f t="array" aca="1" ref="F467" ca="1">INDEX(RegionList,RANDBETWEEN(1,ROWS(RegionList)))</f>
        <v>Central</v>
      </c>
      <c r="G467" t="str" cm="1">
        <f t="array" aca="1" ref="G467" ca="1">INDEX(DepartmentList,RANDBETWEEN(1,ROWS(DepartmentList)))</f>
        <v>Claims</v>
      </c>
      <c r="H467" s="1">
        <f t="shared" ca="1" si="30"/>
        <v>45443</v>
      </c>
      <c r="I467" s="4" t="str">
        <f ca="1">IF(IncidentTable[[#This Row],[Resolution Time (Days)]]="","",IncidentTable[[#This Row],[Created Date]]+IncidentTable[[#This Row],[Resolution Time (Days)]])</f>
        <v/>
      </c>
      <c r="J467" t="str">
        <f ca="1">IF(OR(IncidentTable[[#This Row],[Status]]="Resolved",IncidentTable[[#This Row],[Status]]="Closed"),RANDBETWEEN(1,120),"")</f>
        <v/>
      </c>
      <c r="K467" t="str">
        <f t="shared" ca="1" si="28"/>
        <v>Open</v>
      </c>
      <c r="L467" t="str" cm="1">
        <f t="array" aca="1" ref="L467" ca="1">INDEX(AnalystList,RANDBETWEEN(1,ROWS(AnalystList)))</f>
        <v>Riley Wilson</v>
      </c>
      <c r="M467" t="str" cm="1">
        <f t="array" aca="1" ref="M467" ca="1">INDEX(RootCauseList,RANDBETWEEN(1,ROWS(RootCauseList)))</f>
        <v>Process Gap</v>
      </c>
      <c r="N467">
        <f t="shared" ca="1" si="31"/>
        <v>259.60000000000002</v>
      </c>
      <c r="O467" t="str">
        <f ca="1">IF(OR(IncidentTable[[#This Row],[Status]]="Resolved",IncidentTable[[#This Row],[Status]]="Closed"),
ROUND(IncidentTable[[#This Row],[Estimated Impact ($)]]*(1+RANDBETWEEN(-15,25)/100)+RAND(),2),
"")</f>
        <v/>
      </c>
      <c r="P467" t="str">
        <f ca="1">IF(IncidentTable[[#This Row],[Actual Impact ($)]]="","",ROUND(IncidentTable[[#This Row],[Actual Impact ($)]]-IncidentTable[[#This Row],[Estimated Impact ($)]],2))</f>
        <v/>
      </c>
      <c r="Q467" s="2" t="str">
        <f ca="1">IF(IncidentTable[[#This Row],[Actual Impact ($)]]="","",(IncidentTable[[#This Row],[Actual Impact ($)]]-IncidentTable[[#This Row],[Estimated Impact ($)]]) / IncidentTable[[#This Row],[Estimated Impact ($)]])</f>
        <v/>
      </c>
      <c r="R467" s="3">
        <f ca="1">IF(IncidentTable[[#This Row],[Priority]]="Critical",1,
IF(IncidentTable[[#This Row],[Priority]]="High",3,
IF(IncidentTable[[#This Row],[Priority]]="Medium",5,
IF(IncidentTable[[#This Row],[Priority]]="Low",10,""))))</f>
        <v>5</v>
      </c>
      <c r="S467" t="str">
        <f ca="1">IF(IncidentTable[[#This Row],[Resolution Time (Days)]]="","",
IF(IncidentTable[[#This Row],[Resolution Time (Days)]]&lt;=IncidentTable[[#This Row],[SLA Target (Days)]],"Yes","No"))</f>
        <v/>
      </c>
    </row>
    <row r="468" spans="1:19" x14ac:dyDescent="0.25">
      <c r="A468" t="str">
        <f t="shared" ca="1" si="29"/>
        <v>INC173696</v>
      </c>
      <c r="B468" t="str" cm="1">
        <f t="array" aca="1" ref="B468" ca="1">INDEX(SystemList,RANDBETWEEN(1,ROWS(SystemList)))</f>
        <v>Billing System</v>
      </c>
      <c r="C468" t="str" cm="1">
        <f t="array" aca="1" ref="C468" ca="1">INDEX(IssueTypeList,RANDBETWEEN(1,ROWS(IssueTypeList)))</f>
        <v>System Error</v>
      </c>
      <c r="D468" t="str" cm="1">
        <f t="array" aca="1" ref="D468" ca="1">INDEX(PriorityList,RANDBETWEEN(1,ROWS(PriorityList)))</f>
        <v>High</v>
      </c>
      <c r="E468" t="str" cm="1">
        <f t="array" aca="1" ref="E468" ca="1">INDEX(SeverityList,RANDBETWEEN(1,ROWS(SeverityList)))</f>
        <v>Minor</v>
      </c>
      <c r="F468" t="str" cm="1">
        <f t="array" aca="1" ref="F468" ca="1">INDEX(RegionList,RANDBETWEEN(1,ROWS(RegionList)))</f>
        <v>West</v>
      </c>
      <c r="G468" t="str" cm="1">
        <f t="array" aca="1" ref="G468" ca="1">INDEX(DepartmentList,RANDBETWEEN(1,ROWS(DepartmentList)))</f>
        <v>Finance</v>
      </c>
      <c r="H468" s="1">
        <f t="shared" ca="1" si="30"/>
        <v>45027</v>
      </c>
      <c r="I468" s="4">
        <f ca="1">IF(IncidentTable[[#This Row],[Resolution Time (Days)]]="","",IncidentTable[[#This Row],[Created Date]]+IncidentTable[[#This Row],[Resolution Time (Days)]])</f>
        <v>45103</v>
      </c>
      <c r="J468">
        <f ca="1">IF(OR(IncidentTable[[#This Row],[Status]]="Resolved",IncidentTable[[#This Row],[Status]]="Closed"),RANDBETWEEN(1,120),"")</f>
        <v>76</v>
      </c>
      <c r="K468" t="str">
        <f t="shared" ca="1" si="28"/>
        <v>Resolved</v>
      </c>
      <c r="L468" t="str" cm="1">
        <f t="array" aca="1" ref="L468" ca="1">INDEX(AnalystList,RANDBETWEEN(1,ROWS(AnalystList)))</f>
        <v>Riley Wilson</v>
      </c>
      <c r="M468" t="str" cm="1">
        <f t="array" aca="1" ref="M468" ca="1">INDEX(RootCauseList,RANDBETWEEN(1,ROWS(RootCauseList)))</f>
        <v>Network Failure</v>
      </c>
      <c r="N468">
        <f t="shared" ca="1" si="31"/>
        <v>4.9800000000000004</v>
      </c>
      <c r="O468">
        <f ca="1">IF(OR(IncidentTable[[#This Row],[Status]]="Resolved",IncidentTable[[#This Row],[Status]]="Closed"),
ROUND(IncidentTable[[#This Row],[Estimated Impact ($)]]*(1+RANDBETWEEN(-15,25)/100)+RAND(),2),
"")</f>
        <v>6.4</v>
      </c>
      <c r="P468">
        <f ca="1">IF(IncidentTable[[#This Row],[Actual Impact ($)]]="","",ROUND(IncidentTable[[#This Row],[Actual Impact ($)]]-IncidentTable[[#This Row],[Estimated Impact ($)]],2))</f>
        <v>1.42</v>
      </c>
      <c r="Q468" s="2">
        <f ca="1">IF(IncidentTable[[#This Row],[Actual Impact ($)]]="","",(IncidentTable[[#This Row],[Actual Impact ($)]]-IncidentTable[[#This Row],[Estimated Impact ($)]]) / IncidentTable[[#This Row],[Estimated Impact ($)]])</f>
        <v>0.28514056224899592</v>
      </c>
      <c r="R468" s="3">
        <f ca="1">IF(IncidentTable[[#This Row],[Priority]]="Critical",1,
IF(IncidentTable[[#This Row],[Priority]]="High",3,
IF(IncidentTable[[#This Row],[Priority]]="Medium",5,
IF(IncidentTable[[#This Row],[Priority]]="Low",10,""))))</f>
        <v>3</v>
      </c>
      <c r="S468" t="str">
        <f ca="1">IF(IncidentTable[[#This Row],[Resolution Time (Days)]]="","",
IF(IncidentTable[[#This Row],[Resolution Time (Days)]]&lt;=IncidentTable[[#This Row],[SLA Target (Days)]],"Yes","No"))</f>
        <v>No</v>
      </c>
    </row>
    <row r="469" spans="1:19" x14ac:dyDescent="0.25">
      <c r="A469" t="str">
        <f t="shared" ca="1" si="29"/>
        <v>INC744734</v>
      </c>
      <c r="B469" t="str" cm="1">
        <f t="array" aca="1" ref="B469" ca="1">INDEX(SystemList,RANDBETWEEN(1,ROWS(SystemList)))</f>
        <v>Policy Admin System</v>
      </c>
      <c r="C469" t="str" cm="1">
        <f t="array" aca="1" ref="C469" ca="1">INDEX(IssueTypeList,RANDBETWEEN(1,ROWS(IssueTypeList)))</f>
        <v>Complaint</v>
      </c>
      <c r="D469" t="str" cm="1">
        <f t="array" aca="1" ref="D469" ca="1">INDEX(PriorityList,RANDBETWEEN(1,ROWS(PriorityList)))</f>
        <v>Medium</v>
      </c>
      <c r="E469" t="str" cm="1">
        <f t="array" aca="1" ref="E469" ca="1">INDEX(SeverityList,RANDBETWEEN(1,ROWS(SeverityList)))</f>
        <v>Minor</v>
      </c>
      <c r="F469" t="str" cm="1">
        <f t="array" aca="1" ref="F469" ca="1">INDEX(RegionList,RANDBETWEEN(1,ROWS(RegionList)))</f>
        <v>East</v>
      </c>
      <c r="G469" t="str" cm="1">
        <f t="array" aca="1" ref="G469" ca="1">INDEX(DepartmentList,RANDBETWEEN(1,ROWS(DepartmentList)))</f>
        <v>Billing</v>
      </c>
      <c r="H469" s="1">
        <f t="shared" ca="1" si="30"/>
        <v>45416</v>
      </c>
      <c r="I469" s="4">
        <f ca="1">IF(IncidentTable[[#This Row],[Resolution Time (Days)]]="","",IncidentTable[[#This Row],[Created Date]]+IncidentTable[[#This Row],[Resolution Time (Days)]])</f>
        <v>45426</v>
      </c>
      <c r="J469">
        <f ca="1">IF(OR(IncidentTable[[#This Row],[Status]]="Resolved",IncidentTable[[#This Row],[Status]]="Closed"),RANDBETWEEN(1,120),"")</f>
        <v>10</v>
      </c>
      <c r="K469" t="str">
        <f t="shared" ca="1" si="28"/>
        <v>Closed</v>
      </c>
      <c r="L469" t="str" cm="1">
        <f t="array" aca="1" ref="L469" ca="1">INDEX(AnalystList,RANDBETWEEN(1,ROWS(AnalystList)))</f>
        <v>Taylor Smith</v>
      </c>
      <c r="M469" t="str" cm="1">
        <f t="array" aca="1" ref="M469" ca="1">INDEX(RootCauseList,RANDBETWEEN(1,ROWS(RootCauseList)))</f>
        <v>User Error</v>
      </c>
      <c r="N469">
        <f t="shared" ca="1" si="31"/>
        <v>1090.78</v>
      </c>
      <c r="O469">
        <f ca="1">IF(OR(IncidentTable[[#This Row],[Status]]="Resolved",IncidentTable[[#This Row],[Status]]="Closed"),
ROUND(IncidentTable[[#This Row],[Estimated Impact ($)]]*(1+RANDBETWEEN(-15,25)/100)+RAND(),2),
"")</f>
        <v>1026.23</v>
      </c>
      <c r="P469">
        <f ca="1">IF(IncidentTable[[#This Row],[Actual Impact ($)]]="","",ROUND(IncidentTable[[#This Row],[Actual Impact ($)]]-IncidentTable[[#This Row],[Estimated Impact ($)]],2))</f>
        <v>-64.55</v>
      </c>
      <c r="Q469" s="2">
        <f ca="1">IF(IncidentTable[[#This Row],[Actual Impact ($)]]="","",(IncidentTable[[#This Row],[Actual Impact ($)]]-IncidentTable[[#This Row],[Estimated Impact ($)]]) / IncidentTable[[#This Row],[Estimated Impact ($)]])</f>
        <v>-5.9177836043931828E-2</v>
      </c>
      <c r="R469" s="3">
        <f ca="1">IF(IncidentTable[[#This Row],[Priority]]="Critical",1,
IF(IncidentTable[[#This Row],[Priority]]="High",3,
IF(IncidentTable[[#This Row],[Priority]]="Medium",5,
IF(IncidentTable[[#This Row],[Priority]]="Low",10,""))))</f>
        <v>5</v>
      </c>
      <c r="S469" t="str">
        <f ca="1">IF(IncidentTable[[#This Row],[Resolution Time (Days)]]="","",
IF(IncidentTable[[#This Row],[Resolution Time (Days)]]&lt;=IncidentTable[[#This Row],[SLA Target (Days)]],"Yes","No"))</f>
        <v>No</v>
      </c>
    </row>
    <row r="470" spans="1:19" x14ac:dyDescent="0.25">
      <c r="A470" t="str">
        <f t="shared" ca="1" si="29"/>
        <v>INC686396</v>
      </c>
      <c r="B470" t="str" cm="1">
        <f t="array" aca="1" ref="B470" ca="1">INDEX(SystemList,RANDBETWEEN(1,ROWS(SystemList)))</f>
        <v>Payment Processing</v>
      </c>
      <c r="C470" t="str" cm="1">
        <f t="array" aca="1" ref="C470" ca="1">INDEX(IssueTypeList,RANDBETWEEN(1,ROWS(IssueTypeList)))</f>
        <v>System Error</v>
      </c>
      <c r="D470" t="str" cm="1">
        <f t="array" aca="1" ref="D470" ca="1">INDEX(PriorityList,RANDBETWEEN(1,ROWS(PriorityList)))</f>
        <v>Low</v>
      </c>
      <c r="E470" t="str" cm="1">
        <f t="array" aca="1" ref="E470" ca="1">INDEX(SeverityList,RANDBETWEEN(1,ROWS(SeverityList)))</f>
        <v>Critical</v>
      </c>
      <c r="F470" t="str" cm="1">
        <f t="array" aca="1" ref="F470" ca="1">INDEX(RegionList,RANDBETWEEN(1,ROWS(RegionList)))</f>
        <v>Southeast</v>
      </c>
      <c r="G470" t="str" cm="1">
        <f t="array" aca="1" ref="G470" ca="1">INDEX(DepartmentList,RANDBETWEEN(1,ROWS(DepartmentList)))</f>
        <v>Customer Service</v>
      </c>
      <c r="H470" s="1">
        <f t="shared" ca="1" si="30"/>
        <v>45406</v>
      </c>
      <c r="I470" s="4">
        <f ca="1">IF(IncidentTable[[#This Row],[Resolution Time (Days)]]="","",IncidentTable[[#This Row],[Created Date]]+IncidentTable[[#This Row],[Resolution Time (Days)]])</f>
        <v>45452</v>
      </c>
      <c r="J470">
        <f ca="1">IF(OR(IncidentTable[[#This Row],[Status]]="Resolved",IncidentTable[[#This Row],[Status]]="Closed"),RANDBETWEEN(1,120),"")</f>
        <v>46</v>
      </c>
      <c r="K470" t="str">
        <f t="shared" ca="1" si="28"/>
        <v>Closed</v>
      </c>
      <c r="L470" t="str" cm="1">
        <f t="array" aca="1" ref="L470" ca="1">INDEX(AnalystList,RANDBETWEEN(1,ROWS(AnalystList)))</f>
        <v>Taylor Smith</v>
      </c>
      <c r="M470" t="str" cm="1">
        <f t="array" aca="1" ref="M470" ca="1">INDEX(RootCauseList,RANDBETWEEN(1,ROWS(RootCauseList)))</f>
        <v>Network Failure</v>
      </c>
      <c r="N470">
        <f t="shared" ca="1" si="31"/>
        <v>3216.36</v>
      </c>
      <c r="O470">
        <f ca="1">IF(OR(IncidentTable[[#This Row],[Status]]="Resolved",IncidentTable[[#This Row],[Status]]="Closed"),
ROUND(IncidentTable[[#This Row],[Estimated Impact ($)]]*(1+RANDBETWEEN(-15,25)/100)+RAND(),2),
"")</f>
        <v>3828.33</v>
      </c>
      <c r="P470">
        <f ca="1">IF(IncidentTable[[#This Row],[Actual Impact ($)]]="","",ROUND(IncidentTable[[#This Row],[Actual Impact ($)]]-IncidentTable[[#This Row],[Estimated Impact ($)]],2))</f>
        <v>611.97</v>
      </c>
      <c r="Q470" s="2">
        <f ca="1">IF(IncidentTable[[#This Row],[Actual Impact ($)]]="","",(IncidentTable[[#This Row],[Actual Impact ($)]]-IncidentTable[[#This Row],[Estimated Impact ($)]]) / IncidentTable[[#This Row],[Estimated Impact ($)]])</f>
        <v>0.19026788046114235</v>
      </c>
      <c r="R470" s="3">
        <f ca="1">IF(IncidentTable[[#This Row],[Priority]]="Critical",1,
IF(IncidentTable[[#This Row],[Priority]]="High",3,
IF(IncidentTable[[#This Row],[Priority]]="Medium",5,
IF(IncidentTable[[#This Row],[Priority]]="Low",10,""))))</f>
        <v>10</v>
      </c>
      <c r="S470" t="str">
        <f ca="1">IF(IncidentTable[[#This Row],[Resolution Time (Days)]]="","",
IF(IncidentTable[[#This Row],[Resolution Time (Days)]]&lt;=IncidentTable[[#This Row],[SLA Target (Days)]],"Yes","No"))</f>
        <v>No</v>
      </c>
    </row>
    <row r="471" spans="1:19" x14ac:dyDescent="0.25">
      <c r="A471" t="str">
        <f t="shared" ca="1" si="29"/>
        <v>INC864965</v>
      </c>
      <c r="B471" t="str" cm="1">
        <f t="array" aca="1" ref="B471" ca="1">INDEX(SystemList,RANDBETWEEN(1,ROWS(SystemList)))</f>
        <v>Policy Admin System</v>
      </c>
      <c r="C471" t="str" cm="1">
        <f t="array" aca="1" ref="C471" ca="1">INDEX(IssueTypeList,RANDBETWEEN(1,ROWS(IssueTypeList)))</f>
        <v>Data Issue</v>
      </c>
      <c r="D471" t="str" cm="1">
        <f t="array" aca="1" ref="D471" ca="1">INDEX(PriorityList,RANDBETWEEN(1,ROWS(PriorityList)))</f>
        <v>Critical</v>
      </c>
      <c r="E471" t="str" cm="1">
        <f t="array" aca="1" ref="E471" ca="1">INDEX(SeverityList,RANDBETWEEN(1,ROWS(SeverityList)))</f>
        <v>Minor</v>
      </c>
      <c r="F471" t="str" cm="1">
        <f t="array" aca="1" ref="F471" ca="1">INDEX(RegionList,RANDBETWEEN(1,ROWS(RegionList)))</f>
        <v>Central</v>
      </c>
      <c r="G471" t="str" cm="1">
        <f t="array" aca="1" ref="G471" ca="1">INDEX(DepartmentList,RANDBETWEEN(1,ROWS(DepartmentList)))</f>
        <v>Claims</v>
      </c>
      <c r="H471" s="1">
        <f t="shared" ca="1" si="30"/>
        <v>45077</v>
      </c>
      <c r="I471" s="4" t="str">
        <f ca="1">IF(IncidentTable[[#This Row],[Resolution Time (Days)]]="","",IncidentTable[[#This Row],[Created Date]]+IncidentTable[[#This Row],[Resolution Time (Days)]])</f>
        <v/>
      </c>
      <c r="J471" t="str">
        <f ca="1">IF(OR(IncidentTable[[#This Row],[Status]]="Resolved",IncidentTable[[#This Row],[Status]]="Closed"),RANDBETWEEN(1,120),"")</f>
        <v/>
      </c>
      <c r="K471" t="str">
        <f t="shared" ca="1" si="28"/>
        <v>In Progress</v>
      </c>
      <c r="L471" t="str" cm="1">
        <f t="array" aca="1" ref="L471" ca="1">INDEX(AnalystList,RANDBETWEEN(1,ROWS(AnalystList)))</f>
        <v>Jordan Lee</v>
      </c>
      <c r="M471" t="str" cm="1">
        <f t="array" aca="1" ref="M471" ca="1">INDEX(RootCauseList,RANDBETWEEN(1,ROWS(RootCauseList)))</f>
        <v>Unknown</v>
      </c>
      <c r="N471">
        <f t="shared" ca="1" si="31"/>
        <v>0.01</v>
      </c>
      <c r="O471" t="str">
        <f ca="1">IF(OR(IncidentTable[[#This Row],[Status]]="Resolved",IncidentTable[[#This Row],[Status]]="Closed"),
ROUND(IncidentTable[[#This Row],[Estimated Impact ($)]]*(1+RANDBETWEEN(-15,25)/100)+RAND(),2),
"")</f>
        <v/>
      </c>
      <c r="P471" t="str">
        <f ca="1">IF(IncidentTable[[#This Row],[Actual Impact ($)]]="","",ROUND(IncidentTable[[#This Row],[Actual Impact ($)]]-IncidentTable[[#This Row],[Estimated Impact ($)]],2))</f>
        <v/>
      </c>
      <c r="Q471" s="2" t="str">
        <f ca="1">IF(IncidentTable[[#This Row],[Actual Impact ($)]]="","",(IncidentTable[[#This Row],[Actual Impact ($)]]-IncidentTable[[#This Row],[Estimated Impact ($)]]) / IncidentTable[[#This Row],[Estimated Impact ($)]])</f>
        <v/>
      </c>
      <c r="R471" s="3">
        <f ca="1">IF(IncidentTable[[#This Row],[Priority]]="Critical",1,
IF(IncidentTable[[#This Row],[Priority]]="High",3,
IF(IncidentTable[[#This Row],[Priority]]="Medium",5,
IF(IncidentTable[[#This Row],[Priority]]="Low",10,""))))</f>
        <v>1</v>
      </c>
      <c r="S471" t="str">
        <f ca="1">IF(IncidentTable[[#This Row],[Resolution Time (Days)]]="","",
IF(IncidentTable[[#This Row],[Resolution Time (Days)]]&lt;=IncidentTable[[#This Row],[SLA Target (Days)]],"Yes","No"))</f>
        <v/>
      </c>
    </row>
    <row r="472" spans="1:19" x14ac:dyDescent="0.25">
      <c r="A472" t="str">
        <f t="shared" ca="1" si="29"/>
        <v>INC469140</v>
      </c>
      <c r="B472" t="str" cm="1">
        <f t="array" aca="1" ref="B472" ca="1">INDEX(SystemList,RANDBETWEEN(1,ROWS(SystemList)))</f>
        <v>Claims System</v>
      </c>
      <c r="C472" t="str" cm="1">
        <f t="array" aca="1" ref="C472" ca="1">INDEX(IssueTypeList,RANDBETWEEN(1,ROWS(IssueTypeList)))</f>
        <v>Payment Failure</v>
      </c>
      <c r="D472" t="str" cm="1">
        <f t="array" aca="1" ref="D472" ca="1">INDEX(PriorityList,RANDBETWEEN(1,ROWS(PriorityList)))</f>
        <v>Low</v>
      </c>
      <c r="E472" t="str" cm="1">
        <f t="array" aca="1" ref="E472" ca="1">INDEX(SeverityList,RANDBETWEEN(1,ROWS(SeverityList)))</f>
        <v>Moderate</v>
      </c>
      <c r="F472" t="str" cm="1">
        <f t="array" aca="1" ref="F472" ca="1">INDEX(RegionList,RANDBETWEEN(1,ROWS(RegionList)))</f>
        <v>West</v>
      </c>
      <c r="G472" t="str" cm="1">
        <f t="array" aca="1" ref="G472" ca="1">INDEX(DepartmentList,RANDBETWEEN(1,ROWS(DepartmentList)))</f>
        <v>Billing</v>
      </c>
      <c r="H472" s="1">
        <f t="shared" ca="1" si="30"/>
        <v>45460</v>
      </c>
      <c r="I472" s="4" t="str">
        <f ca="1">IF(IncidentTable[[#This Row],[Resolution Time (Days)]]="","",IncidentTable[[#This Row],[Created Date]]+IncidentTable[[#This Row],[Resolution Time (Days)]])</f>
        <v/>
      </c>
      <c r="J472" t="str">
        <f ca="1">IF(OR(IncidentTable[[#This Row],[Status]]="Resolved",IncidentTable[[#This Row],[Status]]="Closed"),RANDBETWEEN(1,120),"")</f>
        <v/>
      </c>
      <c r="K472" t="str">
        <f t="shared" ca="1" si="28"/>
        <v>Open</v>
      </c>
      <c r="L472" t="str" cm="1">
        <f t="array" aca="1" ref="L472" ca="1">INDEX(AnalystList,RANDBETWEEN(1,ROWS(AnalystList)))</f>
        <v>Casey Brown</v>
      </c>
      <c r="M472" t="str" cm="1">
        <f t="array" aca="1" ref="M472" ca="1">INDEX(RootCauseList,RANDBETWEEN(1,ROWS(RootCauseList)))</f>
        <v>System Bug</v>
      </c>
      <c r="N472">
        <f t="shared" ca="1" si="31"/>
        <v>1740.13</v>
      </c>
      <c r="O472" t="str">
        <f ca="1">IF(OR(IncidentTable[[#This Row],[Status]]="Resolved",IncidentTable[[#This Row],[Status]]="Closed"),
ROUND(IncidentTable[[#This Row],[Estimated Impact ($)]]*(1+RANDBETWEEN(-15,25)/100)+RAND(),2),
"")</f>
        <v/>
      </c>
      <c r="P472" t="str">
        <f ca="1">IF(IncidentTable[[#This Row],[Actual Impact ($)]]="","",ROUND(IncidentTable[[#This Row],[Actual Impact ($)]]-IncidentTable[[#This Row],[Estimated Impact ($)]],2))</f>
        <v/>
      </c>
      <c r="Q472" s="2" t="str">
        <f ca="1">IF(IncidentTable[[#This Row],[Actual Impact ($)]]="","",(IncidentTable[[#This Row],[Actual Impact ($)]]-IncidentTable[[#This Row],[Estimated Impact ($)]]) / IncidentTable[[#This Row],[Estimated Impact ($)]])</f>
        <v/>
      </c>
      <c r="R472" s="3">
        <f ca="1">IF(IncidentTable[[#This Row],[Priority]]="Critical",1,
IF(IncidentTable[[#This Row],[Priority]]="High",3,
IF(IncidentTable[[#This Row],[Priority]]="Medium",5,
IF(IncidentTable[[#This Row],[Priority]]="Low",10,""))))</f>
        <v>10</v>
      </c>
      <c r="S472" t="str">
        <f ca="1">IF(IncidentTable[[#This Row],[Resolution Time (Days)]]="","",
IF(IncidentTable[[#This Row],[Resolution Time (Days)]]&lt;=IncidentTable[[#This Row],[SLA Target (Days)]],"Yes","No"))</f>
        <v/>
      </c>
    </row>
    <row r="473" spans="1:19" x14ac:dyDescent="0.25">
      <c r="A473" t="str">
        <f t="shared" ca="1" si="29"/>
        <v>INC417270</v>
      </c>
      <c r="B473" t="str" cm="1">
        <f t="array" aca="1" ref="B473" ca="1">INDEX(SystemList,RANDBETWEEN(1,ROWS(SystemList)))</f>
        <v>Reporting System</v>
      </c>
      <c r="C473" t="str" cm="1">
        <f t="array" aca="1" ref="C473" ca="1">INDEX(IssueTypeList,RANDBETWEEN(1,ROWS(IssueTypeList)))</f>
        <v>Performance Issue</v>
      </c>
      <c r="D473" t="str" cm="1">
        <f t="array" aca="1" ref="D473" ca="1">INDEX(PriorityList,RANDBETWEEN(1,ROWS(PriorityList)))</f>
        <v>Medium</v>
      </c>
      <c r="E473" t="str" cm="1">
        <f t="array" aca="1" ref="E473" ca="1">INDEX(SeverityList,RANDBETWEEN(1,ROWS(SeverityList)))</f>
        <v>Critical</v>
      </c>
      <c r="F473" t="str" cm="1">
        <f t="array" aca="1" ref="F473" ca="1">INDEX(RegionList,RANDBETWEEN(1,ROWS(RegionList)))</f>
        <v>East</v>
      </c>
      <c r="G473" t="str" cm="1">
        <f t="array" aca="1" ref="G473" ca="1">INDEX(DepartmentList,RANDBETWEEN(1,ROWS(DepartmentList)))</f>
        <v>Compliance</v>
      </c>
      <c r="H473" s="1">
        <f t="shared" ca="1" si="30"/>
        <v>45242</v>
      </c>
      <c r="I473" s="4">
        <f ca="1">IF(IncidentTable[[#This Row],[Resolution Time (Days)]]="","",IncidentTable[[#This Row],[Created Date]]+IncidentTable[[#This Row],[Resolution Time (Days)]])</f>
        <v>45309</v>
      </c>
      <c r="J473">
        <f ca="1">IF(OR(IncidentTable[[#This Row],[Status]]="Resolved",IncidentTable[[#This Row],[Status]]="Closed"),RANDBETWEEN(1,120),"")</f>
        <v>67</v>
      </c>
      <c r="K473" t="str">
        <f t="shared" ca="1" si="28"/>
        <v>Resolved</v>
      </c>
      <c r="L473" t="str" cm="1">
        <f t="array" aca="1" ref="L473" ca="1">INDEX(AnalystList,RANDBETWEEN(1,ROWS(AnalystList)))</f>
        <v>Jordan Lee</v>
      </c>
      <c r="M473" t="str" cm="1">
        <f t="array" aca="1" ref="M473" ca="1">INDEX(RootCauseList,RANDBETWEEN(1,ROWS(RootCauseList)))</f>
        <v>Integration Failure</v>
      </c>
      <c r="N473">
        <f t="shared" ca="1" si="31"/>
        <v>295.81</v>
      </c>
      <c r="O473">
        <f ca="1">IF(OR(IncidentTable[[#This Row],[Status]]="Resolved",IncidentTable[[#This Row],[Status]]="Closed"),
ROUND(IncidentTable[[#This Row],[Estimated Impact ($)]]*(1+RANDBETWEEN(-15,25)/100)+RAND(),2),
"")</f>
        <v>326.02999999999997</v>
      </c>
      <c r="P473">
        <f ca="1">IF(IncidentTable[[#This Row],[Actual Impact ($)]]="","",ROUND(IncidentTable[[#This Row],[Actual Impact ($)]]-IncidentTable[[#This Row],[Estimated Impact ($)]],2))</f>
        <v>30.22</v>
      </c>
      <c r="Q473" s="2">
        <f ca="1">IF(IncidentTable[[#This Row],[Actual Impact ($)]]="","",(IncidentTable[[#This Row],[Actual Impact ($)]]-IncidentTable[[#This Row],[Estimated Impact ($)]]) / IncidentTable[[#This Row],[Estimated Impact ($)]])</f>
        <v>0.10216017037963547</v>
      </c>
      <c r="R473" s="3">
        <f ca="1">IF(IncidentTable[[#This Row],[Priority]]="Critical",1,
IF(IncidentTable[[#This Row],[Priority]]="High",3,
IF(IncidentTable[[#This Row],[Priority]]="Medium",5,
IF(IncidentTable[[#This Row],[Priority]]="Low",10,""))))</f>
        <v>5</v>
      </c>
      <c r="S473" t="str">
        <f ca="1">IF(IncidentTable[[#This Row],[Resolution Time (Days)]]="","",
IF(IncidentTable[[#This Row],[Resolution Time (Days)]]&lt;=IncidentTable[[#This Row],[SLA Target (Days)]],"Yes","No"))</f>
        <v>No</v>
      </c>
    </row>
    <row r="474" spans="1:19" x14ac:dyDescent="0.25">
      <c r="A474" t="str">
        <f t="shared" ca="1" si="29"/>
        <v>INC758315</v>
      </c>
      <c r="B474" t="str" cm="1">
        <f t="array" aca="1" ref="B474" ca="1">INDEX(SystemList,RANDBETWEEN(1,ROWS(SystemList)))</f>
        <v>Payment Processing</v>
      </c>
      <c r="C474" t="str" cm="1">
        <f t="array" aca="1" ref="C474" ca="1">INDEX(IssueTypeList,RANDBETWEEN(1,ROWS(IssueTypeList)))</f>
        <v>Performance Issue</v>
      </c>
      <c r="D474" t="str" cm="1">
        <f t="array" aca="1" ref="D474" ca="1">INDEX(PriorityList,RANDBETWEEN(1,ROWS(PriorityList)))</f>
        <v>Low</v>
      </c>
      <c r="E474" t="str" cm="1">
        <f t="array" aca="1" ref="E474" ca="1">INDEX(SeverityList,RANDBETWEEN(1,ROWS(SeverityList)))</f>
        <v>Minor</v>
      </c>
      <c r="F474" t="str" cm="1">
        <f t="array" aca="1" ref="F474" ca="1">INDEX(RegionList,RANDBETWEEN(1,ROWS(RegionList)))</f>
        <v>Central</v>
      </c>
      <c r="G474" t="str" cm="1">
        <f t="array" aca="1" ref="G474" ca="1">INDEX(DepartmentList,RANDBETWEEN(1,ROWS(DepartmentList)))</f>
        <v>IT</v>
      </c>
      <c r="H474" s="1">
        <f t="shared" ca="1" si="30"/>
        <v>45465</v>
      </c>
      <c r="I474" s="4" t="str">
        <f ca="1">IF(IncidentTable[[#This Row],[Resolution Time (Days)]]="","",IncidentTable[[#This Row],[Created Date]]+IncidentTable[[#This Row],[Resolution Time (Days)]])</f>
        <v/>
      </c>
      <c r="J474" t="str">
        <f ca="1">IF(OR(IncidentTable[[#This Row],[Status]]="Resolved",IncidentTable[[#This Row],[Status]]="Closed"),RANDBETWEEN(1,120),"")</f>
        <v/>
      </c>
      <c r="K474" t="str">
        <f t="shared" ca="1" si="28"/>
        <v>Pending</v>
      </c>
      <c r="L474" t="str" cm="1">
        <f t="array" aca="1" ref="L474" ca="1">INDEX(AnalystList,RANDBETWEEN(1,ROWS(AnalystList)))</f>
        <v>Taylor Smith</v>
      </c>
      <c r="M474" t="str" cm="1">
        <f t="array" aca="1" ref="M474" ca="1">INDEX(RootCauseList,RANDBETWEEN(1,ROWS(RootCauseList)))</f>
        <v>Integration Failure</v>
      </c>
      <c r="N474">
        <f t="shared" ca="1" si="31"/>
        <v>10276.959999999999</v>
      </c>
      <c r="O474" t="str">
        <f ca="1">IF(OR(IncidentTable[[#This Row],[Status]]="Resolved",IncidentTable[[#This Row],[Status]]="Closed"),
ROUND(IncidentTable[[#This Row],[Estimated Impact ($)]]*(1+RANDBETWEEN(-15,25)/100)+RAND(),2),
"")</f>
        <v/>
      </c>
      <c r="P474" t="str">
        <f ca="1">IF(IncidentTable[[#This Row],[Actual Impact ($)]]="","",ROUND(IncidentTable[[#This Row],[Actual Impact ($)]]-IncidentTable[[#This Row],[Estimated Impact ($)]],2))</f>
        <v/>
      </c>
      <c r="Q474" s="2" t="str">
        <f ca="1">IF(IncidentTable[[#This Row],[Actual Impact ($)]]="","",(IncidentTable[[#This Row],[Actual Impact ($)]]-IncidentTable[[#This Row],[Estimated Impact ($)]]) / IncidentTable[[#This Row],[Estimated Impact ($)]])</f>
        <v/>
      </c>
      <c r="R474" s="3">
        <f ca="1">IF(IncidentTable[[#This Row],[Priority]]="Critical",1,
IF(IncidentTable[[#This Row],[Priority]]="High",3,
IF(IncidentTable[[#This Row],[Priority]]="Medium",5,
IF(IncidentTable[[#This Row],[Priority]]="Low",10,""))))</f>
        <v>10</v>
      </c>
      <c r="S474" t="str">
        <f ca="1">IF(IncidentTable[[#This Row],[Resolution Time (Days)]]="","",
IF(IncidentTable[[#This Row],[Resolution Time (Days)]]&lt;=IncidentTable[[#This Row],[SLA Target (Days)]],"Yes","No"))</f>
        <v/>
      </c>
    </row>
    <row r="475" spans="1:19" x14ac:dyDescent="0.25">
      <c r="A475" t="str">
        <f t="shared" ca="1" si="29"/>
        <v>INC505690</v>
      </c>
      <c r="B475" t="str" cm="1">
        <f t="array" aca="1" ref="B475" ca="1">INDEX(SystemList,RANDBETWEEN(1,ROWS(SystemList)))</f>
        <v>Regulatory System</v>
      </c>
      <c r="C475" t="str" cm="1">
        <f t="array" aca="1" ref="C475" ca="1">INDEX(IssueTypeList,RANDBETWEEN(1,ROWS(IssueTypeList)))</f>
        <v>Integration Failure</v>
      </c>
      <c r="D475" t="str" cm="1">
        <f t="array" aca="1" ref="D475" ca="1">INDEX(PriorityList,RANDBETWEEN(1,ROWS(PriorityList)))</f>
        <v>Medium</v>
      </c>
      <c r="E475" t="str" cm="1">
        <f t="array" aca="1" ref="E475" ca="1">INDEX(SeverityList,RANDBETWEEN(1,ROWS(SeverityList)))</f>
        <v>Critical</v>
      </c>
      <c r="F475" t="str" cm="1">
        <f t="array" aca="1" ref="F475" ca="1">INDEX(RegionList,RANDBETWEEN(1,ROWS(RegionList)))</f>
        <v>Southeast</v>
      </c>
      <c r="G475" t="str" cm="1">
        <f t="array" aca="1" ref="G475" ca="1">INDEX(DepartmentList,RANDBETWEEN(1,ROWS(DepartmentList)))</f>
        <v>Compliance</v>
      </c>
      <c r="H475" s="1">
        <f t="shared" ca="1" si="30"/>
        <v>45143</v>
      </c>
      <c r="I475" s="4" t="str">
        <f ca="1">IF(IncidentTable[[#This Row],[Resolution Time (Days)]]="","",IncidentTable[[#This Row],[Created Date]]+IncidentTable[[#This Row],[Resolution Time (Days)]])</f>
        <v/>
      </c>
      <c r="J475" t="str">
        <f ca="1">IF(OR(IncidentTable[[#This Row],[Status]]="Resolved",IncidentTable[[#This Row],[Status]]="Closed"),RANDBETWEEN(1,120),"")</f>
        <v/>
      </c>
      <c r="K475" t="str">
        <f t="shared" ca="1" si="28"/>
        <v>Pending</v>
      </c>
      <c r="L475" t="str" cm="1">
        <f t="array" aca="1" ref="L475" ca="1">INDEX(AnalystList,RANDBETWEEN(1,ROWS(AnalystList)))</f>
        <v>Morgan Davis</v>
      </c>
      <c r="M475" t="str" cm="1">
        <f t="array" aca="1" ref="M475" ca="1">INDEX(RootCauseList,RANDBETWEEN(1,ROWS(RootCauseList)))</f>
        <v>Data Error</v>
      </c>
      <c r="N475">
        <f t="shared" ca="1" si="31"/>
        <v>11431.63</v>
      </c>
      <c r="O475" t="str">
        <f ca="1">IF(OR(IncidentTable[[#This Row],[Status]]="Resolved",IncidentTable[[#This Row],[Status]]="Closed"),
ROUND(IncidentTable[[#This Row],[Estimated Impact ($)]]*(1+RANDBETWEEN(-15,25)/100)+RAND(),2),
"")</f>
        <v/>
      </c>
      <c r="P475" t="str">
        <f ca="1">IF(IncidentTable[[#This Row],[Actual Impact ($)]]="","",ROUND(IncidentTable[[#This Row],[Actual Impact ($)]]-IncidentTable[[#This Row],[Estimated Impact ($)]],2))</f>
        <v/>
      </c>
      <c r="Q475" s="2" t="str">
        <f ca="1">IF(IncidentTable[[#This Row],[Actual Impact ($)]]="","",(IncidentTable[[#This Row],[Actual Impact ($)]]-IncidentTable[[#This Row],[Estimated Impact ($)]]) / IncidentTable[[#This Row],[Estimated Impact ($)]])</f>
        <v/>
      </c>
      <c r="R475" s="3">
        <f ca="1">IF(IncidentTable[[#This Row],[Priority]]="Critical",1,
IF(IncidentTable[[#This Row],[Priority]]="High",3,
IF(IncidentTable[[#This Row],[Priority]]="Medium",5,
IF(IncidentTable[[#This Row],[Priority]]="Low",10,""))))</f>
        <v>5</v>
      </c>
      <c r="S475" t="str">
        <f ca="1">IF(IncidentTable[[#This Row],[Resolution Time (Days)]]="","",
IF(IncidentTable[[#This Row],[Resolution Time (Days)]]&lt;=IncidentTable[[#This Row],[SLA Target (Days)]],"Yes","No"))</f>
        <v/>
      </c>
    </row>
    <row r="476" spans="1:19" x14ac:dyDescent="0.25">
      <c r="A476" t="str">
        <f t="shared" ca="1" si="29"/>
        <v>INC505095</v>
      </c>
      <c r="B476" t="str" cm="1">
        <f t="array" aca="1" ref="B476" ca="1">INDEX(SystemList,RANDBETWEEN(1,ROWS(SystemList)))</f>
        <v>Reporting System</v>
      </c>
      <c r="C476" t="str" cm="1">
        <f t="array" aca="1" ref="C476" ca="1">INDEX(IssueTypeList,RANDBETWEEN(1,ROWS(IssueTypeList)))</f>
        <v>Complaint</v>
      </c>
      <c r="D476" t="str" cm="1">
        <f t="array" aca="1" ref="D476" ca="1">INDEX(PriorityList,RANDBETWEEN(1,ROWS(PriorityList)))</f>
        <v>Critical</v>
      </c>
      <c r="E476" t="str" cm="1">
        <f t="array" aca="1" ref="E476" ca="1">INDEX(SeverityList,RANDBETWEEN(1,ROWS(SeverityList)))</f>
        <v>Minor</v>
      </c>
      <c r="F476" t="str" cm="1">
        <f t="array" aca="1" ref="F476" ca="1">INDEX(RegionList,RANDBETWEEN(1,ROWS(RegionList)))</f>
        <v>West</v>
      </c>
      <c r="G476" t="str" cm="1">
        <f t="array" aca="1" ref="G476" ca="1">INDEX(DepartmentList,RANDBETWEEN(1,ROWS(DepartmentList)))</f>
        <v>Customer Service</v>
      </c>
      <c r="H476" s="1">
        <f t="shared" ca="1" si="30"/>
        <v>45442</v>
      </c>
      <c r="I476" s="4" t="str">
        <f ca="1">IF(IncidentTable[[#This Row],[Resolution Time (Days)]]="","",IncidentTable[[#This Row],[Created Date]]+IncidentTable[[#This Row],[Resolution Time (Days)]])</f>
        <v/>
      </c>
      <c r="J476" t="str">
        <f ca="1">IF(OR(IncidentTable[[#This Row],[Status]]="Resolved",IncidentTable[[#This Row],[Status]]="Closed"),RANDBETWEEN(1,120),"")</f>
        <v/>
      </c>
      <c r="K476" t="str">
        <f t="shared" ca="1" si="28"/>
        <v>Pending</v>
      </c>
      <c r="L476" t="str" cm="1">
        <f t="array" aca="1" ref="L476" ca="1">INDEX(AnalystList,RANDBETWEEN(1,ROWS(AnalystList)))</f>
        <v>Riley Wilson</v>
      </c>
      <c r="M476" t="str" cm="1">
        <f t="array" aca="1" ref="M476" ca="1">INDEX(RootCauseList,RANDBETWEEN(1,ROWS(RootCauseList)))</f>
        <v>Data Error</v>
      </c>
      <c r="N476">
        <f t="shared" ca="1" si="31"/>
        <v>4378.63</v>
      </c>
      <c r="O476" t="str">
        <f ca="1">IF(OR(IncidentTable[[#This Row],[Status]]="Resolved",IncidentTable[[#This Row],[Status]]="Closed"),
ROUND(IncidentTable[[#This Row],[Estimated Impact ($)]]*(1+RANDBETWEEN(-15,25)/100)+RAND(),2),
"")</f>
        <v/>
      </c>
      <c r="P476" t="str">
        <f ca="1">IF(IncidentTable[[#This Row],[Actual Impact ($)]]="","",ROUND(IncidentTable[[#This Row],[Actual Impact ($)]]-IncidentTable[[#This Row],[Estimated Impact ($)]],2))</f>
        <v/>
      </c>
      <c r="Q476" s="2" t="str">
        <f ca="1">IF(IncidentTable[[#This Row],[Actual Impact ($)]]="","",(IncidentTable[[#This Row],[Actual Impact ($)]]-IncidentTable[[#This Row],[Estimated Impact ($)]]) / IncidentTable[[#This Row],[Estimated Impact ($)]])</f>
        <v/>
      </c>
      <c r="R476" s="3">
        <f ca="1">IF(IncidentTable[[#This Row],[Priority]]="Critical",1,
IF(IncidentTable[[#This Row],[Priority]]="High",3,
IF(IncidentTable[[#This Row],[Priority]]="Medium",5,
IF(IncidentTable[[#This Row],[Priority]]="Low",10,""))))</f>
        <v>1</v>
      </c>
      <c r="S476" t="str">
        <f ca="1">IF(IncidentTable[[#This Row],[Resolution Time (Days)]]="","",
IF(IncidentTable[[#This Row],[Resolution Time (Days)]]&lt;=IncidentTable[[#This Row],[SLA Target (Days)]],"Yes","No"))</f>
        <v/>
      </c>
    </row>
    <row r="477" spans="1:19" x14ac:dyDescent="0.25">
      <c r="A477" t="str">
        <f t="shared" ca="1" si="29"/>
        <v>INC411792</v>
      </c>
      <c r="B477" t="str" cm="1">
        <f t="array" aca="1" ref="B477" ca="1">INDEX(SystemList,RANDBETWEEN(1,ROWS(SystemList)))</f>
        <v>Billing System</v>
      </c>
      <c r="C477" t="str" cm="1">
        <f t="array" aca="1" ref="C477" ca="1">INDEX(IssueTypeList,RANDBETWEEN(1,ROWS(IssueTypeList)))</f>
        <v>Complaint</v>
      </c>
      <c r="D477" t="str" cm="1">
        <f t="array" aca="1" ref="D477" ca="1">INDEX(PriorityList,RANDBETWEEN(1,ROWS(PriorityList)))</f>
        <v>High</v>
      </c>
      <c r="E477" t="str" cm="1">
        <f t="array" aca="1" ref="E477" ca="1">INDEX(SeverityList,RANDBETWEEN(1,ROWS(SeverityList)))</f>
        <v>Minor</v>
      </c>
      <c r="F477" t="str" cm="1">
        <f t="array" aca="1" ref="F477" ca="1">INDEX(RegionList,RANDBETWEEN(1,ROWS(RegionList)))</f>
        <v>West</v>
      </c>
      <c r="G477" t="str" cm="1">
        <f t="array" aca="1" ref="G477" ca="1">INDEX(DepartmentList,RANDBETWEEN(1,ROWS(DepartmentList)))</f>
        <v>IT</v>
      </c>
      <c r="H477" s="1">
        <f t="shared" ca="1" si="30"/>
        <v>45193</v>
      </c>
      <c r="I477" s="4">
        <f ca="1">IF(IncidentTable[[#This Row],[Resolution Time (Days)]]="","",IncidentTable[[#This Row],[Created Date]]+IncidentTable[[#This Row],[Resolution Time (Days)]])</f>
        <v>45234</v>
      </c>
      <c r="J477">
        <f ca="1">IF(OR(IncidentTable[[#This Row],[Status]]="Resolved",IncidentTable[[#This Row],[Status]]="Closed"),RANDBETWEEN(1,120),"")</f>
        <v>41</v>
      </c>
      <c r="K477" t="str">
        <f t="shared" ca="1" si="28"/>
        <v>Resolved</v>
      </c>
      <c r="L477" t="str" cm="1">
        <f t="array" aca="1" ref="L477" ca="1">INDEX(AnalystList,RANDBETWEEN(1,ROWS(AnalystList)))</f>
        <v>Morgan Davis</v>
      </c>
      <c r="M477" t="str" cm="1">
        <f t="array" aca="1" ref="M477" ca="1">INDEX(RootCauseList,RANDBETWEEN(1,ROWS(RootCauseList)))</f>
        <v>Unknown</v>
      </c>
      <c r="N477">
        <f t="shared" ca="1" si="31"/>
        <v>2787.89</v>
      </c>
      <c r="O477">
        <f ca="1">IF(OR(IncidentTable[[#This Row],[Status]]="Resolved",IncidentTable[[#This Row],[Status]]="Closed"),
ROUND(IncidentTable[[#This Row],[Estimated Impact ($)]]*(1+RANDBETWEEN(-15,25)/100)+RAND(),2),
"")</f>
        <v>3011.13</v>
      </c>
      <c r="P477">
        <f ca="1">IF(IncidentTable[[#This Row],[Actual Impact ($)]]="","",ROUND(IncidentTable[[#This Row],[Actual Impact ($)]]-IncidentTable[[#This Row],[Estimated Impact ($)]],2))</f>
        <v>223.24</v>
      </c>
      <c r="Q477" s="2">
        <f ca="1">IF(IncidentTable[[#This Row],[Actual Impact ($)]]="","",(IncidentTable[[#This Row],[Actual Impact ($)]]-IncidentTable[[#This Row],[Estimated Impact ($)]]) / IncidentTable[[#This Row],[Estimated Impact ($)]])</f>
        <v>8.0074895350964431E-2</v>
      </c>
      <c r="R477" s="3">
        <f ca="1">IF(IncidentTable[[#This Row],[Priority]]="Critical",1,
IF(IncidentTable[[#This Row],[Priority]]="High",3,
IF(IncidentTable[[#This Row],[Priority]]="Medium",5,
IF(IncidentTable[[#This Row],[Priority]]="Low",10,""))))</f>
        <v>3</v>
      </c>
      <c r="S477" t="str">
        <f ca="1">IF(IncidentTable[[#This Row],[Resolution Time (Days)]]="","",
IF(IncidentTable[[#This Row],[Resolution Time (Days)]]&lt;=IncidentTable[[#This Row],[SLA Target (Days)]],"Yes","No"))</f>
        <v>No</v>
      </c>
    </row>
    <row r="478" spans="1:19" x14ac:dyDescent="0.25">
      <c r="A478" t="str">
        <f t="shared" ca="1" si="29"/>
        <v>INC196947</v>
      </c>
      <c r="B478" t="str" cm="1">
        <f t="array" aca="1" ref="B478" ca="1">INDEX(SystemList,RANDBETWEEN(1,ROWS(SystemList)))</f>
        <v>Billing System</v>
      </c>
      <c r="C478" t="str" cm="1">
        <f t="array" aca="1" ref="C478" ca="1">INDEX(IssueTypeList,RANDBETWEEN(1,ROWS(IssueTypeList)))</f>
        <v>System Error</v>
      </c>
      <c r="D478" t="str" cm="1">
        <f t="array" aca="1" ref="D478" ca="1">INDEX(PriorityList,RANDBETWEEN(1,ROWS(PriorityList)))</f>
        <v>Medium</v>
      </c>
      <c r="E478" t="str" cm="1">
        <f t="array" aca="1" ref="E478" ca="1">INDEX(SeverityList,RANDBETWEEN(1,ROWS(SeverityList)))</f>
        <v>Critical</v>
      </c>
      <c r="F478" t="str" cm="1">
        <f t="array" aca="1" ref="F478" ca="1">INDEX(RegionList,RANDBETWEEN(1,ROWS(RegionList)))</f>
        <v>West</v>
      </c>
      <c r="G478" t="str" cm="1">
        <f t="array" aca="1" ref="G478" ca="1">INDEX(DepartmentList,RANDBETWEEN(1,ROWS(DepartmentList)))</f>
        <v>Compliance</v>
      </c>
      <c r="H478" s="1">
        <f t="shared" ca="1" si="30"/>
        <v>45057</v>
      </c>
      <c r="I478" s="4">
        <f ca="1">IF(IncidentTable[[#This Row],[Resolution Time (Days)]]="","",IncidentTable[[#This Row],[Created Date]]+IncidentTable[[#This Row],[Resolution Time (Days)]])</f>
        <v>45077</v>
      </c>
      <c r="J478">
        <f ca="1">IF(OR(IncidentTable[[#This Row],[Status]]="Resolved",IncidentTable[[#This Row],[Status]]="Closed"),RANDBETWEEN(1,120),"")</f>
        <v>20</v>
      </c>
      <c r="K478" t="str">
        <f t="shared" ca="1" si="28"/>
        <v>Resolved</v>
      </c>
      <c r="L478" t="str" cm="1">
        <f t="array" aca="1" ref="L478" ca="1">INDEX(AnalystList,RANDBETWEEN(1,ROWS(AnalystList)))</f>
        <v>Casey Brown</v>
      </c>
      <c r="M478" t="str" cm="1">
        <f t="array" aca="1" ref="M478" ca="1">INDEX(RootCauseList,RANDBETWEEN(1,ROWS(RootCauseList)))</f>
        <v>Network Failure</v>
      </c>
      <c r="N478">
        <f t="shared" ca="1" si="31"/>
        <v>37335</v>
      </c>
      <c r="O478">
        <f ca="1">IF(OR(IncidentTable[[#This Row],[Status]]="Resolved",IncidentTable[[#This Row],[Status]]="Closed"),
ROUND(IncidentTable[[#This Row],[Estimated Impact ($)]]*(1+RANDBETWEEN(-15,25)/100)+RAND(),2),
"")</f>
        <v>46296.38</v>
      </c>
      <c r="P478">
        <f ca="1">IF(IncidentTable[[#This Row],[Actual Impact ($)]]="","",ROUND(IncidentTable[[#This Row],[Actual Impact ($)]]-IncidentTable[[#This Row],[Estimated Impact ($)]],2))</f>
        <v>8961.3799999999992</v>
      </c>
      <c r="Q478" s="2">
        <f ca="1">IF(IncidentTable[[#This Row],[Actual Impact ($)]]="","",(IncidentTable[[#This Row],[Actual Impact ($)]]-IncidentTable[[#This Row],[Estimated Impact ($)]]) / IncidentTable[[#This Row],[Estimated Impact ($)]])</f>
        <v>0.24002624882817725</v>
      </c>
      <c r="R478" s="3">
        <f ca="1">IF(IncidentTable[[#This Row],[Priority]]="Critical",1,
IF(IncidentTable[[#This Row],[Priority]]="High",3,
IF(IncidentTable[[#This Row],[Priority]]="Medium",5,
IF(IncidentTable[[#This Row],[Priority]]="Low",10,""))))</f>
        <v>5</v>
      </c>
      <c r="S478" t="str">
        <f ca="1">IF(IncidentTable[[#This Row],[Resolution Time (Days)]]="","",
IF(IncidentTable[[#This Row],[Resolution Time (Days)]]&lt;=IncidentTable[[#This Row],[SLA Target (Days)]],"Yes","No"))</f>
        <v>No</v>
      </c>
    </row>
    <row r="479" spans="1:19" x14ac:dyDescent="0.25">
      <c r="A479" t="str">
        <f t="shared" ca="1" si="29"/>
        <v>INC636065</v>
      </c>
      <c r="B479" t="str" cm="1">
        <f t="array" aca="1" ref="B479" ca="1">INDEX(SystemList,RANDBETWEEN(1,ROWS(SystemList)))</f>
        <v>Billing System</v>
      </c>
      <c r="C479" t="str" cm="1">
        <f t="array" aca="1" ref="C479" ca="1">INDEX(IssueTypeList,RANDBETWEEN(1,ROWS(IssueTypeList)))</f>
        <v>System Error</v>
      </c>
      <c r="D479" t="str" cm="1">
        <f t="array" aca="1" ref="D479" ca="1">INDEX(PriorityList,RANDBETWEEN(1,ROWS(PriorityList)))</f>
        <v>High</v>
      </c>
      <c r="E479" t="str" cm="1">
        <f t="array" aca="1" ref="E479" ca="1">INDEX(SeverityList,RANDBETWEEN(1,ROWS(SeverityList)))</f>
        <v>Major</v>
      </c>
      <c r="F479" t="str" cm="1">
        <f t="array" aca="1" ref="F479" ca="1">INDEX(RegionList,RANDBETWEEN(1,ROWS(RegionList)))</f>
        <v>Southeast</v>
      </c>
      <c r="G479" t="str" cm="1">
        <f t="array" aca="1" ref="G479" ca="1">INDEX(DepartmentList,RANDBETWEEN(1,ROWS(DepartmentList)))</f>
        <v>Claims</v>
      </c>
      <c r="H479" s="1">
        <f t="shared" ca="1" si="30"/>
        <v>45292</v>
      </c>
      <c r="I479" s="4">
        <f ca="1">IF(IncidentTable[[#This Row],[Resolution Time (Days)]]="","",IncidentTable[[#This Row],[Created Date]]+IncidentTable[[#This Row],[Resolution Time (Days)]])</f>
        <v>45369</v>
      </c>
      <c r="J479">
        <f ca="1">IF(OR(IncidentTable[[#This Row],[Status]]="Resolved",IncidentTable[[#This Row],[Status]]="Closed"),RANDBETWEEN(1,120),"")</f>
        <v>77</v>
      </c>
      <c r="K479" t="str">
        <f t="shared" ca="1" si="28"/>
        <v>Resolved</v>
      </c>
      <c r="L479" t="str" cm="1">
        <f t="array" aca="1" ref="L479" ca="1">INDEX(AnalystList,RANDBETWEEN(1,ROWS(AnalystList)))</f>
        <v>Taylor Smith</v>
      </c>
      <c r="M479" t="str" cm="1">
        <f t="array" aca="1" ref="M479" ca="1">INDEX(RootCauseList,RANDBETWEEN(1,ROWS(RootCauseList)))</f>
        <v>User Error</v>
      </c>
      <c r="N479">
        <f t="shared" ca="1" si="31"/>
        <v>705.91</v>
      </c>
      <c r="O479">
        <f ca="1">IF(OR(IncidentTable[[#This Row],[Status]]="Resolved",IncidentTable[[#This Row],[Status]]="Closed"),
ROUND(IncidentTable[[#This Row],[Estimated Impact ($)]]*(1+RANDBETWEEN(-15,25)/100)+RAND(),2),
"")</f>
        <v>607.29999999999995</v>
      </c>
      <c r="P479">
        <f ca="1">IF(IncidentTable[[#This Row],[Actual Impact ($)]]="","",ROUND(IncidentTable[[#This Row],[Actual Impact ($)]]-IncidentTable[[#This Row],[Estimated Impact ($)]],2))</f>
        <v>-98.61</v>
      </c>
      <c r="Q479" s="2">
        <f ca="1">IF(IncidentTable[[#This Row],[Actual Impact ($)]]="","",(IncidentTable[[#This Row],[Actual Impact ($)]]-IncidentTable[[#This Row],[Estimated Impact ($)]]) / IncidentTable[[#This Row],[Estimated Impact ($)]])</f>
        <v>-0.13969202872887482</v>
      </c>
      <c r="R479" s="3">
        <f ca="1">IF(IncidentTable[[#This Row],[Priority]]="Critical",1,
IF(IncidentTable[[#This Row],[Priority]]="High",3,
IF(IncidentTable[[#This Row],[Priority]]="Medium",5,
IF(IncidentTable[[#This Row],[Priority]]="Low",10,""))))</f>
        <v>3</v>
      </c>
      <c r="S479" t="str">
        <f ca="1">IF(IncidentTable[[#This Row],[Resolution Time (Days)]]="","",
IF(IncidentTable[[#This Row],[Resolution Time (Days)]]&lt;=IncidentTable[[#This Row],[SLA Target (Days)]],"Yes","No"))</f>
        <v>No</v>
      </c>
    </row>
    <row r="480" spans="1:19" x14ac:dyDescent="0.25">
      <c r="A480" t="str">
        <f t="shared" ca="1" si="29"/>
        <v>INC201773</v>
      </c>
      <c r="B480" t="str" cm="1">
        <f t="array" aca="1" ref="B480" ca="1">INDEX(SystemList,RANDBETWEEN(1,ROWS(SystemList)))</f>
        <v>Customer Portal</v>
      </c>
      <c r="C480" t="str" cm="1">
        <f t="array" aca="1" ref="C480" ca="1">INDEX(IssueTypeList,RANDBETWEEN(1,ROWS(IssueTypeList)))</f>
        <v>Performance Issue</v>
      </c>
      <c r="D480" t="str" cm="1">
        <f t="array" aca="1" ref="D480" ca="1">INDEX(PriorityList,RANDBETWEEN(1,ROWS(PriorityList)))</f>
        <v>Critical</v>
      </c>
      <c r="E480" t="str" cm="1">
        <f t="array" aca="1" ref="E480" ca="1">INDEX(SeverityList,RANDBETWEEN(1,ROWS(SeverityList)))</f>
        <v>Major</v>
      </c>
      <c r="F480" t="str" cm="1">
        <f t="array" aca="1" ref="F480" ca="1">INDEX(RegionList,RANDBETWEEN(1,ROWS(RegionList)))</f>
        <v>Central</v>
      </c>
      <c r="G480" t="str" cm="1">
        <f t="array" aca="1" ref="G480" ca="1">INDEX(DepartmentList,RANDBETWEEN(1,ROWS(DepartmentList)))</f>
        <v>IT</v>
      </c>
      <c r="H480" s="1">
        <f t="shared" ca="1" si="30"/>
        <v>45249</v>
      </c>
      <c r="I480" s="4">
        <f ca="1">IF(IncidentTable[[#This Row],[Resolution Time (Days)]]="","",IncidentTable[[#This Row],[Created Date]]+IncidentTable[[#This Row],[Resolution Time (Days)]])</f>
        <v>45274</v>
      </c>
      <c r="J480">
        <f ca="1">IF(OR(IncidentTable[[#This Row],[Status]]="Resolved",IncidentTable[[#This Row],[Status]]="Closed"),RANDBETWEEN(1,120),"")</f>
        <v>25</v>
      </c>
      <c r="K480" t="str">
        <f t="shared" ca="1" si="28"/>
        <v>Closed</v>
      </c>
      <c r="L480" t="str" cm="1">
        <f t="array" aca="1" ref="L480" ca="1">INDEX(AnalystList,RANDBETWEEN(1,ROWS(AnalystList)))</f>
        <v>Casey Brown</v>
      </c>
      <c r="M480" t="str" cm="1">
        <f t="array" aca="1" ref="M480" ca="1">INDEX(RootCauseList,RANDBETWEEN(1,ROWS(RootCauseList)))</f>
        <v>Process Gap</v>
      </c>
      <c r="N480">
        <f t="shared" ca="1" si="31"/>
        <v>721.85</v>
      </c>
      <c r="O480">
        <f ca="1">IF(OR(IncidentTable[[#This Row],[Status]]="Resolved",IncidentTable[[#This Row],[Status]]="Closed"),
ROUND(IncidentTable[[#This Row],[Estimated Impact ($)]]*(1+RANDBETWEEN(-15,25)/100)+RAND(),2),
"")</f>
        <v>708.18</v>
      </c>
      <c r="P480">
        <f ca="1">IF(IncidentTable[[#This Row],[Actual Impact ($)]]="","",ROUND(IncidentTable[[#This Row],[Actual Impact ($)]]-IncidentTable[[#This Row],[Estimated Impact ($)]],2))</f>
        <v>-13.67</v>
      </c>
      <c r="Q480" s="2">
        <f ca="1">IF(IncidentTable[[#This Row],[Actual Impact ($)]]="","",(IncidentTable[[#This Row],[Actual Impact ($)]]-IncidentTable[[#This Row],[Estimated Impact ($)]]) / IncidentTable[[#This Row],[Estimated Impact ($)]])</f>
        <v>-1.893745237930328E-2</v>
      </c>
      <c r="R480" s="3">
        <f ca="1">IF(IncidentTable[[#This Row],[Priority]]="Critical",1,
IF(IncidentTable[[#This Row],[Priority]]="High",3,
IF(IncidentTable[[#This Row],[Priority]]="Medium",5,
IF(IncidentTable[[#This Row],[Priority]]="Low",10,""))))</f>
        <v>1</v>
      </c>
      <c r="S480" t="str">
        <f ca="1">IF(IncidentTable[[#This Row],[Resolution Time (Days)]]="","",
IF(IncidentTable[[#This Row],[Resolution Time (Days)]]&lt;=IncidentTable[[#This Row],[SLA Target (Days)]],"Yes","No"))</f>
        <v>No</v>
      </c>
    </row>
    <row r="481" spans="1:19" x14ac:dyDescent="0.25">
      <c r="A481" t="str">
        <f t="shared" ca="1" si="29"/>
        <v>INC842311</v>
      </c>
      <c r="B481" t="str" cm="1">
        <f t="array" aca="1" ref="B481" ca="1">INDEX(SystemList,RANDBETWEEN(1,ROWS(SystemList)))</f>
        <v>Claims System</v>
      </c>
      <c r="C481" t="str" cm="1">
        <f t="array" aca="1" ref="C481" ca="1">INDEX(IssueTypeList,RANDBETWEEN(1,ROWS(IssueTypeList)))</f>
        <v>Data Issue</v>
      </c>
      <c r="D481" t="str" cm="1">
        <f t="array" aca="1" ref="D481" ca="1">INDEX(PriorityList,RANDBETWEEN(1,ROWS(PriorityList)))</f>
        <v>Low</v>
      </c>
      <c r="E481" t="str" cm="1">
        <f t="array" aca="1" ref="E481" ca="1">INDEX(SeverityList,RANDBETWEEN(1,ROWS(SeverityList)))</f>
        <v>Critical</v>
      </c>
      <c r="F481" t="str" cm="1">
        <f t="array" aca="1" ref="F481" ca="1">INDEX(RegionList,RANDBETWEEN(1,ROWS(RegionList)))</f>
        <v>Central</v>
      </c>
      <c r="G481" t="str" cm="1">
        <f t="array" aca="1" ref="G481" ca="1">INDEX(DepartmentList,RANDBETWEEN(1,ROWS(DepartmentList)))</f>
        <v>Finance</v>
      </c>
      <c r="H481" s="1">
        <f t="shared" ca="1" si="30"/>
        <v>45219</v>
      </c>
      <c r="I481" s="4" t="str">
        <f ca="1">IF(IncidentTable[[#This Row],[Resolution Time (Days)]]="","",IncidentTable[[#This Row],[Created Date]]+IncidentTable[[#This Row],[Resolution Time (Days)]])</f>
        <v/>
      </c>
      <c r="J481" t="str">
        <f ca="1">IF(OR(IncidentTable[[#This Row],[Status]]="Resolved",IncidentTable[[#This Row],[Status]]="Closed"),RANDBETWEEN(1,120),"")</f>
        <v/>
      </c>
      <c r="K481" t="str">
        <f t="shared" ca="1" si="28"/>
        <v>In Progress</v>
      </c>
      <c r="L481" t="str" cm="1">
        <f t="array" aca="1" ref="L481" ca="1">INDEX(AnalystList,RANDBETWEEN(1,ROWS(AnalystList)))</f>
        <v>Taylor Smith</v>
      </c>
      <c r="M481" t="str" cm="1">
        <f t="array" aca="1" ref="M481" ca="1">INDEX(RootCauseList,RANDBETWEEN(1,ROWS(RootCauseList)))</f>
        <v>Unknown</v>
      </c>
      <c r="N481">
        <f t="shared" ca="1" si="31"/>
        <v>238.02</v>
      </c>
      <c r="O481" t="str">
        <f ca="1">IF(OR(IncidentTable[[#This Row],[Status]]="Resolved",IncidentTable[[#This Row],[Status]]="Closed"),
ROUND(IncidentTable[[#This Row],[Estimated Impact ($)]]*(1+RANDBETWEEN(-15,25)/100)+RAND(),2),
"")</f>
        <v/>
      </c>
      <c r="P481" t="str">
        <f ca="1">IF(IncidentTable[[#This Row],[Actual Impact ($)]]="","",ROUND(IncidentTable[[#This Row],[Actual Impact ($)]]-IncidentTable[[#This Row],[Estimated Impact ($)]],2))</f>
        <v/>
      </c>
      <c r="Q481" s="2" t="str">
        <f ca="1">IF(IncidentTable[[#This Row],[Actual Impact ($)]]="","",(IncidentTable[[#This Row],[Actual Impact ($)]]-IncidentTable[[#This Row],[Estimated Impact ($)]]) / IncidentTable[[#This Row],[Estimated Impact ($)]])</f>
        <v/>
      </c>
      <c r="R481" s="3">
        <f ca="1">IF(IncidentTable[[#This Row],[Priority]]="Critical",1,
IF(IncidentTable[[#This Row],[Priority]]="High",3,
IF(IncidentTable[[#This Row],[Priority]]="Medium",5,
IF(IncidentTable[[#This Row],[Priority]]="Low",10,""))))</f>
        <v>10</v>
      </c>
      <c r="S481" t="str">
        <f ca="1">IF(IncidentTable[[#This Row],[Resolution Time (Days)]]="","",
IF(IncidentTable[[#This Row],[Resolution Time (Days)]]&lt;=IncidentTable[[#This Row],[SLA Target (Days)]],"Yes","No"))</f>
        <v/>
      </c>
    </row>
    <row r="482" spans="1:19" x14ac:dyDescent="0.25">
      <c r="A482" t="str">
        <f t="shared" ca="1" si="29"/>
        <v>INC193742</v>
      </c>
      <c r="B482" t="str" cm="1">
        <f t="array" aca="1" ref="B482" ca="1">INDEX(SystemList,RANDBETWEEN(1,ROWS(SystemList)))</f>
        <v>Regulatory System</v>
      </c>
      <c r="C482" t="str" cm="1">
        <f t="array" aca="1" ref="C482" ca="1">INDEX(IssueTypeList,RANDBETWEEN(1,ROWS(IssueTypeList)))</f>
        <v>Complaint</v>
      </c>
      <c r="D482" t="str" cm="1">
        <f t="array" aca="1" ref="D482" ca="1">INDEX(PriorityList,RANDBETWEEN(1,ROWS(PriorityList)))</f>
        <v>Critical</v>
      </c>
      <c r="E482" t="str" cm="1">
        <f t="array" aca="1" ref="E482" ca="1">INDEX(SeverityList,RANDBETWEEN(1,ROWS(SeverityList)))</f>
        <v>Minor</v>
      </c>
      <c r="F482" t="str" cm="1">
        <f t="array" aca="1" ref="F482" ca="1">INDEX(RegionList,RANDBETWEEN(1,ROWS(RegionList)))</f>
        <v>Southeast</v>
      </c>
      <c r="G482" t="str" cm="1">
        <f t="array" aca="1" ref="G482" ca="1">INDEX(DepartmentList,RANDBETWEEN(1,ROWS(DepartmentList)))</f>
        <v>Compliance</v>
      </c>
      <c r="H482" s="1">
        <f t="shared" ca="1" si="30"/>
        <v>45472</v>
      </c>
      <c r="I482" s="4" t="str">
        <f ca="1">IF(IncidentTable[[#This Row],[Resolution Time (Days)]]="","",IncidentTable[[#This Row],[Created Date]]+IncidentTable[[#This Row],[Resolution Time (Days)]])</f>
        <v/>
      </c>
      <c r="J482" t="str">
        <f ca="1">IF(OR(IncidentTable[[#This Row],[Status]]="Resolved",IncidentTable[[#This Row],[Status]]="Closed"),RANDBETWEEN(1,120),"")</f>
        <v/>
      </c>
      <c r="K482" t="str">
        <f t="shared" ca="1" si="28"/>
        <v>Pending</v>
      </c>
      <c r="L482" t="str" cm="1">
        <f t="array" aca="1" ref="L482" ca="1">INDEX(AnalystList,RANDBETWEEN(1,ROWS(AnalystList)))</f>
        <v>Taylor Smith</v>
      </c>
      <c r="M482" t="str" cm="1">
        <f t="array" aca="1" ref="M482" ca="1">INDEX(RootCauseList,RANDBETWEEN(1,ROWS(RootCauseList)))</f>
        <v>System Bug</v>
      </c>
      <c r="N482">
        <f t="shared" ca="1" si="31"/>
        <v>20339.68</v>
      </c>
      <c r="O482" t="str">
        <f ca="1">IF(OR(IncidentTable[[#This Row],[Status]]="Resolved",IncidentTable[[#This Row],[Status]]="Closed"),
ROUND(IncidentTable[[#This Row],[Estimated Impact ($)]]*(1+RANDBETWEEN(-15,25)/100)+RAND(),2),
"")</f>
        <v/>
      </c>
      <c r="P482" t="str">
        <f ca="1">IF(IncidentTable[[#This Row],[Actual Impact ($)]]="","",ROUND(IncidentTable[[#This Row],[Actual Impact ($)]]-IncidentTable[[#This Row],[Estimated Impact ($)]],2))</f>
        <v/>
      </c>
      <c r="Q482" s="2" t="str">
        <f ca="1">IF(IncidentTable[[#This Row],[Actual Impact ($)]]="","",(IncidentTable[[#This Row],[Actual Impact ($)]]-IncidentTable[[#This Row],[Estimated Impact ($)]]) / IncidentTable[[#This Row],[Estimated Impact ($)]])</f>
        <v/>
      </c>
      <c r="R482" s="3">
        <f ca="1">IF(IncidentTable[[#This Row],[Priority]]="Critical",1,
IF(IncidentTable[[#This Row],[Priority]]="High",3,
IF(IncidentTable[[#This Row],[Priority]]="Medium",5,
IF(IncidentTable[[#This Row],[Priority]]="Low",10,""))))</f>
        <v>1</v>
      </c>
      <c r="S482" t="str">
        <f ca="1">IF(IncidentTable[[#This Row],[Resolution Time (Days)]]="","",
IF(IncidentTable[[#This Row],[Resolution Time (Days)]]&lt;=IncidentTable[[#This Row],[SLA Target (Days)]],"Yes","No"))</f>
        <v/>
      </c>
    </row>
    <row r="483" spans="1:19" x14ac:dyDescent="0.25">
      <c r="A483" t="str">
        <f t="shared" ca="1" si="29"/>
        <v>INC160268</v>
      </c>
      <c r="B483" t="str" cm="1">
        <f t="array" aca="1" ref="B483" ca="1">INDEX(SystemList,RANDBETWEEN(1,ROWS(SystemList)))</f>
        <v>Customer Portal</v>
      </c>
      <c r="C483" t="str" cm="1">
        <f t="array" aca="1" ref="C483" ca="1">INDEX(IssueTypeList,RANDBETWEEN(1,ROWS(IssueTypeList)))</f>
        <v>Payment Failure</v>
      </c>
      <c r="D483" t="str" cm="1">
        <f t="array" aca="1" ref="D483" ca="1">INDEX(PriorityList,RANDBETWEEN(1,ROWS(PriorityList)))</f>
        <v>High</v>
      </c>
      <c r="E483" t="str" cm="1">
        <f t="array" aca="1" ref="E483" ca="1">INDEX(SeverityList,RANDBETWEEN(1,ROWS(SeverityList)))</f>
        <v>Major</v>
      </c>
      <c r="F483" t="str" cm="1">
        <f t="array" aca="1" ref="F483" ca="1">INDEX(RegionList,RANDBETWEEN(1,ROWS(RegionList)))</f>
        <v>West</v>
      </c>
      <c r="G483" t="str" cm="1">
        <f t="array" aca="1" ref="G483" ca="1">INDEX(DepartmentList,RANDBETWEEN(1,ROWS(DepartmentList)))</f>
        <v>Finance</v>
      </c>
      <c r="H483" s="1">
        <f t="shared" ca="1" si="30"/>
        <v>45086</v>
      </c>
      <c r="I483" s="4">
        <f ca="1">IF(IncidentTable[[#This Row],[Resolution Time (Days)]]="","",IncidentTable[[#This Row],[Created Date]]+IncidentTable[[#This Row],[Resolution Time (Days)]])</f>
        <v>45111</v>
      </c>
      <c r="J483">
        <f ca="1">IF(OR(IncidentTable[[#This Row],[Status]]="Resolved",IncidentTable[[#This Row],[Status]]="Closed"),RANDBETWEEN(1,120),"")</f>
        <v>25</v>
      </c>
      <c r="K483" t="str">
        <f t="shared" ca="1" si="28"/>
        <v>Resolved</v>
      </c>
      <c r="L483" t="str" cm="1">
        <f t="array" aca="1" ref="L483" ca="1">INDEX(AnalystList,RANDBETWEEN(1,ROWS(AnalystList)))</f>
        <v>Alex Johnson</v>
      </c>
      <c r="M483" t="str" cm="1">
        <f t="array" aca="1" ref="M483" ca="1">INDEX(RootCauseList,RANDBETWEEN(1,ROWS(RootCauseList)))</f>
        <v>System Bug</v>
      </c>
      <c r="N483">
        <f t="shared" ca="1" si="31"/>
        <v>4031.66</v>
      </c>
      <c r="O483">
        <f ca="1">IF(OR(IncidentTable[[#This Row],[Status]]="Resolved",IncidentTable[[#This Row],[Status]]="Closed"),
ROUND(IncidentTable[[#This Row],[Estimated Impact ($)]]*(1+RANDBETWEEN(-15,25)/100)+RAND(),2),
"")</f>
        <v>3427.31</v>
      </c>
      <c r="P483">
        <f ca="1">IF(IncidentTable[[#This Row],[Actual Impact ($)]]="","",ROUND(IncidentTable[[#This Row],[Actual Impact ($)]]-IncidentTable[[#This Row],[Estimated Impact ($)]],2))</f>
        <v>-604.35</v>
      </c>
      <c r="Q483" s="2">
        <f ca="1">IF(IncidentTable[[#This Row],[Actual Impact ($)]]="","",(IncidentTable[[#This Row],[Actual Impact ($)]]-IncidentTable[[#This Row],[Estimated Impact ($)]]) / IncidentTable[[#This Row],[Estimated Impact ($)]])</f>
        <v>-0.1499010333212622</v>
      </c>
      <c r="R483" s="3">
        <f ca="1">IF(IncidentTable[[#This Row],[Priority]]="Critical",1,
IF(IncidentTable[[#This Row],[Priority]]="High",3,
IF(IncidentTable[[#This Row],[Priority]]="Medium",5,
IF(IncidentTable[[#This Row],[Priority]]="Low",10,""))))</f>
        <v>3</v>
      </c>
      <c r="S483" t="str">
        <f ca="1">IF(IncidentTable[[#This Row],[Resolution Time (Days)]]="","",
IF(IncidentTable[[#This Row],[Resolution Time (Days)]]&lt;=IncidentTable[[#This Row],[SLA Target (Days)]],"Yes","No"))</f>
        <v>No</v>
      </c>
    </row>
    <row r="484" spans="1:19" x14ac:dyDescent="0.25">
      <c r="A484" t="str">
        <f t="shared" ca="1" si="29"/>
        <v>INC980732</v>
      </c>
      <c r="B484" t="str" cm="1">
        <f t="array" aca="1" ref="B484" ca="1">INDEX(SystemList,RANDBETWEEN(1,ROWS(SystemList)))</f>
        <v>Reporting System</v>
      </c>
      <c r="C484" t="str" cm="1">
        <f t="array" aca="1" ref="C484" ca="1">INDEX(IssueTypeList,RANDBETWEEN(1,ROWS(IssueTypeList)))</f>
        <v>System Error</v>
      </c>
      <c r="D484" t="str" cm="1">
        <f t="array" aca="1" ref="D484" ca="1">INDEX(PriorityList,RANDBETWEEN(1,ROWS(PriorityList)))</f>
        <v>Low</v>
      </c>
      <c r="E484" t="str" cm="1">
        <f t="array" aca="1" ref="E484" ca="1">INDEX(SeverityList,RANDBETWEEN(1,ROWS(SeverityList)))</f>
        <v>Minor</v>
      </c>
      <c r="F484" t="str" cm="1">
        <f t="array" aca="1" ref="F484" ca="1">INDEX(RegionList,RANDBETWEEN(1,ROWS(RegionList)))</f>
        <v>Southeast</v>
      </c>
      <c r="G484" t="str" cm="1">
        <f t="array" aca="1" ref="G484" ca="1">INDEX(DepartmentList,RANDBETWEEN(1,ROWS(DepartmentList)))</f>
        <v>Claims</v>
      </c>
      <c r="H484" s="1">
        <f t="shared" ca="1" si="30"/>
        <v>45391</v>
      </c>
      <c r="I484" s="4" t="str">
        <f ca="1">IF(IncidentTable[[#This Row],[Resolution Time (Days)]]="","",IncidentTable[[#This Row],[Created Date]]+IncidentTable[[#This Row],[Resolution Time (Days)]])</f>
        <v/>
      </c>
      <c r="J484" t="str">
        <f ca="1">IF(OR(IncidentTable[[#This Row],[Status]]="Resolved",IncidentTable[[#This Row],[Status]]="Closed"),RANDBETWEEN(1,120),"")</f>
        <v/>
      </c>
      <c r="K484" t="str">
        <f t="shared" ca="1" si="28"/>
        <v>In Progress</v>
      </c>
      <c r="L484" t="str" cm="1">
        <f t="array" aca="1" ref="L484" ca="1">INDEX(AnalystList,RANDBETWEEN(1,ROWS(AnalystList)))</f>
        <v>Riley Wilson</v>
      </c>
      <c r="M484" t="str" cm="1">
        <f t="array" aca="1" ref="M484" ca="1">INDEX(RootCauseList,RANDBETWEEN(1,ROWS(RootCauseList)))</f>
        <v>Process Gap</v>
      </c>
      <c r="N484">
        <f t="shared" ca="1" si="31"/>
        <v>2070.41</v>
      </c>
      <c r="O484" t="str">
        <f ca="1">IF(OR(IncidentTable[[#This Row],[Status]]="Resolved",IncidentTable[[#This Row],[Status]]="Closed"),
ROUND(IncidentTable[[#This Row],[Estimated Impact ($)]]*(1+RANDBETWEEN(-15,25)/100)+RAND(),2),
"")</f>
        <v/>
      </c>
      <c r="P484" t="str">
        <f ca="1">IF(IncidentTable[[#This Row],[Actual Impact ($)]]="","",ROUND(IncidentTable[[#This Row],[Actual Impact ($)]]-IncidentTable[[#This Row],[Estimated Impact ($)]],2))</f>
        <v/>
      </c>
      <c r="Q484" s="2" t="str">
        <f ca="1">IF(IncidentTable[[#This Row],[Actual Impact ($)]]="","",(IncidentTable[[#This Row],[Actual Impact ($)]]-IncidentTable[[#This Row],[Estimated Impact ($)]]) / IncidentTable[[#This Row],[Estimated Impact ($)]])</f>
        <v/>
      </c>
      <c r="R484" s="3">
        <f ca="1">IF(IncidentTable[[#This Row],[Priority]]="Critical",1,
IF(IncidentTable[[#This Row],[Priority]]="High",3,
IF(IncidentTable[[#This Row],[Priority]]="Medium",5,
IF(IncidentTable[[#This Row],[Priority]]="Low",10,""))))</f>
        <v>10</v>
      </c>
      <c r="S484" t="str">
        <f ca="1">IF(IncidentTable[[#This Row],[Resolution Time (Days)]]="","",
IF(IncidentTable[[#This Row],[Resolution Time (Days)]]&lt;=IncidentTable[[#This Row],[SLA Target (Days)]],"Yes","No"))</f>
        <v/>
      </c>
    </row>
    <row r="485" spans="1:19" x14ac:dyDescent="0.25">
      <c r="A485" t="str">
        <f t="shared" ca="1" si="29"/>
        <v>INC635382</v>
      </c>
      <c r="B485" t="str" cm="1">
        <f t="array" aca="1" ref="B485" ca="1">INDEX(SystemList,RANDBETWEEN(1,ROWS(SystemList)))</f>
        <v>Customer Portal</v>
      </c>
      <c r="C485" t="str" cm="1">
        <f t="array" aca="1" ref="C485" ca="1">INDEX(IssueTypeList,RANDBETWEEN(1,ROWS(IssueTypeList)))</f>
        <v>Integration Failure</v>
      </c>
      <c r="D485" t="str" cm="1">
        <f t="array" aca="1" ref="D485" ca="1">INDEX(PriorityList,RANDBETWEEN(1,ROWS(PriorityList)))</f>
        <v>Medium</v>
      </c>
      <c r="E485" t="str" cm="1">
        <f t="array" aca="1" ref="E485" ca="1">INDEX(SeverityList,RANDBETWEEN(1,ROWS(SeverityList)))</f>
        <v>Critical</v>
      </c>
      <c r="F485" t="str" cm="1">
        <f t="array" aca="1" ref="F485" ca="1">INDEX(RegionList,RANDBETWEEN(1,ROWS(RegionList)))</f>
        <v>Southeast</v>
      </c>
      <c r="G485" t="str" cm="1">
        <f t="array" aca="1" ref="G485" ca="1">INDEX(DepartmentList,RANDBETWEEN(1,ROWS(DepartmentList)))</f>
        <v>Finance</v>
      </c>
      <c r="H485" s="1">
        <f t="shared" ca="1" si="30"/>
        <v>45025</v>
      </c>
      <c r="I485" s="4" t="str">
        <f ca="1">IF(IncidentTable[[#This Row],[Resolution Time (Days)]]="","",IncidentTable[[#This Row],[Created Date]]+IncidentTable[[#This Row],[Resolution Time (Days)]])</f>
        <v/>
      </c>
      <c r="J485" t="str">
        <f ca="1">IF(OR(IncidentTable[[#This Row],[Status]]="Resolved",IncidentTable[[#This Row],[Status]]="Closed"),RANDBETWEEN(1,120),"")</f>
        <v/>
      </c>
      <c r="K485" t="str">
        <f t="shared" ca="1" si="28"/>
        <v>Open</v>
      </c>
      <c r="L485" t="str" cm="1">
        <f t="array" aca="1" ref="L485" ca="1">INDEX(AnalystList,RANDBETWEEN(1,ROWS(AnalystList)))</f>
        <v>Casey Brown</v>
      </c>
      <c r="M485" t="str" cm="1">
        <f t="array" aca="1" ref="M485" ca="1">INDEX(RootCauseList,RANDBETWEEN(1,ROWS(RootCauseList)))</f>
        <v>Network Failure</v>
      </c>
      <c r="N485">
        <f t="shared" ca="1" si="31"/>
        <v>6090.87</v>
      </c>
      <c r="O485" t="str">
        <f ca="1">IF(OR(IncidentTable[[#This Row],[Status]]="Resolved",IncidentTable[[#This Row],[Status]]="Closed"),
ROUND(IncidentTable[[#This Row],[Estimated Impact ($)]]*(1+RANDBETWEEN(-15,25)/100)+RAND(),2),
"")</f>
        <v/>
      </c>
      <c r="P485" t="str">
        <f ca="1">IF(IncidentTable[[#This Row],[Actual Impact ($)]]="","",ROUND(IncidentTable[[#This Row],[Actual Impact ($)]]-IncidentTable[[#This Row],[Estimated Impact ($)]],2))</f>
        <v/>
      </c>
      <c r="Q485" s="2" t="str">
        <f ca="1">IF(IncidentTable[[#This Row],[Actual Impact ($)]]="","",(IncidentTable[[#This Row],[Actual Impact ($)]]-IncidentTable[[#This Row],[Estimated Impact ($)]]) / IncidentTable[[#This Row],[Estimated Impact ($)]])</f>
        <v/>
      </c>
      <c r="R485" s="3">
        <f ca="1">IF(IncidentTable[[#This Row],[Priority]]="Critical",1,
IF(IncidentTable[[#This Row],[Priority]]="High",3,
IF(IncidentTable[[#This Row],[Priority]]="Medium",5,
IF(IncidentTable[[#This Row],[Priority]]="Low",10,""))))</f>
        <v>5</v>
      </c>
      <c r="S485" t="str">
        <f ca="1">IF(IncidentTable[[#This Row],[Resolution Time (Days)]]="","",
IF(IncidentTable[[#This Row],[Resolution Time (Days)]]&lt;=IncidentTable[[#This Row],[SLA Target (Days)]],"Yes","No"))</f>
        <v/>
      </c>
    </row>
    <row r="486" spans="1:19" x14ac:dyDescent="0.25">
      <c r="A486" t="str">
        <f t="shared" ca="1" si="29"/>
        <v>INC575140</v>
      </c>
      <c r="B486" t="str" cm="1">
        <f t="array" aca="1" ref="B486" ca="1">INDEX(SystemList,RANDBETWEEN(1,ROWS(SystemList)))</f>
        <v>Reporting System</v>
      </c>
      <c r="C486" t="str" cm="1">
        <f t="array" aca="1" ref="C486" ca="1">INDEX(IssueTypeList,RANDBETWEEN(1,ROWS(IssueTypeList)))</f>
        <v>Complaint</v>
      </c>
      <c r="D486" t="str" cm="1">
        <f t="array" aca="1" ref="D486" ca="1">INDEX(PriorityList,RANDBETWEEN(1,ROWS(PriorityList)))</f>
        <v>Low</v>
      </c>
      <c r="E486" t="str" cm="1">
        <f t="array" aca="1" ref="E486" ca="1">INDEX(SeverityList,RANDBETWEEN(1,ROWS(SeverityList)))</f>
        <v>Major</v>
      </c>
      <c r="F486" t="str" cm="1">
        <f t="array" aca="1" ref="F486" ca="1">INDEX(RegionList,RANDBETWEEN(1,ROWS(RegionList)))</f>
        <v>West</v>
      </c>
      <c r="G486" t="str" cm="1">
        <f t="array" aca="1" ref="G486" ca="1">INDEX(DepartmentList,RANDBETWEEN(1,ROWS(DepartmentList)))</f>
        <v>IT</v>
      </c>
      <c r="H486" s="1">
        <f t="shared" ca="1" si="30"/>
        <v>45257</v>
      </c>
      <c r="I486" s="4">
        <f ca="1">IF(IncidentTable[[#This Row],[Resolution Time (Days)]]="","",IncidentTable[[#This Row],[Created Date]]+IncidentTable[[#This Row],[Resolution Time (Days)]])</f>
        <v>45334</v>
      </c>
      <c r="J486">
        <f ca="1">IF(OR(IncidentTable[[#This Row],[Status]]="Resolved",IncidentTable[[#This Row],[Status]]="Closed"),RANDBETWEEN(1,120),"")</f>
        <v>77</v>
      </c>
      <c r="K486" t="str">
        <f t="shared" ca="1" si="28"/>
        <v>Closed</v>
      </c>
      <c r="L486" t="str" cm="1">
        <f t="array" aca="1" ref="L486" ca="1">INDEX(AnalystList,RANDBETWEEN(1,ROWS(AnalystList)))</f>
        <v>Casey Brown</v>
      </c>
      <c r="M486" t="str" cm="1">
        <f t="array" aca="1" ref="M486" ca="1">INDEX(RootCauseList,RANDBETWEEN(1,ROWS(RootCauseList)))</f>
        <v>Integration Failure</v>
      </c>
      <c r="N486">
        <f t="shared" ca="1" si="31"/>
        <v>18038.96</v>
      </c>
      <c r="O486">
        <f ca="1">IF(OR(IncidentTable[[#This Row],[Status]]="Resolved",IncidentTable[[#This Row],[Status]]="Closed"),
ROUND(IncidentTable[[#This Row],[Estimated Impact ($)]]*(1+RANDBETWEEN(-15,25)/100)+RAND(),2),
"")</f>
        <v>20565</v>
      </c>
      <c r="P486">
        <f ca="1">IF(IncidentTable[[#This Row],[Actual Impact ($)]]="","",ROUND(IncidentTable[[#This Row],[Actual Impact ($)]]-IncidentTable[[#This Row],[Estimated Impact ($)]],2))</f>
        <v>2526.04</v>
      </c>
      <c r="Q486" s="2">
        <f ca="1">IF(IncidentTable[[#This Row],[Actual Impact ($)]]="","",(IncidentTable[[#This Row],[Actual Impact ($)]]-IncidentTable[[#This Row],[Estimated Impact ($)]]) / IncidentTable[[#This Row],[Estimated Impact ($)]])</f>
        <v>0.14003246306882441</v>
      </c>
      <c r="R486" s="3">
        <f ca="1">IF(IncidentTable[[#This Row],[Priority]]="Critical",1,
IF(IncidentTable[[#This Row],[Priority]]="High",3,
IF(IncidentTable[[#This Row],[Priority]]="Medium",5,
IF(IncidentTable[[#This Row],[Priority]]="Low",10,""))))</f>
        <v>10</v>
      </c>
      <c r="S486" t="str">
        <f ca="1">IF(IncidentTable[[#This Row],[Resolution Time (Days)]]="","",
IF(IncidentTable[[#This Row],[Resolution Time (Days)]]&lt;=IncidentTable[[#This Row],[SLA Target (Days)]],"Yes","No"))</f>
        <v>No</v>
      </c>
    </row>
    <row r="487" spans="1:19" x14ac:dyDescent="0.25">
      <c r="A487" t="str">
        <f t="shared" ca="1" si="29"/>
        <v>INC866682</v>
      </c>
      <c r="B487" t="str" cm="1">
        <f t="array" aca="1" ref="B487" ca="1">INDEX(SystemList,RANDBETWEEN(1,ROWS(SystemList)))</f>
        <v>Claims System</v>
      </c>
      <c r="C487" t="str" cm="1">
        <f t="array" aca="1" ref="C487" ca="1">INDEX(IssueTypeList,RANDBETWEEN(1,ROWS(IssueTypeList)))</f>
        <v>System Error</v>
      </c>
      <c r="D487" t="str" cm="1">
        <f t="array" aca="1" ref="D487" ca="1">INDEX(PriorityList,RANDBETWEEN(1,ROWS(PriorityList)))</f>
        <v>Medium</v>
      </c>
      <c r="E487" t="str" cm="1">
        <f t="array" aca="1" ref="E487" ca="1">INDEX(SeverityList,RANDBETWEEN(1,ROWS(SeverityList)))</f>
        <v>Critical</v>
      </c>
      <c r="F487" t="str" cm="1">
        <f t="array" aca="1" ref="F487" ca="1">INDEX(RegionList,RANDBETWEEN(1,ROWS(RegionList)))</f>
        <v>West</v>
      </c>
      <c r="G487" t="str" cm="1">
        <f t="array" aca="1" ref="G487" ca="1">INDEX(DepartmentList,RANDBETWEEN(1,ROWS(DepartmentList)))</f>
        <v>IT</v>
      </c>
      <c r="H487" s="1">
        <f t="shared" ca="1" si="30"/>
        <v>45185</v>
      </c>
      <c r="I487" s="4" t="str">
        <f ca="1">IF(IncidentTable[[#This Row],[Resolution Time (Days)]]="","",IncidentTable[[#This Row],[Created Date]]+IncidentTable[[#This Row],[Resolution Time (Days)]])</f>
        <v/>
      </c>
      <c r="J487" t="str">
        <f ca="1">IF(OR(IncidentTable[[#This Row],[Status]]="Resolved",IncidentTable[[#This Row],[Status]]="Closed"),RANDBETWEEN(1,120),"")</f>
        <v/>
      </c>
      <c r="K487" t="str">
        <f t="shared" ca="1" si="28"/>
        <v>Open</v>
      </c>
      <c r="L487" t="str" cm="1">
        <f t="array" aca="1" ref="L487" ca="1">INDEX(AnalystList,RANDBETWEEN(1,ROWS(AnalystList)))</f>
        <v>Taylor Smith</v>
      </c>
      <c r="M487" t="str" cm="1">
        <f t="array" aca="1" ref="M487" ca="1">INDEX(RootCauseList,RANDBETWEEN(1,ROWS(RootCauseList)))</f>
        <v>Data Error</v>
      </c>
      <c r="N487">
        <f t="shared" ca="1" si="31"/>
        <v>4773.09</v>
      </c>
      <c r="O487" t="str">
        <f ca="1">IF(OR(IncidentTable[[#This Row],[Status]]="Resolved",IncidentTable[[#This Row],[Status]]="Closed"),
ROUND(IncidentTable[[#This Row],[Estimated Impact ($)]]*(1+RANDBETWEEN(-15,25)/100)+RAND(),2),
"")</f>
        <v/>
      </c>
      <c r="P487" t="str">
        <f ca="1">IF(IncidentTable[[#This Row],[Actual Impact ($)]]="","",ROUND(IncidentTable[[#This Row],[Actual Impact ($)]]-IncidentTable[[#This Row],[Estimated Impact ($)]],2))</f>
        <v/>
      </c>
      <c r="Q487" s="2" t="str">
        <f ca="1">IF(IncidentTable[[#This Row],[Actual Impact ($)]]="","",(IncidentTable[[#This Row],[Actual Impact ($)]]-IncidentTable[[#This Row],[Estimated Impact ($)]]) / IncidentTable[[#This Row],[Estimated Impact ($)]])</f>
        <v/>
      </c>
      <c r="R487" s="3">
        <f ca="1">IF(IncidentTable[[#This Row],[Priority]]="Critical",1,
IF(IncidentTable[[#This Row],[Priority]]="High",3,
IF(IncidentTable[[#This Row],[Priority]]="Medium",5,
IF(IncidentTable[[#This Row],[Priority]]="Low",10,""))))</f>
        <v>5</v>
      </c>
      <c r="S487" t="str">
        <f ca="1">IF(IncidentTable[[#This Row],[Resolution Time (Days)]]="","",
IF(IncidentTable[[#This Row],[Resolution Time (Days)]]&lt;=IncidentTable[[#This Row],[SLA Target (Days)]],"Yes","No"))</f>
        <v/>
      </c>
    </row>
    <row r="488" spans="1:19" x14ac:dyDescent="0.25">
      <c r="A488" t="str">
        <f t="shared" ca="1" si="29"/>
        <v>INC119779</v>
      </c>
      <c r="B488" t="str" cm="1">
        <f t="array" aca="1" ref="B488" ca="1">INDEX(SystemList,RANDBETWEEN(1,ROWS(SystemList)))</f>
        <v>Billing System</v>
      </c>
      <c r="C488" t="str" cm="1">
        <f t="array" aca="1" ref="C488" ca="1">INDEX(IssueTypeList,RANDBETWEEN(1,ROWS(IssueTypeList)))</f>
        <v>Payment Failure</v>
      </c>
      <c r="D488" t="str" cm="1">
        <f t="array" aca="1" ref="D488" ca="1">INDEX(PriorityList,RANDBETWEEN(1,ROWS(PriorityList)))</f>
        <v>Low</v>
      </c>
      <c r="E488" t="str" cm="1">
        <f t="array" aca="1" ref="E488" ca="1">INDEX(SeverityList,RANDBETWEEN(1,ROWS(SeverityList)))</f>
        <v>Moderate</v>
      </c>
      <c r="F488" t="str" cm="1">
        <f t="array" aca="1" ref="F488" ca="1">INDEX(RegionList,RANDBETWEEN(1,ROWS(RegionList)))</f>
        <v>West</v>
      </c>
      <c r="G488" t="str" cm="1">
        <f t="array" aca="1" ref="G488" ca="1">INDEX(DepartmentList,RANDBETWEEN(1,ROWS(DepartmentList)))</f>
        <v>IT</v>
      </c>
      <c r="H488" s="1">
        <f t="shared" ca="1" si="30"/>
        <v>45333</v>
      </c>
      <c r="I488" s="4">
        <f ca="1">IF(IncidentTable[[#This Row],[Resolution Time (Days)]]="","",IncidentTable[[#This Row],[Created Date]]+IncidentTable[[#This Row],[Resolution Time (Days)]])</f>
        <v>45411</v>
      </c>
      <c r="J488">
        <f ca="1">IF(OR(IncidentTable[[#This Row],[Status]]="Resolved",IncidentTable[[#This Row],[Status]]="Closed"),RANDBETWEEN(1,120),"")</f>
        <v>78</v>
      </c>
      <c r="K488" t="str">
        <f t="shared" ca="1" si="28"/>
        <v>Resolved</v>
      </c>
      <c r="L488" t="str" cm="1">
        <f t="array" aca="1" ref="L488" ca="1">INDEX(AnalystList,RANDBETWEEN(1,ROWS(AnalystList)))</f>
        <v>Alex Johnson</v>
      </c>
      <c r="M488" t="str" cm="1">
        <f t="array" aca="1" ref="M488" ca="1">INDEX(RootCauseList,RANDBETWEEN(1,ROWS(RootCauseList)))</f>
        <v>Unknown</v>
      </c>
      <c r="N488">
        <f t="shared" ca="1" si="31"/>
        <v>226.51</v>
      </c>
      <c r="O488">
        <f ca="1">IF(OR(IncidentTable[[#This Row],[Status]]="Resolved",IncidentTable[[#This Row],[Status]]="Closed"),
ROUND(IncidentTable[[#This Row],[Estimated Impact ($)]]*(1+RANDBETWEEN(-15,25)/100)+RAND(),2),
"")</f>
        <v>236.06</v>
      </c>
      <c r="P488">
        <f ca="1">IF(IncidentTable[[#This Row],[Actual Impact ($)]]="","",ROUND(IncidentTable[[#This Row],[Actual Impact ($)]]-IncidentTable[[#This Row],[Estimated Impact ($)]],2))</f>
        <v>9.5500000000000007</v>
      </c>
      <c r="Q488" s="2">
        <f ca="1">IF(IncidentTable[[#This Row],[Actual Impact ($)]]="","",(IncidentTable[[#This Row],[Actual Impact ($)]]-IncidentTable[[#This Row],[Estimated Impact ($)]]) / IncidentTable[[#This Row],[Estimated Impact ($)]])</f>
        <v>4.2161493973776047E-2</v>
      </c>
      <c r="R488" s="3">
        <f ca="1">IF(IncidentTable[[#This Row],[Priority]]="Critical",1,
IF(IncidentTable[[#This Row],[Priority]]="High",3,
IF(IncidentTable[[#This Row],[Priority]]="Medium",5,
IF(IncidentTable[[#This Row],[Priority]]="Low",10,""))))</f>
        <v>10</v>
      </c>
      <c r="S488" t="str">
        <f ca="1">IF(IncidentTable[[#This Row],[Resolution Time (Days)]]="","",
IF(IncidentTable[[#This Row],[Resolution Time (Days)]]&lt;=IncidentTable[[#This Row],[SLA Target (Days)]],"Yes","No"))</f>
        <v>No</v>
      </c>
    </row>
    <row r="489" spans="1:19" x14ac:dyDescent="0.25">
      <c r="A489" t="str">
        <f t="shared" ca="1" si="29"/>
        <v>INC389681</v>
      </c>
      <c r="B489" t="str" cm="1">
        <f t="array" aca="1" ref="B489" ca="1">INDEX(SystemList,RANDBETWEEN(1,ROWS(SystemList)))</f>
        <v>Billing System</v>
      </c>
      <c r="C489" t="str" cm="1">
        <f t="array" aca="1" ref="C489" ca="1">INDEX(IssueTypeList,RANDBETWEEN(1,ROWS(IssueTypeList)))</f>
        <v>Data Issue</v>
      </c>
      <c r="D489" t="str" cm="1">
        <f t="array" aca="1" ref="D489" ca="1">INDEX(PriorityList,RANDBETWEEN(1,ROWS(PriorityList)))</f>
        <v>High</v>
      </c>
      <c r="E489" t="str" cm="1">
        <f t="array" aca="1" ref="E489" ca="1">INDEX(SeverityList,RANDBETWEEN(1,ROWS(SeverityList)))</f>
        <v>Minor</v>
      </c>
      <c r="F489" t="str" cm="1">
        <f t="array" aca="1" ref="F489" ca="1">INDEX(RegionList,RANDBETWEEN(1,ROWS(RegionList)))</f>
        <v>Southeast</v>
      </c>
      <c r="G489" t="str" cm="1">
        <f t="array" aca="1" ref="G489" ca="1">INDEX(DepartmentList,RANDBETWEEN(1,ROWS(DepartmentList)))</f>
        <v>Compliance</v>
      </c>
      <c r="H489" s="1">
        <f t="shared" ca="1" si="30"/>
        <v>45159</v>
      </c>
      <c r="I489" s="4">
        <f ca="1">IF(IncidentTable[[#This Row],[Resolution Time (Days)]]="","",IncidentTable[[#This Row],[Created Date]]+IncidentTable[[#This Row],[Resolution Time (Days)]])</f>
        <v>45230</v>
      </c>
      <c r="J489">
        <f ca="1">IF(OR(IncidentTable[[#This Row],[Status]]="Resolved",IncidentTable[[#This Row],[Status]]="Closed"),RANDBETWEEN(1,120),"")</f>
        <v>71</v>
      </c>
      <c r="K489" t="str">
        <f t="shared" ca="1" si="28"/>
        <v>Resolved</v>
      </c>
      <c r="L489" t="str" cm="1">
        <f t="array" aca="1" ref="L489" ca="1">INDEX(AnalystList,RANDBETWEEN(1,ROWS(AnalystList)))</f>
        <v>Riley Wilson</v>
      </c>
      <c r="M489" t="str" cm="1">
        <f t="array" aca="1" ref="M489" ca="1">INDEX(RootCauseList,RANDBETWEEN(1,ROWS(RootCauseList)))</f>
        <v>User Error</v>
      </c>
      <c r="N489">
        <f t="shared" ca="1" si="31"/>
        <v>9073.75</v>
      </c>
      <c r="O489">
        <f ca="1">IF(OR(IncidentTable[[#This Row],[Status]]="Resolved",IncidentTable[[#This Row],[Status]]="Closed"),
ROUND(IncidentTable[[#This Row],[Estimated Impact ($)]]*(1+RANDBETWEEN(-15,25)/100)+RAND(),2),
"")</f>
        <v>7803.8</v>
      </c>
      <c r="P489">
        <f ca="1">IF(IncidentTable[[#This Row],[Actual Impact ($)]]="","",ROUND(IncidentTable[[#This Row],[Actual Impact ($)]]-IncidentTable[[#This Row],[Estimated Impact ($)]],2))</f>
        <v>-1269.95</v>
      </c>
      <c r="Q489" s="2">
        <f ca="1">IF(IncidentTable[[#This Row],[Actual Impact ($)]]="","",(IncidentTable[[#This Row],[Actual Impact ($)]]-IncidentTable[[#This Row],[Estimated Impact ($)]]) / IncidentTable[[#This Row],[Estimated Impact ($)]])</f>
        <v>-0.13995867199338749</v>
      </c>
      <c r="R489" s="3">
        <f ca="1">IF(IncidentTable[[#This Row],[Priority]]="Critical",1,
IF(IncidentTable[[#This Row],[Priority]]="High",3,
IF(IncidentTable[[#This Row],[Priority]]="Medium",5,
IF(IncidentTable[[#This Row],[Priority]]="Low",10,""))))</f>
        <v>3</v>
      </c>
      <c r="S489" t="str">
        <f ca="1">IF(IncidentTable[[#This Row],[Resolution Time (Days)]]="","",
IF(IncidentTable[[#This Row],[Resolution Time (Days)]]&lt;=IncidentTable[[#This Row],[SLA Target (Days)]],"Yes","No"))</f>
        <v>No</v>
      </c>
    </row>
    <row r="490" spans="1:19" x14ac:dyDescent="0.25">
      <c r="A490" t="str">
        <f t="shared" ca="1" si="29"/>
        <v>INC587948</v>
      </c>
      <c r="B490" t="str" cm="1">
        <f t="array" aca="1" ref="B490" ca="1">INDEX(SystemList,RANDBETWEEN(1,ROWS(SystemList)))</f>
        <v>Regulatory System</v>
      </c>
      <c r="C490" t="str" cm="1">
        <f t="array" aca="1" ref="C490" ca="1">INDEX(IssueTypeList,RANDBETWEEN(1,ROWS(IssueTypeList)))</f>
        <v>Performance Issue</v>
      </c>
      <c r="D490" t="str" cm="1">
        <f t="array" aca="1" ref="D490" ca="1">INDEX(PriorityList,RANDBETWEEN(1,ROWS(PriorityList)))</f>
        <v>High</v>
      </c>
      <c r="E490" t="str" cm="1">
        <f t="array" aca="1" ref="E490" ca="1">INDEX(SeverityList,RANDBETWEEN(1,ROWS(SeverityList)))</f>
        <v>Moderate</v>
      </c>
      <c r="F490" t="str" cm="1">
        <f t="array" aca="1" ref="F490" ca="1">INDEX(RegionList,RANDBETWEEN(1,ROWS(RegionList)))</f>
        <v>Central</v>
      </c>
      <c r="G490" t="str" cm="1">
        <f t="array" aca="1" ref="G490" ca="1">INDEX(DepartmentList,RANDBETWEEN(1,ROWS(DepartmentList)))</f>
        <v>Customer Service</v>
      </c>
      <c r="H490" s="1">
        <f t="shared" ca="1" si="30"/>
        <v>45252</v>
      </c>
      <c r="I490" s="4">
        <f ca="1">IF(IncidentTable[[#This Row],[Resolution Time (Days)]]="","",IncidentTable[[#This Row],[Created Date]]+IncidentTable[[#This Row],[Resolution Time (Days)]])</f>
        <v>45279</v>
      </c>
      <c r="J490">
        <f ca="1">IF(OR(IncidentTable[[#This Row],[Status]]="Resolved",IncidentTable[[#This Row],[Status]]="Closed"),RANDBETWEEN(1,120),"")</f>
        <v>27</v>
      </c>
      <c r="K490" t="str">
        <f t="shared" ca="1" si="28"/>
        <v>Resolved</v>
      </c>
      <c r="L490" t="str" cm="1">
        <f t="array" aca="1" ref="L490" ca="1">INDEX(AnalystList,RANDBETWEEN(1,ROWS(AnalystList)))</f>
        <v>Morgan Davis</v>
      </c>
      <c r="M490" t="str" cm="1">
        <f t="array" aca="1" ref="M490" ca="1">INDEX(RootCauseList,RANDBETWEEN(1,ROWS(RootCauseList)))</f>
        <v>Data Error</v>
      </c>
      <c r="N490">
        <f t="shared" ca="1" si="31"/>
        <v>1685.43</v>
      </c>
      <c r="O490">
        <f ca="1">IF(OR(IncidentTable[[#This Row],[Status]]="Resolved",IncidentTable[[#This Row],[Status]]="Closed"),
ROUND(IncidentTable[[#This Row],[Estimated Impact ($)]]*(1+RANDBETWEEN(-15,25)/100)+RAND(),2),
"")</f>
        <v>1888.59</v>
      </c>
      <c r="P490">
        <f ca="1">IF(IncidentTable[[#This Row],[Actual Impact ($)]]="","",ROUND(IncidentTable[[#This Row],[Actual Impact ($)]]-IncidentTable[[#This Row],[Estimated Impact ($)]],2))</f>
        <v>203.16</v>
      </c>
      <c r="Q490" s="2">
        <f ca="1">IF(IncidentTable[[#This Row],[Actual Impact ($)]]="","",(IncidentTable[[#This Row],[Actual Impact ($)]]-IncidentTable[[#This Row],[Estimated Impact ($)]]) / IncidentTable[[#This Row],[Estimated Impact ($)]])</f>
        <v>0.12053897225040484</v>
      </c>
      <c r="R490" s="3">
        <f ca="1">IF(IncidentTable[[#This Row],[Priority]]="Critical",1,
IF(IncidentTable[[#This Row],[Priority]]="High",3,
IF(IncidentTable[[#This Row],[Priority]]="Medium",5,
IF(IncidentTable[[#This Row],[Priority]]="Low",10,""))))</f>
        <v>3</v>
      </c>
      <c r="S490" t="str">
        <f ca="1">IF(IncidentTable[[#This Row],[Resolution Time (Days)]]="","",
IF(IncidentTable[[#This Row],[Resolution Time (Days)]]&lt;=IncidentTable[[#This Row],[SLA Target (Days)]],"Yes","No"))</f>
        <v>No</v>
      </c>
    </row>
    <row r="491" spans="1:19" x14ac:dyDescent="0.25">
      <c r="A491" t="str">
        <f t="shared" ca="1" si="29"/>
        <v>INC932457</v>
      </c>
      <c r="B491" t="str" cm="1">
        <f t="array" aca="1" ref="B491" ca="1">INDEX(SystemList,RANDBETWEEN(1,ROWS(SystemList)))</f>
        <v>Claims System</v>
      </c>
      <c r="C491" t="str" cm="1">
        <f t="array" aca="1" ref="C491" ca="1">INDEX(IssueTypeList,RANDBETWEEN(1,ROWS(IssueTypeList)))</f>
        <v>Processing Delay</v>
      </c>
      <c r="D491" t="str" cm="1">
        <f t="array" aca="1" ref="D491" ca="1">INDEX(PriorityList,RANDBETWEEN(1,ROWS(PriorityList)))</f>
        <v>Medium</v>
      </c>
      <c r="E491" t="str" cm="1">
        <f t="array" aca="1" ref="E491" ca="1">INDEX(SeverityList,RANDBETWEEN(1,ROWS(SeverityList)))</f>
        <v>Minor</v>
      </c>
      <c r="F491" t="str" cm="1">
        <f t="array" aca="1" ref="F491" ca="1">INDEX(RegionList,RANDBETWEEN(1,ROWS(RegionList)))</f>
        <v>Southeast</v>
      </c>
      <c r="G491" t="str" cm="1">
        <f t="array" aca="1" ref="G491" ca="1">INDEX(DepartmentList,RANDBETWEEN(1,ROWS(DepartmentList)))</f>
        <v>Billing</v>
      </c>
      <c r="H491" s="1">
        <f t="shared" ca="1" si="30"/>
        <v>45122</v>
      </c>
      <c r="I491" s="4">
        <f ca="1">IF(IncidentTable[[#This Row],[Resolution Time (Days)]]="","",IncidentTable[[#This Row],[Created Date]]+IncidentTable[[#This Row],[Resolution Time (Days)]])</f>
        <v>45174</v>
      </c>
      <c r="J491">
        <f ca="1">IF(OR(IncidentTable[[#This Row],[Status]]="Resolved",IncidentTable[[#This Row],[Status]]="Closed"),RANDBETWEEN(1,120),"")</f>
        <v>52</v>
      </c>
      <c r="K491" t="str">
        <f t="shared" ca="1" si="28"/>
        <v>Resolved</v>
      </c>
      <c r="L491" t="str" cm="1">
        <f t="array" aca="1" ref="L491" ca="1">INDEX(AnalystList,RANDBETWEEN(1,ROWS(AnalystList)))</f>
        <v>Morgan Davis</v>
      </c>
      <c r="M491" t="str" cm="1">
        <f t="array" aca="1" ref="M491" ca="1">INDEX(RootCauseList,RANDBETWEEN(1,ROWS(RootCauseList)))</f>
        <v>System Bug</v>
      </c>
      <c r="N491">
        <f t="shared" ca="1" si="31"/>
        <v>0</v>
      </c>
      <c r="O491">
        <f ca="1">IF(OR(IncidentTable[[#This Row],[Status]]="Resolved",IncidentTable[[#This Row],[Status]]="Closed"),
ROUND(IncidentTable[[#This Row],[Estimated Impact ($)]]*(1+RANDBETWEEN(-15,25)/100)+RAND(),2),
"")</f>
        <v>0.65</v>
      </c>
      <c r="P491">
        <f ca="1">IF(IncidentTable[[#This Row],[Actual Impact ($)]]="","",ROUND(IncidentTable[[#This Row],[Actual Impact ($)]]-IncidentTable[[#This Row],[Estimated Impact ($)]],2))</f>
        <v>0.65</v>
      </c>
      <c r="Q491" s="2" t="e">
        <f ca="1">IF(IncidentTable[[#This Row],[Actual Impact ($)]]="","",(IncidentTable[[#This Row],[Actual Impact ($)]]-IncidentTable[[#This Row],[Estimated Impact ($)]]) / IncidentTable[[#This Row],[Estimated Impact ($)]])</f>
        <v>#DIV/0!</v>
      </c>
      <c r="R491" s="3">
        <f ca="1">IF(IncidentTable[[#This Row],[Priority]]="Critical",1,
IF(IncidentTable[[#This Row],[Priority]]="High",3,
IF(IncidentTable[[#This Row],[Priority]]="Medium",5,
IF(IncidentTable[[#This Row],[Priority]]="Low",10,""))))</f>
        <v>5</v>
      </c>
      <c r="S491" t="str">
        <f ca="1">IF(IncidentTable[[#This Row],[Resolution Time (Days)]]="","",
IF(IncidentTable[[#This Row],[Resolution Time (Days)]]&lt;=IncidentTable[[#This Row],[SLA Target (Days)]],"Yes","No"))</f>
        <v>No</v>
      </c>
    </row>
    <row r="492" spans="1:19" x14ac:dyDescent="0.25">
      <c r="A492" t="str">
        <f t="shared" ca="1" si="29"/>
        <v>INC463181</v>
      </c>
      <c r="B492" t="str" cm="1">
        <f t="array" aca="1" ref="B492" ca="1">INDEX(SystemList,RANDBETWEEN(1,ROWS(SystemList)))</f>
        <v>Claims System</v>
      </c>
      <c r="C492" t="str" cm="1">
        <f t="array" aca="1" ref="C492" ca="1">INDEX(IssueTypeList,RANDBETWEEN(1,ROWS(IssueTypeList)))</f>
        <v>Integration Failure</v>
      </c>
      <c r="D492" t="str" cm="1">
        <f t="array" aca="1" ref="D492" ca="1">INDEX(PriorityList,RANDBETWEEN(1,ROWS(PriorityList)))</f>
        <v>Low</v>
      </c>
      <c r="E492" t="str" cm="1">
        <f t="array" aca="1" ref="E492" ca="1">INDEX(SeverityList,RANDBETWEEN(1,ROWS(SeverityList)))</f>
        <v>Major</v>
      </c>
      <c r="F492" t="str" cm="1">
        <f t="array" aca="1" ref="F492" ca="1">INDEX(RegionList,RANDBETWEEN(1,ROWS(RegionList)))</f>
        <v>East</v>
      </c>
      <c r="G492" t="str" cm="1">
        <f t="array" aca="1" ref="G492" ca="1">INDEX(DepartmentList,RANDBETWEEN(1,ROWS(DepartmentList)))</f>
        <v>Claims</v>
      </c>
      <c r="H492" s="1">
        <f t="shared" ca="1" si="30"/>
        <v>45120</v>
      </c>
      <c r="I492" s="4" t="str">
        <f ca="1">IF(IncidentTable[[#This Row],[Resolution Time (Days)]]="","",IncidentTable[[#This Row],[Created Date]]+IncidentTable[[#This Row],[Resolution Time (Days)]])</f>
        <v/>
      </c>
      <c r="J492" t="str">
        <f ca="1">IF(OR(IncidentTable[[#This Row],[Status]]="Resolved",IncidentTable[[#This Row],[Status]]="Closed"),RANDBETWEEN(1,120),"")</f>
        <v/>
      </c>
      <c r="K492" t="str">
        <f t="shared" ca="1" si="28"/>
        <v>Open</v>
      </c>
      <c r="L492" t="str" cm="1">
        <f t="array" aca="1" ref="L492" ca="1">INDEX(AnalystList,RANDBETWEEN(1,ROWS(AnalystList)))</f>
        <v>Alex Johnson</v>
      </c>
      <c r="M492" t="str" cm="1">
        <f t="array" aca="1" ref="M492" ca="1">INDEX(RootCauseList,RANDBETWEEN(1,ROWS(RootCauseList)))</f>
        <v>Network Failure</v>
      </c>
      <c r="N492">
        <f t="shared" ca="1" si="31"/>
        <v>45544.76</v>
      </c>
      <c r="O492" t="str">
        <f ca="1">IF(OR(IncidentTable[[#This Row],[Status]]="Resolved",IncidentTable[[#This Row],[Status]]="Closed"),
ROUND(IncidentTable[[#This Row],[Estimated Impact ($)]]*(1+RANDBETWEEN(-15,25)/100)+RAND(),2),
"")</f>
        <v/>
      </c>
      <c r="P492" t="str">
        <f ca="1">IF(IncidentTable[[#This Row],[Actual Impact ($)]]="","",ROUND(IncidentTable[[#This Row],[Actual Impact ($)]]-IncidentTable[[#This Row],[Estimated Impact ($)]],2))</f>
        <v/>
      </c>
      <c r="Q492" s="2" t="str">
        <f ca="1">IF(IncidentTable[[#This Row],[Actual Impact ($)]]="","",(IncidentTable[[#This Row],[Actual Impact ($)]]-IncidentTable[[#This Row],[Estimated Impact ($)]]) / IncidentTable[[#This Row],[Estimated Impact ($)]])</f>
        <v/>
      </c>
      <c r="R492" s="3">
        <f ca="1">IF(IncidentTable[[#This Row],[Priority]]="Critical",1,
IF(IncidentTable[[#This Row],[Priority]]="High",3,
IF(IncidentTable[[#This Row],[Priority]]="Medium",5,
IF(IncidentTable[[#This Row],[Priority]]="Low",10,""))))</f>
        <v>10</v>
      </c>
      <c r="S492" t="str">
        <f ca="1">IF(IncidentTable[[#This Row],[Resolution Time (Days)]]="","",
IF(IncidentTable[[#This Row],[Resolution Time (Days)]]&lt;=IncidentTable[[#This Row],[SLA Target (Days)]],"Yes","No"))</f>
        <v/>
      </c>
    </row>
    <row r="493" spans="1:19" x14ac:dyDescent="0.25">
      <c r="A493" t="str">
        <f t="shared" ca="1" si="29"/>
        <v>INC413408</v>
      </c>
      <c r="B493" t="str" cm="1">
        <f t="array" aca="1" ref="B493" ca="1">INDEX(SystemList,RANDBETWEEN(1,ROWS(SystemList)))</f>
        <v>Regulatory System</v>
      </c>
      <c r="C493" t="str" cm="1">
        <f t="array" aca="1" ref="C493" ca="1">INDEX(IssueTypeList,RANDBETWEEN(1,ROWS(IssueTypeList)))</f>
        <v>Processing Delay</v>
      </c>
      <c r="D493" t="str" cm="1">
        <f t="array" aca="1" ref="D493" ca="1">INDEX(PriorityList,RANDBETWEEN(1,ROWS(PriorityList)))</f>
        <v>Low</v>
      </c>
      <c r="E493" t="str" cm="1">
        <f t="array" aca="1" ref="E493" ca="1">INDEX(SeverityList,RANDBETWEEN(1,ROWS(SeverityList)))</f>
        <v>Minor</v>
      </c>
      <c r="F493" t="str" cm="1">
        <f t="array" aca="1" ref="F493" ca="1">INDEX(RegionList,RANDBETWEEN(1,ROWS(RegionList)))</f>
        <v>East</v>
      </c>
      <c r="G493" t="str" cm="1">
        <f t="array" aca="1" ref="G493" ca="1">INDEX(DepartmentList,RANDBETWEEN(1,ROWS(DepartmentList)))</f>
        <v>Customer Service</v>
      </c>
      <c r="H493" s="1">
        <f t="shared" ca="1" si="30"/>
        <v>45245</v>
      </c>
      <c r="I493" s="4">
        <f ca="1">IF(IncidentTable[[#This Row],[Resolution Time (Days)]]="","",IncidentTable[[#This Row],[Created Date]]+IncidentTable[[#This Row],[Resolution Time (Days)]])</f>
        <v>45337</v>
      </c>
      <c r="J493">
        <f ca="1">IF(OR(IncidentTable[[#This Row],[Status]]="Resolved",IncidentTable[[#This Row],[Status]]="Closed"),RANDBETWEEN(1,120),"")</f>
        <v>92</v>
      </c>
      <c r="K493" t="str">
        <f t="shared" ca="1" si="28"/>
        <v>Closed</v>
      </c>
      <c r="L493" t="str" cm="1">
        <f t="array" aca="1" ref="L493" ca="1">INDEX(AnalystList,RANDBETWEEN(1,ROWS(AnalystList)))</f>
        <v>Casey Brown</v>
      </c>
      <c r="M493" t="str" cm="1">
        <f t="array" aca="1" ref="M493" ca="1">INDEX(RootCauseList,RANDBETWEEN(1,ROWS(RootCauseList)))</f>
        <v>User Error</v>
      </c>
      <c r="N493">
        <f t="shared" ca="1" si="31"/>
        <v>337.84</v>
      </c>
      <c r="O493">
        <f ca="1">IF(OR(IncidentTable[[#This Row],[Status]]="Resolved",IncidentTable[[#This Row],[Status]]="Closed"),
ROUND(IncidentTable[[#This Row],[Estimated Impact ($)]]*(1+RANDBETWEEN(-15,25)/100)+RAND(),2),
"")</f>
        <v>325.16000000000003</v>
      </c>
      <c r="P493">
        <f ca="1">IF(IncidentTable[[#This Row],[Actual Impact ($)]]="","",ROUND(IncidentTable[[#This Row],[Actual Impact ($)]]-IncidentTable[[#This Row],[Estimated Impact ($)]],2))</f>
        <v>-12.68</v>
      </c>
      <c r="Q493" s="2">
        <f ca="1">IF(IncidentTable[[#This Row],[Actual Impact ($)]]="","",(IncidentTable[[#This Row],[Actual Impact ($)]]-IncidentTable[[#This Row],[Estimated Impact ($)]]) / IncidentTable[[#This Row],[Estimated Impact ($)]])</f>
        <v>-3.7532559791617189E-2</v>
      </c>
      <c r="R493" s="3">
        <f ca="1">IF(IncidentTable[[#This Row],[Priority]]="Critical",1,
IF(IncidentTable[[#This Row],[Priority]]="High",3,
IF(IncidentTable[[#This Row],[Priority]]="Medium",5,
IF(IncidentTable[[#This Row],[Priority]]="Low",10,""))))</f>
        <v>10</v>
      </c>
      <c r="S493" t="str">
        <f ca="1">IF(IncidentTable[[#This Row],[Resolution Time (Days)]]="","",
IF(IncidentTable[[#This Row],[Resolution Time (Days)]]&lt;=IncidentTable[[#This Row],[SLA Target (Days)]],"Yes","No"))</f>
        <v>No</v>
      </c>
    </row>
    <row r="494" spans="1:19" x14ac:dyDescent="0.25">
      <c r="A494" t="str">
        <f t="shared" ca="1" si="29"/>
        <v>INC419195</v>
      </c>
      <c r="B494" t="str" cm="1">
        <f t="array" aca="1" ref="B494" ca="1">INDEX(SystemList,RANDBETWEEN(1,ROWS(SystemList)))</f>
        <v>Billing System</v>
      </c>
      <c r="C494" t="str" cm="1">
        <f t="array" aca="1" ref="C494" ca="1">INDEX(IssueTypeList,RANDBETWEEN(1,ROWS(IssueTypeList)))</f>
        <v>Performance Issue</v>
      </c>
      <c r="D494" t="str" cm="1">
        <f t="array" aca="1" ref="D494" ca="1">INDEX(PriorityList,RANDBETWEEN(1,ROWS(PriorityList)))</f>
        <v>Medium</v>
      </c>
      <c r="E494" t="str" cm="1">
        <f t="array" aca="1" ref="E494" ca="1">INDEX(SeverityList,RANDBETWEEN(1,ROWS(SeverityList)))</f>
        <v>Critical</v>
      </c>
      <c r="F494" t="str" cm="1">
        <f t="array" aca="1" ref="F494" ca="1">INDEX(RegionList,RANDBETWEEN(1,ROWS(RegionList)))</f>
        <v>Central</v>
      </c>
      <c r="G494" t="str" cm="1">
        <f t="array" aca="1" ref="G494" ca="1">INDEX(DepartmentList,RANDBETWEEN(1,ROWS(DepartmentList)))</f>
        <v>Claims</v>
      </c>
      <c r="H494" s="1">
        <f t="shared" ca="1" si="30"/>
        <v>45284</v>
      </c>
      <c r="I494" s="4">
        <f ca="1">IF(IncidentTable[[#This Row],[Resolution Time (Days)]]="","",IncidentTable[[#This Row],[Created Date]]+IncidentTable[[#This Row],[Resolution Time (Days)]])</f>
        <v>45305</v>
      </c>
      <c r="J494">
        <f ca="1">IF(OR(IncidentTable[[#This Row],[Status]]="Resolved",IncidentTable[[#This Row],[Status]]="Closed"),RANDBETWEEN(1,120),"")</f>
        <v>21</v>
      </c>
      <c r="K494" t="str">
        <f t="shared" ca="1" si="28"/>
        <v>Resolved</v>
      </c>
      <c r="L494" t="str" cm="1">
        <f t="array" aca="1" ref="L494" ca="1">INDEX(AnalystList,RANDBETWEEN(1,ROWS(AnalystList)))</f>
        <v>Jordan Lee</v>
      </c>
      <c r="M494" t="str" cm="1">
        <f t="array" aca="1" ref="M494" ca="1">INDEX(RootCauseList,RANDBETWEEN(1,ROWS(RootCauseList)))</f>
        <v>Network Failure</v>
      </c>
      <c r="N494">
        <f t="shared" ca="1" si="31"/>
        <v>17376.310000000001</v>
      </c>
      <c r="O494">
        <f ca="1">IF(OR(IncidentTable[[#This Row],[Status]]="Resolved",IncidentTable[[#This Row],[Status]]="Closed"),
ROUND(IncidentTable[[#This Row],[Estimated Impact ($)]]*(1+RANDBETWEEN(-15,25)/100)+RAND(),2),
"")</f>
        <v>18419.82</v>
      </c>
      <c r="P494">
        <f ca="1">IF(IncidentTable[[#This Row],[Actual Impact ($)]]="","",ROUND(IncidentTable[[#This Row],[Actual Impact ($)]]-IncidentTable[[#This Row],[Estimated Impact ($)]],2))</f>
        <v>1043.51</v>
      </c>
      <c r="Q494" s="2">
        <f ca="1">IF(IncidentTable[[#This Row],[Actual Impact ($)]]="","",(IncidentTable[[#This Row],[Actual Impact ($)]]-IncidentTable[[#This Row],[Estimated Impact ($)]]) / IncidentTable[[#This Row],[Estimated Impact ($)]])</f>
        <v>6.0053601714057721E-2</v>
      </c>
      <c r="R494" s="3">
        <f ca="1">IF(IncidentTable[[#This Row],[Priority]]="Critical",1,
IF(IncidentTable[[#This Row],[Priority]]="High",3,
IF(IncidentTable[[#This Row],[Priority]]="Medium",5,
IF(IncidentTable[[#This Row],[Priority]]="Low",10,""))))</f>
        <v>5</v>
      </c>
      <c r="S494" t="str">
        <f ca="1">IF(IncidentTable[[#This Row],[Resolution Time (Days)]]="","",
IF(IncidentTable[[#This Row],[Resolution Time (Days)]]&lt;=IncidentTable[[#This Row],[SLA Target (Days)]],"Yes","No"))</f>
        <v>No</v>
      </c>
    </row>
    <row r="495" spans="1:19" x14ac:dyDescent="0.25">
      <c r="A495" t="str">
        <f t="shared" ca="1" si="29"/>
        <v>INC435044</v>
      </c>
      <c r="B495" t="str" cm="1">
        <f t="array" aca="1" ref="B495" ca="1">INDEX(SystemList,RANDBETWEEN(1,ROWS(SystemList)))</f>
        <v>Customer Portal</v>
      </c>
      <c r="C495" t="str" cm="1">
        <f t="array" aca="1" ref="C495" ca="1">INDEX(IssueTypeList,RANDBETWEEN(1,ROWS(IssueTypeList)))</f>
        <v>System Error</v>
      </c>
      <c r="D495" t="str" cm="1">
        <f t="array" aca="1" ref="D495" ca="1">INDEX(PriorityList,RANDBETWEEN(1,ROWS(PriorityList)))</f>
        <v>Low</v>
      </c>
      <c r="E495" t="str" cm="1">
        <f t="array" aca="1" ref="E495" ca="1">INDEX(SeverityList,RANDBETWEEN(1,ROWS(SeverityList)))</f>
        <v>Minor</v>
      </c>
      <c r="F495" t="str" cm="1">
        <f t="array" aca="1" ref="F495" ca="1">INDEX(RegionList,RANDBETWEEN(1,ROWS(RegionList)))</f>
        <v>Midwest</v>
      </c>
      <c r="G495" t="str" cm="1">
        <f t="array" aca="1" ref="G495" ca="1">INDEX(DepartmentList,RANDBETWEEN(1,ROWS(DepartmentList)))</f>
        <v>Compliance</v>
      </c>
      <c r="H495" s="1">
        <f t="shared" ca="1" si="30"/>
        <v>45448</v>
      </c>
      <c r="I495" s="4">
        <f ca="1">IF(IncidentTable[[#This Row],[Resolution Time (Days)]]="","",IncidentTable[[#This Row],[Created Date]]+IncidentTable[[#This Row],[Resolution Time (Days)]])</f>
        <v>45544</v>
      </c>
      <c r="J495">
        <f ca="1">IF(OR(IncidentTable[[#This Row],[Status]]="Resolved",IncidentTable[[#This Row],[Status]]="Closed"),RANDBETWEEN(1,120),"")</f>
        <v>96</v>
      </c>
      <c r="K495" t="str">
        <f t="shared" ca="1" si="28"/>
        <v>Resolved</v>
      </c>
      <c r="L495" t="str" cm="1">
        <f t="array" aca="1" ref="L495" ca="1">INDEX(AnalystList,RANDBETWEEN(1,ROWS(AnalystList)))</f>
        <v>Riley Wilson</v>
      </c>
      <c r="M495" t="str" cm="1">
        <f t="array" aca="1" ref="M495" ca="1">INDEX(RootCauseList,RANDBETWEEN(1,ROWS(RootCauseList)))</f>
        <v>Configuration Issue</v>
      </c>
      <c r="N495">
        <f t="shared" ca="1" si="31"/>
        <v>582.58000000000004</v>
      </c>
      <c r="O495">
        <f ca="1">IF(OR(IncidentTable[[#This Row],[Status]]="Resolved",IncidentTable[[#This Row],[Status]]="Closed"),
ROUND(IncidentTable[[#This Row],[Estimated Impact ($)]]*(1+RANDBETWEEN(-15,25)/100)+RAND(),2),
"")</f>
        <v>501.23</v>
      </c>
      <c r="P495">
        <f ca="1">IF(IncidentTable[[#This Row],[Actual Impact ($)]]="","",ROUND(IncidentTable[[#This Row],[Actual Impact ($)]]-IncidentTable[[#This Row],[Estimated Impact ($)]],2))</f>
        <v>-81.349999999999994</v>
      </c>
      <c r="Q495" s="2">
        <f ca="1">IF(IncidentTable[[#This Row],[Actual Impact ($)]]="","",(IncidentTable[[#This Row],[Actual Impact ($)]]-IncidentTable[[#This Row],[Estimated Impact ($)]]) / IncidentTable[[#This Row],[Estimated Impact ($)]])</f>
        <v>-0.13963747468158882</v>
      </c>
      <c r="R495" s="3">
        <f ca="1">IF(IncidentTable[[#This Row],[Priority]]="Critical",1,
IF(IncidentTable[[#This Row],[Priority]]="High",3,
IF(IncidentTable[[#This Row],[Priority]]="Medium",5,
IF(IncidentTable[[#This Row],[Priority]]="Low",10,""))))</f>
        <v>10</v>
      </c>
      <c r="S495" t="str">
        <f ca="1">IF(IncidentTable[[#This Row],[Resolution Time (Days)]]="","",
IF(IncidentTable[[#This Row],[Resolution Time (Days)]]&lt;=IncidentTable[[#This Row],[SLA Target (Days)]],"Yes","No"))</f>
        <v>No</v>
      </c>
    </row>
    <row r="496" spans="1:19" x14ac:dyDescent="0.25">
      <c r="A496" t="str">
        <f t="shared" ca="1" si="29"/>
        <v>INC655297</v>
      </c>
      <c r="B496" t="str" cm="1">
        <f t="array" aca="1" ref="B496" ca="1">INDEX(SystemList,RANDBETWEEN(1,ROWS(SystemList)))</f>
        <v>Policy Admin System</v>
      </c>
      <c r="C496" t="str" cm="1">
        <f t="array" aca="1" ref="C496" ca="1">INDEX(IssueTypeList,RANDBETWEEN(1,ROWS(IssueTypeList)))</f>
        <v>Payment Failure</v>
      </c>
      <c r="D496" t="str" cm="1">
        <f t="array" aca="1" ref="D496" ca="1">INDEX(PriorityList,RANDBETWEEN(1,ROWS(PriorityList)))</f>
        <v>Medium</v>
      </c>
      <c r="E496" t="str" cm="1">
        <f t="array" aca="1" ref="E496" ca="1">INDEX(SeverityList,RANDBETWEEN(1,ROWS(SeverityList)))</f>
        <v>Major</v>
      </c>
      <c r="F496" t="str" cm="1">
        <f t="array" aca="1" ref="F496" ca="1">INDEX(RegionList,RANDBETWEEN(1,ROWS(RegionList)))</f>
        <v>Southeast</v>
      </c>
      <c r="G496" t="str" cm="1">
        <f t="array" aca="1" ref="G496" ca="1">INDEX(DepartmentList,RANDBETWEEN(1,ROWS(DepartmentList)))</f>
        <v>IT</v>
      </c>
      <c r="H496" s="1">
        <f t="shared" ca="1" si="30"/>
        <v>45287</v>
      </c>
      <c r="I496" s="4">
        <f ca="1">IF(IncidentTable[[#This Row],[Resolution Time (Days)]]="","",IncidentTable[[#This Row],[Created Date]]+IncidentTable[[#This Row],[Resolution Time (Days)]])</f>
        <v>45384</v>
      </c>
      <c r="J496">
        <f ca="1">IF(OR(IncidentTable[[#This Row],[Status]]="Resolved",IncidentTable[[#This Row],[Status]]="Closed"),RANDBETWEEN(1,120),"")</f>
        <v>97</v>
      </c>
      <c r="K496" t="str">
        <f t="shared" ca="1" si="28"/>
        <v>Closed</v>
      </c>
      <c r="L496" t="str" cm="1">
        <f t="array" aca="1" ref="L496" ca="1">INDEX(AnalystList,RANDBETWEEN(1,ROWS(AnalystList)))</f>
        <v>Taylor Smith</v>
      </c>
      <c r="M496" t="str" cm="1">
        <f t="array" aca="1" ref="M496" ca="1">INDEX(RootCauseList,RANDBETWEEN(1,ROWS(RootCauseList)))</f>
        <v>System Bug</v>
      </c>
      <c r="N496">
        <f t="shared" ca="1" si="31"/>
        <v>918.67</v>
      </c>
      <c r="O496">
        <f ca="1">IF(OR(IncidentTable[[#This Row],[Status]]="Resolved",IncidentTable[[#This Row],[Status]]="Closed"),
ROUND(IncidentTable[[#This Row],[Estimated Impact ($)]]*(1+RANDBETWEEN(-15,25)/100)+RAND(),2),
"")</f>
        <v>1148.9000000000001</v>
      </c>
      <c r="P496">
        <f ca="1">IF(IncidentTable[[#This Row],[Actual Impact ($)]]="","",ROUND(IncidentTable[[#This Row],[Actual Impact ($)]]-IncidentTable[[#This Row],[Estimated Impact ($)]],2))</f>
        <v>230.23</v>
      </c>
      <c r="Q496" s="2">
        <f ca="1">IF(IncidentTable[[#This Row],[Actual Impact ($)]]="","",(IncidentTable[[#This Row],[Actual Impact ($)]]-IncidentTable[[#This Row],[Estimated Impact ($)]]) / IncidentTable[[#This Row],[Estimated Impact ($)]])</f>
        <v>0.25061229821372216</v>
      </c>
      <c r="R496" s="3">
        <f ca="1">IF(IncidentTable[[#This Row],[Priority]]="Critical",1,
IF(IncidentTable[[#This Row],[Priority]]="High",3,
IF(IncidentTable[[#This Row],[Priority]]="Medium",5,
IF(IncidentTable[[#This Row],[Priority]]="Low",10,""))))</f>
        <v>5</v>
      </c>
      <c r="S496" t="str">
        <f ca="1">IF(IncidentTable[[#This Row],[Resolution Time (Days)]]="","",
IF(IncidentTable[[#This Row],[Resolution Time (Days)]]&lt;=IncidentTable[[#This Row],[SLA Target (Days)]],"Yes","No"))</f>
        <v>No</v>
      </c>
    </row>
    <row r="497" spans="1:19" x14ac:dyDescent="0.25">
      <c r="A497" t="str">
        <f t="shared" ca="1" si="29"/>
        <v>INC793330</v>
      </c>
      <c r="B497" t="str" cm="1">
        <f t="array" aca="1" ref="B497" ca="1">INDEX(SystemList,RANDBETWEEN(1,ROWS(SystemList)))</f>
        <v>Policy Admin System</v>
      </c>
      <c r="C497" t="str" cm="1">
        <f t="array" aca="1" ref="C497" ca="1">INDEX(IssueTypeList,RANDBETWEEN(1,ROWS(IssueTypeList)))</f>
        <v>Data Issue</v>
      </c>
      <c r="D497" t="str" cm="1">
        <f t="array" aca="1" ref="D497" ca="1">INDEX(PriorityList,RANDBETWEEN(1,ROWS(PriorityList)))</f>
        <v>Low</v>
      </c>
      <c r="E497" t="str" cm="1">
        <f t="array" aca="1" ref="E497" ca="1">INDEX(SeverityList,RANDBETWEEN(1,ROWS(SeverityList)))</f>
        <v>Minor</v>
      </c>
      <c r="F497" t="str" cm="1">
        <f t="array" aca="1" ref="F497" ca="1">INDEX(RegionList,RANDBETWEEN(1,ROWS(RegionList)))</f>
        <v>West</v>
      </c>
      <c r="G497" t="str" cm="1">
        <f t="array" aca="1" ref="G497" ca="1">INDEX(DepartmentList,RANDBETWEEN(1,ROWS(DepartmentList)))</f>
        <v>Compliance</v>
      </c>
      <c r="H497" s="1">
        <f t="shared" ca="1" si="30"/>
        <v>45382</v>
      </c>
      <c r="I497" s="4">
        <f ca="1">IF(IncidentTable[[#This Row],[Resolution Time (Days)]]="","",IncidentTable[[#This Row],[Created Date]]+IncidentTable[[#This Row],[Resolution Time (Days)]])</f>
        <v>45420</v>
      </c>
      <c r="J497">
        <f ca="1">IF(OR(IncidentTable[[#This Row],[Status]]="Resolved",IncidentTable[[#This Row],[Status]]="Closed"),RANDBETWEEN(1,120),"")</f>
        <v>38</v>
      </c>
      <c r="K497" t="str">
        <f t="shared" ca="1" si="28"/>
        <v>Closed</v>
      </c>
      <c r="L497" t="str" cm="1">
        <f t="array" aca="1" ref="L497" ca="1">INDEX(AnalystList,RANDBETWEEN(1,ROWS(AnalystList)))</f>
        <v>Riley Wilson</v>
      </c>
      <c r="M497" t="str" cm="1">
        <f t="array" aca="1" ref="M497" ca="1">INDEX(RootCauseList,RANDBETWEEN(1,ROWS(RootCauseList)))</f>
        <v>Process Gap</v>
      </c>
      <c r="N497">
        <f t="shared" ca="1" si="31"/>
        <v>7460.77</v>
      </c>
      <c r="O497">
        <f ca="1">IF(OR(IncidentTable[[#This Row],[Status]]="Resolved",IncidentTable[[#This Row],[Status]]="Closed"),
ROUND(IncidentTable[[#This Row],[Estimated Impact ($)]]*(1+RANDBETWEEN(-15,25)/100)+RAND(),2),
"")</f>
        <v>8580.35</v>
      </c>
      <c r="P497">
        <f ca="1">IF(IncidentTable[[#This Row],[Actual Impact ($)]]="","",ROUND(IncidentTable[[#This Row],[Actual Impact ($)]]-IncidentTable[[#This Row],[Estimated Impact ($)]],2))</f>
        <v>1119.58</v>
      </c>
      <c r="Q497" s="2">
        <f ca="1">IF(IncidentTable[[#This Row],[Actual Impact ($)]]="","",(IncidentTable[[#This Row],[Actual Impact ($)]]-IncidentTable[[#This Row],[Estimated Impact ($)]]) / IncidentTable[[#This Row],[Estimated Impact ($)]])</f>
        <v>0.15006225898935363</v>
      </c>
      <c r="R497" s="3">
        <f ca="1">IF(IncidentTable[[#This Row],[Priority]]="Critical",1,
IF(IncidentTable[[#This Row],[Priority]]="High",3,
IF(IncidentTable[[#This Row],[Priority]]="Medium",5,
IF(IncidentTable[[#This Row],[Priority]]="Low",10,""))))</f>
        <v>10</v>
      </c>
      <c r="S497" t="str">
        <f ca="1">IF(IncidentTable[[#This Row],[Resolution Time (Days)]]="","",
IF(IncidentTable[[#This Row],[Resolution Time (Days)]]&lt;=IncidentTable[[#This Row],[SLA Target (Days)]],"Yes","No"))</f>
        <v>No</v>
      </c>
    </row>
    <row r="498" spans="1:19" x14ac:dyDescent="0.25">
      <c r="A498" t="str">
        <f t="shared" ca="1" si="29"/>
        <v>INC621562</v>
      </c>
      <c r="B498" t="str" cm="1">
        <f t="array" aca="1" ref="B498" ca="1">INDEX(SystemList,RANDBETWEEN(1,ROWS(SystemList)))</f>
        <v>Policy Admin System</v>
      </c>
      <c r="C498" t="str" cm="1">
        <f t="array" aca="1" ref="C498" ca="1">INDEX(IssueTypeList,RANDBETWEEN(1,ROWS(IssueTypeList)))</f>
        <v>Complaint</v>
      </c>
      <c r="D498" t="str" cm="1">
        <f t="array" aca="1" ref="D498" ca="1">INDEX(PriorityList,RANDBETWEEN(1,ROWS(PriorityList)))</f>
        <v>Medium</v>
      </c>
      <c r="E498" t="str" cm="1">
        <f t="array" aca="1" ref="E498" ca="1">INDEX(SeverityList,RANDBETWEEN(1,ROWS(SeverityList)))</f>
        <v>Minor</v>
      </c>
      <c r="F498" t="str" cm="1">
        <f t="array" aca="1" ref="F498" ca="1">INDEX(RegionList,RANDBETWEEN(1,ROWS(RegionList)))</f>
        <v>West</v>
      </c>
      <c r="G498" t="str" cm="1">
        <f t="array" aca="1" ref="G498" ca="1">INDEX(DepartmentList,RANDBETWEEN(1,ROWS(DepartmentList)))</f>
        <v>Compliance</v>
      </c>
      <c r="H498" s="1">
        <f t="shared" ca="1" si="30"/>
        <v>45013</v>
      </c>
      <c r="I498" s="4" t="str">
        <f ca="1">IF(IncidentTable[[#This Row],[Resolution Time (Days)]]="","",IncidentTable[[#This Row],[Created Date]]+IncidentTable[[#This Row],[Resolution Time (Days)]])</f>
        <v/>
      </c>
      <c r="J498" t="str">
        <f ca="1">IF(OR(IncidentTable[[#This Row],[Status]]="Resolved",IncidentTable[[#This Row],[Status]]="Closed"),RANDBETWEEN(1,120),"")</f>
        <v/>
      </c>
      <c r="K498" t="str">
        <f t="shared" ca="1" si="28"/>
        <v>Pending</v>
      </c>
      <c r="L498" t="str" cm="1">
        <f t="array" aca="1" ref="L498" ca="1">INDEX(AnalystList,RANDBETWEEN(1,ROWS(AnalystList)))</f>
        <v>Morgan Davis</v>
      </c>
      <c r="M498" t="str" cm="1">
        <f t="array" aca="1" ref="M498" ca="1">INDEX(RootCauseList,RANDBETWEEN(1,ROWS(RootCauseList)))</f>
        <v>Data Error</v>
      </c>
      <c r="N498">
        <f t="shared" ca="1" si="31"/>
        <v>3.27</v>
      </c>
      <c r="O498" t="str">
        <f ca="1">IF(OR(IncidentTable[[#This Row],[Status]]="Resolved",IncidentTable[[#This Row],[Status]]="Closed"),
ROUND(IncidentTable[[#This Row],[Estimated Impact ($)]]*(1+RANDBETWEEN(-15,25)/100)+RAND(),2),
"")</f>
        <v/>
      </c>
      <c r="P498" t="str">
        <f ca="1">IF(IncidentTable[[#This Row],[Actual Impact ($)]]="","",ROUND(IncidentTable[[#This Row],[Actual Impact ($)]]-IncidentTable[[#This Row],[Estimated Impact ($)]],2))</f>
        <v/>
      </c>
      <c r="Q498" s="2" t="str">
        <f ca="1">IF(IncidentTable[[#This Row],[Actual Impact ($)]]="","",(IncidentTable[[#This Row],[Actual Impact ($)]]-IncidentTable[[#This Row],[Estimated Impact ($)]]) / IncidentTable[[#This Row],[Estimated Impact ($)]])</f>
        <v/>
      </c>
      <c r="R498" s="3">
        <f ca="1">IF(IncidentTable[[#This Row],[Priority]]="Critical",1,
IF(IncidentTable[[#This Row],[Priority]]="High",3,
IF(IncidentTable[[#This Row],[Priority]]="Medium",5,
IF(IncidentTable[[#This Row],[Priority]]="Low",10,""))))</f>
        <v>5</v>
      </c>
      <c r="S498" t="str">
        <f ca="1">IF(IncidentTable[[#This Row],[Resolution Time (Days)]]="","",
IF(IncidentTable[[#This Row],[Resolution Time (Days)]]&lt;=IncidentTable[[#This Row],[SLA Target (Days)]],"Yes","No"))</f>
        <v/>
      </c>
    </row>
    <row r="499" spans="1:19" x14ac:dyDescent="0.25">
      <c r="A499" t="str">
        <f t="shared" ca="1" si="29"/>
        <v>INC462470</v>
      </c>
      <c r="B499" t="str" cm="1">
        <f t="array" aca="1" ref="B499" ca="1">INDEX(SystemList,RANDBETWEEN(1,ROWS(SystemList)))</f>
        <v>Policy Admin System</v>
      </c>
      <c r="C499" t="str" cm="1">
        <f t="array" aca="1" ref="C499" ca="1">INDEX(IssueTypeList,RANDBETWEEN(1,ROWS(IssueTypeList)))</f>
        <v>Data Issue</v>
      </c>
      <c r="D499" t="str" cm="1">
        <f t="array" aca="1" ref="D499" ca="1">INDEX(PriorityList,RANDBETWEEN(1,ROWS(PriorityList)))</f>
        <v>Critical</v>
      </c>
      <c r="E499" t="str" cm="1">
        <f t="array" aca="1" ref="E499" ca="1">INDEX(SeverityList,RANDBETWEEN(1,ROWS(SeverityList)))</f>
        <v>Critical</v>
      </c>
      <c r="F499" t="str" cm="1">
        <f t="array" aca="1" ref="F499" ca="1">INDEX(RegionList,RANDBETWEEN(1,ROWS(RegionList)))</f>
        <v>Midwest</v>
      </c>
      <c r="G499" t="str" cm="1">
        <f t="array" aca="1" ref="G499" ca="1">INDEX(DepartmentList,RANDBETWEEN(1,ROWS(DepartmentList)))</f>
        <v>IT</v>
      </c>
      <c r="H499" s="1">
        <f t="shared" ca="1" si="30"/>
        <v>45005</v>
      </c>
      <c r="I499" s="4" t="str">
        <f ca="1">IF(IncidentTable[[#This Row],[Resolution Time (Days)]]="","",IncidentTable[[#This Row],[Created Date]]+IncidentTable[[#This Row],[Resolution Time (Days)]])</f>
        <v/>
      </c>
      <c r="J499" t="str">
        <f ca="1">IF(OR(IncidentTable[[#This Row],[Status]]="Resolved",IncidentTable[[#This Row],[Status]]="Closed"),RANDBETWEEN(1,120),"")</f>
        <v/>
      </c>
      <c r="K499" t="str">
        <f t="shared" ca="1" si="28"/>
        <v>Pending</v>
      </c>
      <c r="L499" t="str" cm="1">
        <f t="array" aca="1" ref="L499" ca="1">INDEX(AnalystList,RANDBETWEEN(1,ROWS(AnalystList)))</f>
        <v>Jordan Lee</v>
      </c>
      <c r="M499" t="str" cm="1">
        <f t="array" aca="1" ref="M499" ca="1">INDEX(RootCauseList,RANDBETWEEN(1,ROWS(RootCauseList)))</f>
        <v>User Error</v>
      </c>
      <c r="N499">
        <f t="shared" ca="1" si="31"/>
        <v>25084.27</v>
      </c>
      <c r="O499" t="str">
        <f ca="1">IF(OR(IncidentTable[[#This Row],[Status]]="Resolved",IncidentTable[[#This Row],[Status]]="Closed"),
ROUND(IncidentTable[[#This Row],[Estimated Impact ($)]]*(1+RANDBETWEEN(-15,25)/100)+RAND(),2),
"")</f>
        <v/>
      </c>
      <c r="P499" t="str">
        <f ca="1">IF(IncidentTable[[#This Row],[Actual Impact ($)]]="","",ROUND(IncidentTable[[#This Row],[Actual Impact ($)]]-IncidentTable[[#This Row],[Estimated Impact ($)]],2))</f>
        <v/>
      </c>
      <c r="Q499" s="2" t="str">
        <f ca="1">IF(IncidentTable[[#This Row],[Actual Impact ($)]]="","",(IncidentTable[[#This Row],[Actual Impact ($)]]-IncidentTable[[#This Row],[Estimated Impact ($)]]) / IncidentTable[[#This Row],[Estimated Impact ($)]])</f>
        <v/>
      </c>
      <c r="R499" s="3">
        <f ca="1">IF(IncidentTable[[#This Row],[Priority]]="Critical",1,
IF(IncidentTable[[#This Row],[Priority]]="High",3,
IF(IncidentTable[[#This Row],[Priority]]="Medium",5,
IF(IncidentTable[[#This Row],[Priority]]="Low",10,""))))</f>
        <v>1</v>
      </c>
      <c r="S499" t="str">
        <f ca="1">IF(IncidentTable[[#This Row],[Resolution Time (Days)]]="","",
IF(IncidentTable[[#This Row],[Resolution Time (Days)]]&lt;=IncidentTable[[#This Row],[SLA Target (Days)]],"Yes","No"))</f>
        <v/>
      </c>
    </row>
    <row r="500" spans="1:19" x14ac:dyDescent="0.25">
      <c r="A500" t="str">
        <f t="shared" ca="1" si="29"/>
        <v>INC438297</v>
      </c>
      <c r="B500" t="str" cm="1">
        <f t="array" aca="1" ref="B500" ca="1">INDEX(SystemList,RANDBETWEEN(1,ROWS(SystemList)))</f>
        <v>Claims System</v>
      </c>
      <c r="C500" t="str" cm="1">
        <f t="array" aca="1" ref="C500" ca="1">INDEX(IssueTypeList,RANDBETWEEN(1,ROWS(IssueTypeList)))</f>
        <v>Integration Failure</v>
      </c>
      <c r="D500" t="str" cm="1">
        <f t="array" aca="1" ref="D500" ca="1">INDEX(PriorityList,RANDBETWEEN(1,ROWS(PriorityList)))</f>
        <v>High</v>
      </c>
      <c r="E500" t="str" cm="1">
        <f t="array" aca="1" ref="E500" ca="1">INDEX(SeverityList,RANDBETWEEN(1,ROWS(SeverityList)))</f>
        <v>Minor</v>
      </c>
      <c r="F500" t="str" cm="1">
        <f t="array" aca="1" ref="F500" ca="1">INDEX(RegionList,RANDBETWEEN(1,ROWS(RegionList)))</f>
        <v>Southeast</v>
      </c>
      <c r="G500" t="str" cm="1">
        <f t="array" aca="1" ref="G500" ca="1">INDEX(DepartmentList,RANDBETWEEN(1,ROWS(DepartmentList)))</f>
        <v>Compliance</v>
      </c>
      <c r="H500" s="1">
        <f t="shared" ca="1" si="30"/>
        <v>45378</v>
      </c>
      <c r="I500" s="4" t="str">
        <f ca="1">IF(IncidentTable[[#This Row],[Resolution Time (Days)]]="","",IncidentTable[[#This Row],[Created Date]]+IncidentTable[[#This Row],[Resolution Time (Days)]])</f>
        <v/>
      </c>
      <c r="J500" t="str">
        <f ca="1">IF(OR(IncidentTable[[#This Row],[Status]]="Resolved",IncidentTable[[#This Row],[Status]]="Closed"),RANDBETWEEN(1,120),"")</f>
        <v/>
      </c>
      <c r="K500" t="str">
        <f t="shared" ca="1" si="28"/>
        <v>Pending</v>
      </c>
      <c r="L500" t="str" cm="1">
        <f t="array" aca="1" ref="L500" ca="1">INDEX(AnalystList,RANDBETWEEN(1,ROWS(AnalystList)))</f>
        <v>Taylor Smith</v>
      </c>
      <c r="M500" t="str" cm="1">
        <f t="array" aca="1" ref="M500" ca="1">INDEX(RootCauseList,RANDBETWEEN(1,ROWS(RootCauseList)))</f>
        <v>Integration Failure</v>
      </c>
      <c r="N500">
        <f t="shared" ca="1" si="31"/>
        <v>106.75</v>
      </c>
      <c r="O500" t="str">
        <f ca="1">IF(OR(IncidentTable[[#This Row],[Status]]="Resolved",IncidentTable[[#This Row],[Status]]="Closed"),
ROUND(IncidentTable[[#This Row],[Estimated Impact ($)]]*(1+RANDBETWEEN(-15,25)/100)+RAND(),2),
"")</f>
        <v/>
      </c>
      <c r="P500" t="str">
        <f ca="1">IF(IncidentTable[[#This Row],[Actual Impact ($)]]="","",ROUND(IncidentTable[[#This Row],[Actual Impact ($)]]-IncidentTable[[#This Row],[Estimated Impact ($)]],2))</f>
        <v/>
      </c>
      <c r="Q500" s="2" t="str">
        <f ca="1">IF(IncidentTable[[#This Row],[Actual Impact ($)]]="","",(IncidentTable[[#This Row],[Actual Impact ($)]]-IncidentTable[[#This Row],[Estimated Impact ($)]]) / IncidentTable[[#This Row],[Estimated Impact ($)]])</f>
        <v/>
      </c>
      <c r="R500" s="3">
        <f ca="1">IF(IncidentTable[[#This Row],[Priority]]="Critical",1,
IF(IncidentTable[[#This Row],[Priority]]="High",3,
IF(IncidentTable[[#This Row],[Priority]]="Medium",5,
IF(IncidentTable[[#This Row],[Priority]]="Low",10,""))))</f>
        <v>3</v>
      </c>
      <c r="S500" t="str">
        <f ca="1">IF(IncidentTable[[#This Row],[Resolution Time (Days)]]="","",
IF(IncidentTable[[#This Row],[Resolution Time (Days)]]&lt;=IncidentTable[[#This Row],[SLA Target (Days)]],"Yes","No"))</f>
        <v/>
      </c>
    </row>
  </sheetData>
  <dataValidations count="8">
    <dataValidation type="list" allowBlank="1" showInputMessage="1" showErrorMessage="1" sqref="K2:K1048576" xr:uid="{C79B1085-3FF1-4023-8848-6C57D1327214}">
      <formula1>"Open,In Progress,Pending,Resolved,Closed"</formula1>
    </dataValidation>
    <dataValidation type="list" allowBlank="1" showInputMessage="1" showErrorMessage="1" sqref="B2:B500" xr:uid="{B575CC4D-F999-44BE-A93F-8D9FD2FC3051}">
      <formula1>SystemList</formula1>
    </dataValidation>
    <dataValidation type="list" allowBlank="1" showInputMessage="1" showErrorMessage="1" sqref="C2:C500" xr:uid="{060A60A0-4630-456B-9496-B0897E5F2079}">
      <formula1>IssueTypeList</formula1>
    </dataValidation>
    <dataValidation type="list" allowBlank="1" showInputMessage="1" showErrorMessage="1" sqref="D2:D500" xr:uid="{C4E6A553-53EE-4545-BF2C-36ECC33C72D8}">
      <formula1>PriorityList</formula1>
    </dataValidation>
    <dataValidation type="list" allowBlank="1" showInputMessage="1" showErrorMessage="1" sqref="E2:E500" xr:uid="{F440F8A6-1A04-4CF9-8715-0D8AEE5DC882}">
      <formula1>SeverityList</formula1>
    </dataValidation>
    <dataValidation type="list" allowBlank="1" showInputMessage="1" showErrorMessage="1" sqref="F2:F500" xr:uid="{36B30E18-766B-4EF5-ADDC-615FD97DA81F}">
      <formula1>RegionList</formula1>
    </dataValidation>
    <dataValidation type="list" allowBlank="1" showInputMessage="1" showErrorMessage="1" sqref="G2:G500" xr:uid="{E63718F5-D85E-40C3-92CD-68871DAE6C25}">
      <formula1>DepartmentList</formula1>
    </dataValidation>
    <dataValidation type="list" allowBlank="1" showInputMessage="1" showErrorMessage="1" sqref="L2:L500" xr:uid="{32323BC2-C06F-45B0-AC06-56AFB0A87438}">
      <formula1>AnalystList</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4803E-5A32-4165-9EFA-7C0EB26832FC}">
  <dimension ref="A1:H9"/>
  <sheetViews>
    <sheetView workbookViewId="0">
      <selection activeCell="H2" sqref="H2:H9"/>
    </sheetView>
  </sheetViews>
  <sheetFormatPr defaultRowHeight="15" x14ac:dyDescent="0.25"/>
  <cols>
    <col min="1" max="1" width="19.42578125" customWidth="1"/>
    <col min="2" max="2" width="17.7109375" customWidth="1"/>
    <col min="3" max="3" width="17" customWidth="1"/>
    <col min="4" max="4" width="18.42578125" customWidth="1"/>
    <col min="5" max="5" width="18.5703125" customWidth="1"/>
    <col min="6" max="6" width="23" customWidth="1"/>
    <col min="7" max="7" width="15.5703125" customWidth="1"/>
    <col min="8" max="8" width="18.42578125" customWidth="1"/>
  </cols>
  <sheetData>
    <row r="1" spans="1:8" x14ac:dyDescent="0.25">
      <c r="A1" t="s">
        <v>1</v>
      </c>
      <c r="B1" t="s">
        <v>92</v>
      </c>
      <c r="C1" t="s">
        <v>3</v>
      </c>
      <c r="D1" t="s">
        <v>4</v>
      </c>
      <c r="E1" t="s">
        <v>5</v>
      </c>
      <c r="F1" t="s">
        <v>6</v>
      </c>
      <c r="G1" t="s">
        <v>52</v>
      </c>
      <c r="H1" t="s">
        <v>59</v>
      </c>
    </row>
    <row r="2" spans="1:8" x14ac:dyDescent="0.25">
      <c r="A2" t="s">
        <v>19</v>
      </c>
      <c r="B2" t="s">
        <v>26</v>
      </c>
      <c r="C2" t="s">
        <v>34</v>
      </c>
      <c r="D2" t="s">
        <v>38</v>
      </c>
      <c r="E2" t="s">
        <v>41</v>
      </c>
      <c r="F2" t="s">
        <v>46</v>
      </c>
      <c r="G2" t="s">
        <v>53</v>
      </c>
      <c r="H2" t="s">
        <v>60</v>
      </c>
    </row>
    <row r="3" spans="1:8" x14ac:dyDescent="0.25">
      <c r="A3" t="s">
        <v>20</v>
      </c>
      <c r="B3" t="s">
        <v>27</v>
      </c>
      <c r="C3" t="s">
        <v>35</v>
      </c>
      <c r="D3" t="s">
        <v>39</v>
      </c>
      <c r="E3" t="s">
        <v>42</v>
      </c>
      <c r="F3" t="s">
        <v>47</v>
      </c>
      <c r="G3" t="s">
        <v>54</v>
      </c>
      <c r="H3" t="s">
        <v>61</v>
      </c>
    </row>
    <row r="4" spans="1:8" x14ac:dyDescent="0.25">
      <c r="A4" t="s">
        <v>21</v>
      </c>
      <c r="B4" t="s">
        <v>28</v>
      </c>
      <c r="C4" t="s">
        <v>36</v>
      </c>
      <c r="D4" t="s">
        <v>40</v>
      </c>
      <c r="E4" t="s">
        <v>43</v>
      </c>
      <c r="F4" t="s">
        <v>48</v>
      </c>
      <c r="G4" t="s">
        <v>55</v>
      </c>
      <c r="H4" t="s">
        <v>62</v>
      </c>
    </row>
    <row r="5" spans="1:8" x14ac:dyDescent="0.25">
      <c r="A5" t="s">
        <v>22</v>
      </c>
      <c r="B5" t="s">
        <v>29</v>
      </c>
      <c r="C5" t="s">
        <v>37</v>
      </c>
      <c r="D5" t="s">
        <v>37</v>
      </c>
      <c r="E5" t="s">
        <v>44</v>
      </c>
      <c r="F5" t="s">
        <v>49</v>
      </c>
      <c r="G5" t="s">
        <v>56</v>
      </c>
      <c r="H5" t="s">
        <v>31</v>
      </c>
    </row>
    <row r="6" spans="1:8" x14ac:dyDescent="0.25">
      <c r="A6" t="s">
        <v>23</v>
      </c>
      <c r="B6" t="s">
        <v>30</v>
      </c>
      <c r="E6" t="s">
        <v>45</v>
      </c>
      <c r="F6" t="s">
        <v>50</v>
      </c>
      <c r="G6" t="s">
        <v>57</v>
      </c>
      <c r="H6" t="s">
        <v>90</v>
      </c>
    </row>
    <row r="7" spans="1:8" x14ac:dyDescent="0.25">
      <c r="A7" t="s">
        <v>24</v>
      </c>
      <c r="B7" t="s">
        <v>31</v>
      </c>
      <c r="F7" t="s">
        <v>51</v>
      </c>
      <c r="G7" t="s">
        <v>58</v>
      </c>
      <c r="H7" t="s">
        <v>91</v>
      </c>
    </row>
    <row r="8" spans="1:8" x14ac:dyDescent="0.25">
      <c r="A8" t="s">
        <v>25</v>
      </c>
      <c r="B8" t="s">
        <v>32</v>
      </c>
      <c r="H8" t="s">
        <v>63</v>
      </c>
    </row>
    <row r="9" spans="1:8" x14ac:dyDescent="0.25">
      <c r="B9" t="s">
        <v>33</v>
      </c>
      <c r="H9" t="s">
        <v>64</v>
      </c>
    </row>
  </sheetData>
  <pageMargins left="0.7" right="0.7" top="0.75" bottom="0.75" header="0.3" footer="0.3"/>
  <tableParts count="8">
    <tablePart r:id="rId1"/>
    <tablePart r:id="rId2"/>
    <tablePart r:id="rId3"/>
    <tablePart r:id="rId4"/>
    <tablePart r:id="rId5"/>
    <tablePart r:id="rId6"/>
    <tablePart r:id="rId7"/>
    <tablePart r:id="rId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68B55-CC73-4E6E-940D-38C7BE39D4D8}">
  <dimension ref="A1:R154"/>
  <sheetViews>
    <sheetView showGridLines="0" tabSelected="1" topLeftCell="D71" workbookViewId="0">
      <selection activeCell="M157" sqref="M157"/>
    </sheetView>
  </sheetViews>
  <sheetFormatPr defaultRowHeight="15" x14ac:dyDescent="0.25"/>
  <cols>
    <col min="2" max="2" width="13.42578125" bestFit="1" customWidth="1"/>
    <col min="3" max="3" width="31.140625" customWidth="1"/>
    <col min="4" max="4" width="23.140625" bestFit="1" customWidth="1"/>
    <col min="5" max="5" width="23.7109375" bestFit="1" customWidth="1"/>
    <col min="6" max="6" width="22.140625" customWidth="1"/>
    <col min="8" max="8" width="24" customWidth="1"/>
    <col min="10" max="10" width="34.85546875" customWidth="1"/>
    <col min="12" max="12" width="25.28515625" customWidth="1"/>
    <col min="14" max="14" width="30.140625" customWidth="1"/>
    <col min="16" max="16" width="28.140625" customWidth="1"/>
    <col min="18" max="18" width="29.85546875" customWidth="1"/>
  </cols>
  <sheetData>
    <row r="1" spans="1:18" ht="27" thickBot="1" x14ac:dyDescent="0.45">
      <c r="A1" s="8" t="s">
        <v>89</v>
      </c>
    </row>
    <row r="2" spans="1:18" ht="15.75" x14ac:dyDescent="0.25">
      <c r="B2" s="12" t="s">
        <v>65</v>
      </c>
      <c r="D2" s="12" t="s">
        <v>66</v>
      </c>
      <c r="F2" s="12" t="s">
        <v>67</v>
      </c>
      <c r="H2" s="12" t="s">
        <v>68</v>
      </c>
      <c r="J2" s="12" t="s">
        <v>69</v>
      </c>
      <c r="L2" s="12" t="s">
        <v>94</v>
      </c>
      <c r="N2" s="12" t="s">
        <v>95</v>
      </c>
      <c r="P2" s="12" t="s">
        <v>96</v>
      </c>
      <c r="R2" s="12" t="s">
        <v>97</v>
      </c>
    </row>
    <row r="3" spans="1:18" ht="24.75" thickBot="1" x14ac:dyDescent="0.45">
      <c r="B3" s="9">
        <f>ROWS(IncidentTable[])</f>
        <v>499</v>
      </c>
      <c r="D3" s="9">
        <f ca="1">COUNTIF(IncidentTable[Status],"Open")</f>
        <v>91</v>
      </c>
      <c r="F3" s="9">
        <f ca="1">COUNTIF(IncidentTable[Status],"Closed")</f>
        <v>114</v>
      </c>
      <c r="H3" s="10">
        <f ca="1">COUNTIF(IncidentTable[SLA Met],"Yes")/
COUNTIF(IncidentTable[SLA Met],"&lt;&gt;")</f>
        <v>2.004008016032064E-2</v>
      </c>
      <c r="J3" s="11">
        <f ca="1">AVERAGE(IncidentTable[Resolution Time (Days)])</f>
        <v>58.700421940928273</v>
      </c>
      <c r="L3" s="15">
        <f ca="1">SUM(IncidentTable[Estimated Impact ($)])</f>
        <v>2951641.669999999</v>
      </c>
      <c r="N3" s="15">
        <f ca="1">SUM(IncidentTable[Actual Impact ($)])</f>
        <v>1533629.3499999994</v>
      </c>
      <c r="P3" s="15">
        <f ca="1">N3-L3</f>
        <v>-1418012.3199999996</v>
      </c>
      <c r="R3" s="15">
        <f ca="1">AVERAGE(IncidentTable[Actual Impact ($)])</f>
        <v>6471.0099156118122</v>
      </c>
    </row>
    <row r="6" spans="1:18" x14ac:dyDescent="0.25">
      <c r="B6" s="5" t="s">
        <v>70</v>
      </c>
      <c r="C6" t="s">
        <v>72</v>
      </c>
    </row>
    <row r="7" spans="1:18" x14ac:dyDescent="0.25">
      <c r="B7" s="6" t="s">
        <v>34</v>
      </c>
      <c r="C7" s="14">
        <v>121</v>
      </c>
    </row>
    <row r="8" spans="1:18" x14ac:dyDescent="0.25">
      <c r="B8" s="6" t="s">
        <v>35</v>
      </c>
      <c r="C8" s="14">
        <v>120</v>
      </c>
    </row>
    <row r="9" spans="1:18" x14ac:dyDescent="0.25">
      <c r="B9" s="6" t="s">
        <v>36</v>
      </c>
      <c r="C9" s="14">
        <v>121</v>
      </c>
    </row>
    <row r="10" spans="1:18" x14ac:dyDescent="0.25">
      <c r="B10" s="6" t="s">
        <v>37</v>
      </c>
      <c r="C10" s="14">
        <v>137</v>
      </c>
    </row>
    <row r="11" spans="1:18" x14ac:dyDescent="0.25">
      <c r="B11" s="6" t="s">
        <v>71</v>
      </c>
      <c r="C11" s="14">
        <v>499</v>
      </c>
    </row>
    <row r="28" spans="2:3" x14ac:dyDescent="0.25">
      <c r="B28" s="5" t="s">
        <v>70</v>
      </c>
      <c r="C28" t="s">
        <v>73</v>
      </c>
    </row>
    <row r="29" spans="2:3" x14ac:dyDescent="0.25">
      <c r="B29" s="6" t="s">
        <v>19</v>
      </c>
      <c r="C29" s="14">
        <v>67</v>
      </c>
    </row>
    <row r="30" spans="2:3" x14ac:dyDescent="0.25">
      <c r="B30" s="6" t="s">
        <v>20</v>
      </c>
      <c r="C30" s="14">
        <v>60</v>
      </c>
    </row>
    <row r="31" spans="2:3" x14ac:dyDescent="0.25">
      <c r="B31" s="6" t="s">
        <v>22</v>
      </c>
      <c r="C31" s="14">
        <v>67</v>
      </c>
    </row>
    <row r="32" spans="2:3" x14ac:dyDescent="0.25">
      <c r="B32" s="6" t="s">
        <v>21</v>
      </c>
      <c r="C32" s="14">
        <v>73</v>
      </c>
    </row>
    <row r="33" spans="2:3" x14ac:dyDescent="0.25">
      <c r="B33" s="6" t="s">
        <v>23</v>
      </c>
      <c r="C33" s="14">
        <v>73</v>
      </c>
    </row>
    <row r="34" spans="2:3" x14ac:dyDescent="0.25">
      <c r="B34" s="6" t="s">
        <v>24</v>
      </c>
      <c r="C34" s="14">
        <v>89</v>
      </c>
    </row>
    <row r="35" spans="2:3" x14ac:dyDescent="0.25">
      <c r="B35" s="6" t="s">
        <v>25</v>
      </c>
      <c r="C35" s="14">
        <v>70</v>
      </c>
    </row>
    <row r="36" spans="2:3" x14ac:dyDescent="0.25">
      <c r="B36" s="6" t="s">
        <v>71</v>
      </c>
      <c r="C36" s="14">
        <v>499</v>
      </c>
    </row>
    <row r="54" spans="2:3" x14ac:dyDescent="0.25">
      <c r="B54" s="5" t="s">
        <v>70</v>
      </c>
      <c r="C54" t="s">
        <v>88</v>
      </c>
    </row>
    <row r="55" spans="2:3" x14ac:dyDescent="0.25">
      <c r="B55" s="6" t="s">
        <v>74</v>
      </c>
      <c r="C55" s="14">
        <v>318</v>
      </c>
    </row>
    <row r="56" spans="2:3" x14ac:dyDescent="0.25">
      <c r="B56" s="7" t="s">
        <v>76</v>
      </c>
      <c r="C56" s="14">
        <v>27</v>
      </c>
    </row>
    <row r="57" spans="2:3" x14ac:dyDescent="0.25">
      <c r="B57" s="7" t="s">
        <v>77</v>
      </c>
      <c r="C57" s="14">
        <v>20</v>
      </c>
    </row>
    <row r="58" spans="2:3" x14ac:dyDescent="0.25">
      <c r="B58" s="7" t="s">
        <v>78</v>
      </c>
      <c r="C58" s="14">
        <v>32</v>
      </c>
    </row>
    <row r="59" spans="2:3" x14ac:dyDescent="0.25">
      <c r="B59" s="7" t="s">
        <v>79</v>
      </c>
      <c r="C59" s="14">
        <v>42</v>
      </c>
    </row>
    <row r="60" spans="2:3" x14ac:dyDescent="0.25">
      <c r="B60" s="7" t="s">
        <v>80</v>
      </c>
      <c r="C60" s="14">
        <v>21</v>
      </c>
    </row>
    <row r="61" spans="2:3" x14ac:dyDescent="0.25">
      <c r="B61" s="7" t="s">
        <v>81</v>
      </c>
      <c r="C61" s="14">
        <v>23</v>
      </c>
    </row>
    <row r="62" spans="2:3" x14ac:dyDescent="0.25">
      <c r="B62" s="7" t="s">
        <v>82</v>
      </c>
      <c r="C62" s="14">
        <v>17</v>
      </c>
    </row>
    <row r="63" spans="2:3" x14ac:dyDescent="0.25">
      <c r="B63" s="7" t="s">
        <v>83</v>
      </c>
      <c r="C63" s="14">
        <v>30</v>
      </c>
    </row>
    <row r="64" spans="2:3" x14ac:dyDescent="0.25">
      <c r="B64" s="7" t="s">
        <v>84</v>
      </c>
      <c r="C64" s="14">
        <v>39</v>
      </c>
    </row>
    <row r="65" spans="2:3" x14ac:dyDescent="0.25">
      <c r="B65" s="7" t="s">
        <v>85</v>
      </c>
      <c r="C65" s="14">
        <v>20</v>
      </c>
    </row>
    <row r="66" spans="2:3" x14ac:dyDescent="0.25">
      <c r="B66" s="7" t="s">
        <v>86</v>
      </c>
      <c r="C66" s="14">
        <v>26</v>
      </c>
    </row>
    <row r="67" spans="2:3" x14ac:dyDescent="0.25">
      <c r="B67" s="7" t="s">
        <v>87</v>
      </c>
      <c r="C67" s="14">
        <v>21</v>
      </c>
    </row>
    <row r="68" spans="2:3" x14ac:dyDescent="0.25">
      <c r="B68" s="6" t="s">
        <v>75</v>
      </c>
      <c r="C68" s="14">
        <v>181</v>
      </c>
    </row>
    <row r="69" spans="2:3" x14ac:dyDescent="0.25">
      <c r="B69" s="7" t="s">
        <v>76</v>
      </c>
      <c r="C69" s="14">
        <v>27</v>
      </c>
    </row>
    <row r="70" spans="2:3" x14ac:dyDescent="0.25">
      <c r="B70" s="7" t="s">
        <v>77</v>
      </c>
      <c r="C70" s="14">
        <v>34</v>
      </c>
    </row>
    <row r="71" spans="2:3" x14ac:dyDescent="0.25">
      <c r="B71" s="7" t="s">
        <v>78</v>
      </c>
      <c r="C71" s="14">
        <v>27</v>
      </c>
    </row>
    <row r="72" spans="2:3" x14ac:dyDescent="0.25">
      <c r="B72" s="7" t="s">
        <v>79</v>
      </c>
      <c r="C72" s="14">
        <v>30</v>
      </c>
    </row>
    <row r="73" spans="2:3" x14ac:dyDescent="0.25">
      <c r="B73" s="7" t="s">
        <v>80</v>
      </c>
      <c r="C73" s="14">
        <v>35</v>
      </c>
    </row>
    <row r="74" spans="2:3" x14ac:dyDescent="0.25">
      <c r="B74" s="7" t="s">
        <v>81</v>
      </c>
      <c r="C74" s="14">
        <v>28</v>
      </c>
    </row>
    <row r="75" spans="2:3" x14ac:dyDescent="0.25">
      <c r="B75" s="6" t="s">
        <v>71</v>
      </c>
      <c r="C75" s="14">
        <v>499</v>
      </c>
    </row>
    <row r="80" spans="2:3" x14ac:dyDescent="0.25">
      <c r="B80" s="5" t="s">
        <v>70</v>
      </c>
      <c r="C80" t="s">
        <v>93</v>
      </c>
    </row>
    <row r="81" spans="2:3" x14ac:dyDescent="0.25">
      <c r="B81" s="6" t="s">
        <v>62</v>
      </c>
      <c r="C81" s="14">
        <v>57</v>
      </c>
    </row>
    <row r="82" spans="2:3" x14ac:dyDescent="0.25">
      <c r="B82" s="6" t="s">
        <v>90</v>
      </c>
      <c r="C82" s="14">
        <v>52</v>
      </c>
    </row>
    <row r="83" spans="2:3" x14ac:dyDescent="0.25">
      <c r="B83" s="6" t="s">
        <v>63</v>
      </c>
      <c r="C83" s="14">
        <v>60</v>
      </c>
    </row>
    <row r="84" spans="2:3" x14ac:dyDescent="0.25">
      <c r="B84" s="6" t="s">
        <v>60</v>
      </c>
      <c r="C84" s="14">
        <v>72</v>
      </c>
    </row>
    <row r="85" spans="2:3" x14ac:dyDescent="0.25">
      <c r="B85" s="6" t="s">
        <v>31</v>
      </c>
      <c r="C85" s="14">
        <v>66</v>
      </c>
    </row>
    <row r="86" spans="2:3" x14ac:dyDescent="0.25">
      <c r="B86" s="6" t="s">
        <v>64</v>
      </c>
      <c r="C86" s="14">
        <v>67</v>
      </c>
    </row>
    <row r="87" spans="2:3" x14ac:dyDescent="0.25">
      <c r="B87" s="6" t="s">
        <v>91</v>
      </c>
      <c r="C87" s="14">
        <v>62</v>
      </c>
    </row>
    <row r="88" spans="2:3" x14ac:dyDescent="0.25">
      <c r="B88" s="6" t="s">
        <v>61</v>
      </c>
      <c r="C88" s="14">
        <v>63</v>
      </c>
    </row>
    <row r="89" spans="2:3" x14ac:dyDescent="0.25">
      <c r="B89" s="6" t="s">
        <v>71</v>
      </c>
      <c r="C89" s="14">
        <v>499</v>
      </c>
    </row>
    <row r="100" spans="2:3" x14ac:dyDescent="0.25">
      <c r="B100" s="5" t="s">
        <v>70</v>
      </c>
      <c r="C100" t="s">
        <v>98</v>
      </c>
    </row>
    <row r="101" spans="2:3" x14ac:dyDescent="0.25">
      <c r="B101" s="6" t="s">
        <v>19</v>
      </c>
      <c r="C101" s="13">
        <v>109458.19999999998</v>
      </c>
    </row>
    <row r="102" spans="2:3" x14ac:dyDescent="0.25">
      <c r="B102" s="6" t="s">
        <v>20</v>
      </c>
      <c r="C102" s="13">
        <v>124523.06</v>
      </c>
    </row>
    <row r="103" spans="2:3" x14ac:dyDescent="0.25">
      <c r="B103" s="6" t="s">
        <v>22</v>
      </c>
      <c r="C103" s="13">
        <v>272014.57</v>
      </c>
    </row>
    <row r="104" spans="2:3" x14ac:dyDescent="0.25">
      <c r="B104" s="6" t="s">
        <v>21</v>
      </c>
      <c r="C104" s="13">
        <v>161085.96999999997</v>
      </c>
    </row>
    <row r="105" spans="2:3" x14ac:dyDescent="0.25">
      <c r="B105" s="6" t="s">
        <v>23</v>
      </c>
      <c r="C105" s="13">
        <v>165231.22999999995</v>
      </c>
    </row>
    <row r="106" spans="2:3" x14ac:dyDescent="0.25">
      <c r="B106" s="6" t="s">
        <v>24</v>
      </c>
      <c r="C106" s="13">
        <v>138045.80999999997</v>
      </c>
    </row>
    <row r="107" spans="2:3" x14ac:dyDescent="0.25">
      <c r="B107" s="6" t="s">
        <v>25</v>
      </c>
      <c r="C107" s="13">
        <v>196589.62</v>
      </c>
    </row>
    <row r="108" spans="2:3" x14ac:dyDescent="0.25">
      <c r="B108" s="6" t="s">
        <v>71</v>
      </c>
      <c r="C108" s="13">
        <v>1166948.46</v>
      </c>
    </row>
    <row r="118" spans="2:4" x14ac:dyDescent="0.25">
      <c r="B118" s="5" t="s">
        <v>10</v>
      </c>
      <c r="C118" t="s">
        <v>100</v>
      </c>
    </row>
    <row r="120" spans="2:4" x14ac:dyDescent="0.25">
      <c r="B120" s="5" t="s">
        <v>70</v>
      </c>
      <c r="C120" t="s">
        <v>99</v>
      </c>
      <c r="D120" t="s">
        <v>98</v>
      </c>
    </row>
    <row r="121" spans="2:4" x14ac:dyDescent="0.25">
      <c r="B121" s="6" t="s">
        <v>74</v>
      </c>
      <c r="C121" s="13"/>
      <c r="D121" s="13"/>
    </row>
    <row r="122" spans="2:4" x14ac:dyDescent="0.25">
      <c r="B122" s="7" t="s">
        <v>76</v>
      </c>
      <c r="C122" s="13">
        <v>127142.68000000001</v>
      </c>
      <c r="D122" s="13">
        <v>130449.49</v>
      </c>
    </row>
    <row r="123" spans="2:4" x14ac:dyDescent="0.25">
      <c r="B123" s="7" t="s">
        <v>77</v>
      </c>
      <c r="C123" s="13">
        <v>22518.92</v>
      </c>
      <c r="D123" s="13">
        <v>25016.040000000005</v>
      </c>
    </row>
    <row r="124" spans="2:4" x14ac:dyDescent="0.25">
      <c r="B124" s="7" t="s">
        <v>78</v>
      </c>
      <c r="C124" s="13">
        <v>121532.84</v>
      </c>
      <c r="D124" s="13">
        <v>127491.40000000001</v>
      </c>
    </row>
    <row r="125" spans="2:4" x14ac:dyDescent="0.25">
      <c r="B125" s="7" t="s">
        <v>79</v>
      </c>
      <c r="C125" s="13">
        <v>74193.450000000012</v>
      </c>
      <c r="D125" s="13">
        <v>73325.55</v>
      </c>
    </row>
    <row r="126" spans="2:4" x14ac:dyDescent="0.25">
      <c r="B126" s="7" t="s">
        <v>80</v>
      </c>
      <c r="C126" s="13">
        <v>27629.94</v>
      </c>
      <c r="D126" s="13">
        <v>28960.840000000004</v>
      </c>
    </row>
    <row r="127" spans="2:4" x14ac:dyDescent="0.25">
      <c r="B127" s="7" t="s">
        <v>81</v>
      </c>
      <c r="C127" s="13">
        <v>52588.72</v>
      </c>
      <c r="D127" s="13">
        <v>51626.680000000008</v>
      </c>
    </row>
    <row r="128" spans="2:4" x14ac:dyDescent="0.25">
      <c r="B128" s="7" t="s">
        <v>82</v>
      </c>
      <c r="C128" s="13">
        <v>9695.5499999999993</v>
      </c>
      <c r="D128" s="13">
        <v>10637.62</v>
      </c>
    </row>
    <row r="129" spans="2:4" x14ac:dyDescent="0.25">
      <c r="B129" s="7" t="s">
        <v>83</v>
      </c>
      <c r="C129" s="13">
        <v>59065.380000000012</v>
      </c>
      <c r="D129" s="13">
        <v>62717.619999999988</v>
      </c>
    </row>
    <row r="130" spans="2:4" x14ac:dyDescent="0.25">
      <c r="B130" s="7" t="s">
        <v>84</v>
      </c>
      <c r="C130" s="13">
        <v>50695.15</v>
      </c>
      <c r="D130" s="13">
        <v>52115.11</v>
      </c>
    </row>
    <row r="131" spans="2:4" x14ac:dyDescent="0.25">
      <c r="B131" s="7" t="s">
        <v>85</v>
      </c>
      <c r="C131" s="13">
        <v>21614.26</v>
      </c>
      <c r="D131" s="13">
        <v>22213</v>
      </c>
    </row>
    <row r="132" spans="2:4" x14ac:dyDescent="0.25">
      <c r="B132" s="7" t="s">
        <v>86</v>
      </c>
      <c r="C132" s="13">
        <v>52749.33</v>
      </c>
      <c r="D132" s="13">
        <v>53233.820000000007</v>
      </c>
    </row>
    <row r="133" spans="2:4" x14ac:dyDescent="0.25">
      <c r="B133" s="7" t="s">
        <v>87</v>
      </c>
      <c r="C133" s="13">
        <v>90886.75</v>
      </c>
      <c r="D133" s="13">
        <v>90695.799999999988</v>
      </c>
    </row>
    <row r="134" spans="2:4" x14ac:dyDescent="0.25">
      <c r="B134" s="6" t="s">
        <v>75</v>
      </c>
      <c r="C134" s="13"/>
      <c r="D134" s="13"/>
    </row>
    <row r="135" spans="2:4" x14ac:dyDescent="0.25">
      <c r="B135" s="7" t="s">
        <v>76</v>
      </c>
      <c r="C135" s="13">
        <v>32821.480000000003</v>
      </c>
      <c r="D135" s="13">
        <v>35572.51</v>
      </c>
    </row>
    <row r="136" spans="2:4" x14ac:dyDescent="0.25">
      <c r="B136" s="7" t="s">
        <v>77</v>
      </c>
      <c r="C136" s="13">
        <v>35220.899999999994</v>
      </c>
      <c r="D136" s="13">
        <v>36694.800000000003</v>
      </c>
    </row>
    <row r="137" spans="2:4" x14ac:dyDescent="0.25">
      <c r="B137" s="7" t="s">
        <v>78</v>
      </c>
      <c r="C137" s="13">
        <v>127109.23000000001</v>
      </c>
      <c r="D137" s="13">
        <v>124359.03</v>
      </c>
    </row>
    <row r="138" spans="2:4" x14ac:dyDescent="0.25">
      <c r="B138" s="7" t="s">
        <v>79</v>
      </c>
      <c r="C138" s="13">
        <v>72239.759999999995</v>
      </c>
      <c r="D138" s="13">
        <v>78274.539999999994</v>
      </c>
    </row>
    <row r="139" spans="2:4" x14ac:dyDescent="0.25">
      <c r="B139" s="7" t="s">
        <v>80</v>
      </c>
      <c r="C139" s="13">
        <v>103329.22</v>
      </c>
      <c r="D139" s="13">
        <v>109754.18</v>
      </c>
    </row>
    <row r="140" spans="2:4" x14ac:dyDescent="0.25">
      <c r="B140" s="7" t="s">
        <v>81</v>
      </c>
      <c r="C140" s="13">
        <v>54327.14</v>
      </c>
      <c r="D140" s="13">
        <v>53810.429999999993</v>
      </c>
    </row>
    <row r="141" spans="2:4" x14ac:dyDescent="0.25">
      <c r="B141" s="6" t="s">
        <v>71</v>
      </c>
      <c r="C141" s="13">
        <v>1135360.7</v>
      </c>
      <c r="D141" s="13">
        <v>1166948.46</v>
      </c>
    </row>
    <row r="143" spans="2:4" x14ac:dyDescent="0.25">
      <c r="B143" s="5" t="s">
        <v>10</v>
      </c>
      <c r="C143" t="s">
        <v>100</v>
      </c>
    </row>
    <row r="145" spans="2:3" x14ac:dyDescent="0.25">
      <c r="B145" s="5" t="s">
        <v>70</v>
      </c>
      <c r="C145" t="s">
        <v>101</v>
      </c>
    </row>
    <row r="146" spans="2:3" x14ac:dyDescent="0.25">
      <c r="B146" s="6" t="s">
        <v>74</v>
      </c>
      <c r="C146" s="13">
        <v>18169.999999999651</v>
      </c>
    </row>
    <row r="147" spans="2:3" x14ac:dyDescent="0.25">
      <c r="B147" s="6" t="s">
        <v>75</v>
      </c>
      <c r="C147" s="13"/>
    </row>
    <row r="148" spans="2:3" x14ac:dyDescent="0.25">
      <c r="B148" s="7" t="s">
        <v>76</v>
      </c>
      <c r="C148" s="13">
        <v>2751.0299999999988</v>
      </c>
    </row>
    <row r="149" spans="2:3" x14ac:dyDescent="0.25">
      <c r="B149" s="7" t="s">
        <v>77</v>
      </c>
      <c r="C149" s="13">
        <v>1473.9000000000087</v>
      </c>
    </row>
    <row r="150" spans="2:3" x14ac:dyDescent="0.25">
      <c r="B150" s="7" t="s">
        <v>78</v>
      </c>
      <c r="C150" s="13">
        <v>-2750.2000000000116</v>
      </c>
    </row>
    <row r="151" spans="2:3" x14ac:dyDescent="0.25">
      <c r="B151" s="7" t="s">
        <v>79</v>
      </c>
      <c r="C151" s="13">
        <v>6034.7799999999988</v>
      </c>
    </row>
    <row r="152" spans="2:3" x14ac:dyDescent="0.25">
      <c r="B152" s="7" t="s">
        <v>80</v>
      </c>
      <c r="C152" s="13">
        <v>6424.9599999999919</v>
      </c>
    </row>
    <row r="153" spans="2:3" x14ac:dyDescent="0.25">
      <c r="B153" s="7" t="s">
        <v>81</v>
      </c>
      <c r="C153" s="13">
        <v>-516.7100000000064</v>
      </c>
    </row>
    <row r="154" spans="2:3" x14ac:dyDescent="0.25">
      <c r="B154" s="6" t="s">
        <v>71</v>
      </c>
      <c r="C154" s="13">
        <v>31587.759999999776</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CC4368E2C461E44B73FE8A3D96A9C6A" ma:contentTypeVersion="5" ma:contentTypeDescription="Create a new document." ma:contentTypeScope="" ma:versionID="3cd9ecbe5148f42fc54ffa03aa5496fb">
  <xsd:schema xmlns:xsd="http://www.w3.org/2001/XMLSchema" xmlns:xs="http://www.w3.org/2001/XMLSchema" xmlns:p="http://schemas.microsoft.com/office/2006/metadata/properties" xmlns:ns3="6ee11fc5-a8c9-4e05-84a0-a1c608342a7d" targetNamespace="http://schemas.microsoft.com/office/2006/metadata/properties" ma:root="true" ma:fieldsID="46feb96b122c8f63c2ab3e8a546b4fb9" ns3:_="">
    <xsd:import namespace="6ee11fc5-a8c9-4e05-84a0-a1c608342a7d"/>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e11fc5-a8c9-4e05-84a0-a1c608342a7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804D161-0925-47E8-A434-5ADAD9562670}">
  <ds:schemaRefs>
    <ds:schemaRef ds:uri="http://schemas.microsoft.com/office/2006/documentManagement/types"/>
    <ds:schemaRef ds:uri="http://purl.org/dc/dcmitype/"/>
    <ds:schemaRef ds:uri="http://schemas.openxmlformats.org/package/2006/metadata/core-properties"/>
    <ds:schemaRef ds:uri="http://purl.org/dc/terms/"/>
    <ds:schemaRef ds:uri="http://purl.org/dc/elements/1.1/"/>
    <ds:schemaRef ds:uri="http://schemas.microsoft.com/office/infopath/2007/PartnerControls"/>
    <ds:schemaRef ds:uri="http://www.w3.org/XML/1998/namespace"/>
    <ds:schemaRef ds:uri="6ee11fc5-a8c9-4e05-84a0-a1c608342a7d"/>
    <ds:schemaRef ds:uri="http://schemas.microsoft.com/office/2006/metadata/properties"/>
  </ds:schemaRefs>
</ds:datastoreItem>
</file>

<file path=customXml/itemProps2.xml><?xml version="1.0" encoding="utf-8"?>
<ds:datastoreItem xmlns:ds="http://schemas.openxmlformats.org/officeDocument/2006/customXml" ds:itemID="{19C7084E-3665-4139-A8B6-C3268644D1CB}">
  <ds:schemaRefs>
    <ds:schemaRef ds:uri="http://schemas.microsoft.com/sharepoint/v3/contenttype/forms"/>
  </ds:schemaRefs>
</ds:datastoreItem>
</file>

<file path=customXml/itemProps3.xml><?xml version="1.0" encoding="utf-8"?>
<ds:datastoreItem xmlns:ds="http://schemas.openxmlformats.org/officeDocument/2006/customXml" ds:itemID="{327A41CC-8F7F-405F-997B-7638FA36DB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ee11fc5-a8c9-4e05-84a0-a1c608342a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cfa792cf-7768-4341-8857-81754c2afa1f}" enabled="0" method="" siteId="{cfa792cf-7768-4341-8857-81754c2afa1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8</vt:i4>
      </vt:variant>
    </vt:vector>
  </HeadingPairs>
  <TitlesOfParts>
    <vt:vector size="11" baseType="lpstr">
      <vt:lpstr>Incident_Data</vt:lpstr>
      <vt:lpstr>LookupSystem</vt:lpstr>
      <vt:lpstr>Dashboard</vt:lpstr>
      <vt:lpstr>AnalystList</vt:lpstr>
      <vt:lpstr>DepartmentList</vt:lpstr>
      <vt:lpstr>IssueTypeList</vt:lpstr>
      <vt:lpstr>PriorityList</vt:lpstr>
      <vt:lpstr>RegionList</vt:lpstr>
      <vt:lpstr>RootCauseList</vt:lpstr>
      <vt:lpstr>SeverityList</vt:lpstr>
      <vt:lpstr>SystemList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Victoria TwumasiAnkrah</dc:creator>
  <cp:lastModifiedBy>Victoria TwumasiAnkrah</cp:lastModifiedBy>
  <dcterms:created xsi:type="dcterms:W3CDTF">2026-02-23T23:19:35Z</dcterms:created>
  <dcterms:modified xsi:type="dcterms:W3CDTF">2026-02-26T05:53:47Z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0x0101003CC4368E2C461E44B73FE8A3D96A9C6A</vt:lpwstr>
  </property>
</Properties>
</file>